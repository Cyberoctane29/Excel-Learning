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aswa\Desktop\Excel\Complete Excel Tutorial for Data Analysis\"/>
    </mc:Choice>
  </mc:AlternateContent>
  <xr:revisionPtr revIDLastSave="0" documentId="13_ncr:1_{EFE13A0F-1A3A-463C-8A80-0E56471580D0}" xr6:coauthVersionLast="47" xr6:coauthVersionMax="47" xr10:uidLastSave="{00000000-0000-0000-0000-000000000000}"/>
  <bookViews>
    <workbookView xWindow="-108" yWindow="-108" windowWidth="23256" windowHeight="13896" tabRatio="905" firstSheet="10" activeTab="14" xr2:uid="{680501D2-1D58-4043-8C51-363F2BA2A10E}"/>
  </bookViews>
  <sheets>
    <sheet name="Employee Raw Data" sheetId="1" r:id="rId1"/>
    <sheet name="Web Data Connection" sheetId="2" r:id="rId2"/>
    <sheet name="Power Query Processed Emp. Data" sheetId="3" r:id="rId3"/>
    <sheet name="Dept. Info.-Functions" sheetId="4" r:id="rId4"/>
    <sheet name="Employees&gt;100K-Functions" sheetId="5" r:id="rId5"/>
    <sheet name="Employees&gt;100K-MORE Functions" sheetId="6" r:id="rId6"/>
    <sheet name="Female Emp-Functions" sheetId="7" r:id="rId7"/>
    <sheet name="Salary-Functions" sheetId="8" r:id="rId8"/>
    <sheet name="Dept. Info.-More Functions-1" sheetId="9" r:id="rId9"/>
    <sheet name="VLOOKUP, XLOOKUP &amp; INDEX MATCH" sheetId="10" r:id="rId10"/>
    <sheet name="XLOOKUP" sheetId="11" r:id="rId11"/>
    <sheet name="Emp. Detail-Functions" sheetId="12" r:id="rId12"/>
    <sheet name="Dept. Info.-More Functions-2" sheetId="13" r:id="rId13"/>
    <sheet name="Call Centre Data" sheetId="15" r:id="rId14"/>
    <sheet name="Pivot Tables and Others" sheetId="16" r:id="rId15"/>
  </sheets>
  <definedNames>
    <definedName name="_xlnm._FilterDatabase" localSheetId="0" hidden="1">'Employee Raw Data'!$A$1:$I$58</definedName>
    <definedName name="_xlchart.v1.0" hidden="1">'Call Centre Data'!$C$1</definedName>
    <definedName name="_xlchart.v1.1" hidden="1">'Call Centre Data'!$C$2:$C$1001</definedName>
    <definedName name="_xlchart.v1.2" hidden="1">'Call Centre Data'!$K$2</definedName>
    <definedName name="_xlchart.v1.3" hidden="1">'Call Centre Data'!$K$3:$K$1001</definedName>
    <definedName name="Slicer_Representative">#N/A</definedName>
    <definedName name="Slicer_Representative1">#N/A</definedName>
    <definedName name="Slicer_Representative2">#N/A</definedName>
  </definedNames>
  <calcPr calcId="191028"/>
  <pivotCaches>
    <pivotCache cacheId="6"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5" l="1" a="1"/>
  <c r="J2" i="15"/>
  <c r="J3" i="15" a="1"/>
  <c r="J3" i="15" s="1"/>
  <c r="J4" i="15" a="1"/>
  <c r="J4" i="15" s="1"/>
  <c r="J5" i="15" a="1"/>
  <c r="J5" i="15" s="1"/>
  <c r="J6" i="15" a="1"/>
  <c r="J6" i="15" s="1"/>
  <c r="J7" i="15" a="1"/>
  <c r="J7" i="15" s="1"/>
  <c r="J8" i="15" a="1"/>
  <c r="J8" i="15"/>
  <c r="J9" i="15" a="1"/>
  <c r="J9" i="15"/>
  <c r="J10" i="15" a="1"/>
  <c r="J10" i="15"/>
  <c r="J11" i="15" a="1"/>
  <c r="J11" i="15"/>
  <c r="J12" i="15" a="1"/>
  <c r="J12" i="15"/>
  <c r="J13" i="15" a="1"/>
  <c r="J13" i="15"/>
  <c r="J14" i="15" a="1"/>
  <c r="J14" i="15"/>
  <c r="J15" i="15" a="1"/>
  <c r="J15" i="15" s="1"/>
  <c r="J16" i="15" a="1"/>
  <c r="J16" i="15" s="1"/>
  <c r="J17" i="15" a="1"/>
  <c r="J17" i="15" s="1"/>
  <c r="J18" i="15" a="1"/>
  <c r="J18" i="15" s="1"/>
  <c r="J19" i="15" a="1"/>
  <c r="J19" i="15" s="1"/>
  <c r="J20" i="15" a="1"/>
  <c r="J20" i="15"/>
  <c r="J21" i="15" a="1"/>
  <c r="J21" i="15"/>
  <c r="J22" i="15" a="1"/>
  <c r="J22" i="15"/>
  <c r="J23" i="15" a="1"/>
  <c r="J23" i="15"/>
  <c r="J24" i="15" a="1"/>
  <c r="J24" i="15"/>
  <c r="J25" i="15" a="1"/>
  <c r="J25" i="15"/>
  <c r="J26" i="15" a="1"/>
  <c r="J26" i="15"/>
  <c r="J27" i="15" a="1"/>
  <c r="J27" i="15" s="1"/>
  <c r="J28" i="15" a="1"/>
  <c r="J28" i="15" s="1"/>
  <c r="J29" i="15" a="1"/>
  <c r="J29" i="15" s="1"/>
  <c r="J30" i="15" a="1"/>
  <c r="J30" i="15" s="1"/>
  <c r="J31" i="15" a="1"/>
  <c r="J31" i="15" s="1"/>
  <c r="J32" i="15" a="1"/>
  <c r="J32" i="15"/>
  <c r="J33" i="15" a="1"/>
  <c r="J33" i="15"/>
  <c r="J34" i="15" a="1"/>
  <c r="J34" i="15"/>
  <c r="J35" i="15" a="1"/>
  <c r="J35" i="15"/>
  <c r="J36" i="15" a="1"/>
  <c r="J36" i="15"/>
  <c r="J37" i="15" a="1"/>
  <c r="J37" i="15"/>
  <c r="J38" i="15" a="1"/>
  <c r="J38" i="15"/>
  <c r="J39" i="15" a="1"/>
  <c r="J39" i="15" s="1"/>
  <c r="J40" i="15" a="1"/>
  <c r="J40" i="15" s="1"/>
  <c r="J41" i="15" a="1"/>
  <c r="J41" i="15" s="1"/>
  <c r="J42" i="15" a="1"/>
  <c r="J42" i="15" s="1"/>
  <c r="J43" i="15" a="1"/>
  <c r="J43" i="15" s="1"/>
  <c r="J44" i="15" a="1"/>
  <c r="J44" i="15"/>
  <c r="J45" i="15" a="1"/>
  <c r="J45" i="15"/>
  <c r="J46" i="15" a="1"/>
  <c r="J46" i="15"/>
  <c r="J47" i="15" a="1"/>
  <c r="J47" i="15"/>
  <c r="J48" i="15" a="1"/>
  <c r="J48" i="15"/>
  <c r="J49" i="15" a="1"/>
  <c r="J49" i="15"/>
  <c r="J50" i="15" a="1"/>
  <c r="J50" i="15"/>
  <c r="J51" i="15" a="1"/>
  <c r="J51" i="15" s="1"/>
  <c r="J52" i="15" a="1"/>
  <c r="J52" i="15" s="1"/>
  <c r="J53" i="15" a="1"/>
  <c r="J53" i="15" s="1"/>
  <c r="J54" i="15" a="1"/>
  <c r="J54" i="15" s="1"/>
  <c r="J55" i="15" a="1"/>
  <c r="J55" i="15" s="1"/>
  <c r="J56" i="15" a="1"/>
  <c r="J56" i="15"/>
  <c r="J57" i="15" a="1"/>
  <c r="J57" i="15"/>
  <c r="J58" i="15" a="1"/>
  <c r="J58" i="15"/>
  <c r="J59" i="15" a="1"/>
  <c r="J59" i="15"/>
  <c r="J60" i="15" a="1"/>
  <c r="J60" i="15"/>
  <c r="J61" i="15" a="1"/>
  <c r="J61" i="15"/>
  <c r="J62" i="15" a="1"/>
  <c r="J62" i="15"/>
  <c r="J63" i="15" a="1"/>
  <c r="J63" i="15" s="1"/>
  <c r="J64" i="15" a="1"/>
  <c r="J64" i="15" s="1"/>
  <c r="J65" i="15" a="1"/>
  <c r="J65" i="15" s="1"/>
  <c r="J66" i="15" a="1"/>
  <c r="J66" i="15" s="1"/>
  <c r="J67" i="15" a="1"/>
  <c r="J67" i="15" s="1"/>
  <c r="J68" i="15" a="1"/>
  <c r="J68" i="15"/>
  <c r="J69" i="15" a="1"/>
  <c r="J69" i="15"/>
  <c r="J70" i="15" a="1"/>
  <c r="J70" i="15"/>
  <c r="J71" i="15" a="1"/>
  <c r="J71" i="15"/>
  <c r="J72" i="15" a="1"/>
  <c r="J72" i="15"/>
  <c r="J73" i="15" a="1"/>
  <c r="J73" i="15"/>
  <c r="J74" i="15" a="1"/>
  <c r="J74" i="15"/>
  <c r="J75" i="15" a="1"/>
  <c r="J75" i="15" s="1"/>
  <c r="J76" i="15" a="1"/>
  <c r="J76" i="15" s="1"/>
  <c r="J77" i="15" a="1"/>
  <c r="J77" i="15" s="1"/>
  <c r="J78" i="15" a="1"/>
  <c r="J78" i="15" s="1"/>
  <c r="J79" i="15" a="1"/>
  <c r="J79" i="15" s="1"/>
  <c r="J80" i="15" a="1"/>
  <c r="J80" i="15"/>
  <c r="J81" i="15" a="1"/>
  <c r="J81" i="15"/>
  <c r="J82" i="15" a="1"/>
  <c r="J82" i="15"/>
  <c r="J83" i="15" a="1"/>
  <c r="J83" i="15"/>
  <c r="J84" i="15" a="1"/>
  <c r="J84" i="15"/>
  <c r="J85" i="15" a="1"/>
  <c r="J85" i="15"/>
  <c r="J86" i="15" a="1"/>
  <c r="J86" i="15"/>
  <c r="J87" i="15" a="1"/>
  <c r="J87" i="15" s="1"/>
  <c r="J88" i="15" a="1"/>
  <c r="J88" i="15" s="1"/>
  <c r="J89" i="15" a="1"/>
  <c r="J89" i="15" s="1"/>
  <c r="J90" i="15" a="1"/>
  <c r="J90" i="15" s="1"/>
  <c r="J91" i="15" a="1"/>
  <c r="J91" i="15" s="1"/>
  <c r="J92" i="15" a="1"/>
  <c r="J92" i="15"/>
  <c r="J93" i="15" a="1"/>
  <c r="J93" i="15"/>
  <c r="J94" i="15" a="1"/>
  <c r="J94" i="15"/>
  <c r="J95" i="15" a="1"/>
  <c r="J95" i="15"/>
  <c r="J96" i="15" a="1"/>
  <c r="J96" i="15"/>
  <c r="J97" i="15" a="1"/>
  <c r="J97" i="15"/>
  <c r="J98" i="15" a="1"/>
  <c r="J98" i="15"/>
  <c r="J99" i="15" a="1"/>
  <c r="J99" i="15" s="1"/>
  <c r="J100" i="15" a="1"/>
  <c r="J100" i="15" s="1"/>
  <c r="J101" i="15" a="1"/>
  <c r="J101" i="15" s="1"/>
  <c r="J102" i="15" a="1"/>
  <c r="J102" i="15" s="1"/>
  <c r="J103" i="15" a="1"/>
  <c r="J103" i="15" s="1"/>
  <c r="J104" i="15" a="1"/>
  <c r="J104" i="15"/>
  <c r="J105" i="15" a="1"/>
  <c r="J105" i="15"/>
  <c r="J106" i="15" a="1"/>
  <c r="J106" i="15"/>
  <c r="J107" i="15" a="1"/>
  <c r="J107" i="15"/>
  <c r="J108" i="15" a="1"/>
  <c r="J108" i="15"/>
  <c r="J109" i="15" a="1"/>
  <c r="J109" i="15"/>
  <c r="J110" i="15" a="1"/>
  <c r="J110" i="15"/>
  <c r="J111" i="15" a="1"/>
  <c r="J111" i="15" s="1"/>
  <c r="J112" i="15" a="1"/>
  <c r="J112" i="15" s="1"/>
  <c r="J113" i="15" a="1"/>
  <c r="J113" i="15" s="1"/>
  <c r="J114" i="15" a="1"/>
  <c r="J114" i="15" s="1"/>
  <c r="J115" i="15" a="1"/>
  <c r="J115" i="15" s="1"/>
  <c r="J116" i="15" a="1"/>
  <c r="J116" i="15"/>
  <c r="J117" i="15" a="1"/>
  <c r="J117" i="15"/>
  <c r="J118" i="15" a="1"/>
  <c r="J118" i="15"/>
  <c r="J119" i="15" a="1"/>
  <c r="J119" i="15"/>
  <c r="J120" i="15" a="1"/>
  <c r="J120" i="15"/>
  <c r="J121" i="15" a="1"/>
  <c r="J121" i="15"/>
  <c r="J122" i="15" a="1"/>
  <c r="J122" i="15"/>
  <c r="J123" i="15" a="1"/>
  <c r="J123" i="15" s="1"/>
  <c r="J124" i="15" a="1"/>
  <c r="J124" i="15" s="1"/>
  <c r="J125" i="15" a="1"/>
  <c r="J125" i="15" s="1"/>
  <c r="J126" i="15" a="1"/>
  <c r="J126" i="15" s="1"/>
  <c r="J127" i="15" a="1"/>
  <c r="J127" i="15" s="1"/>
  <c r="J128" i="15" a="1"/>
  <c r="J128" i="15"/>
  <c r="J129" i="15" a="1"/>
  <c r="J129" i="15"/>
  <c r="J130" i="15" a="1"/>
  <c r="J130" i="15"/>
  <c r="J131" i="15" a="1"/>
  <c r="J131" i="15"/>
  <c r="J132" i="15" a="1"/>
  <c r="J132" i="15"/>
  <c r="J133" i="15" a="1"/>
  <c r="J133" i="15"/>
  <c r="J134" i="15" a="1"/>
  <c r="J134" i="15"/>
  <c r="J135" i="15" a="1"/>
  <c r="J135" i="15" s="1"/>
  <c r="J136" i="15" a="1"/>
  <c r="J136" i="15" s="1"/>
  <c r="J137" i="15" a="1"/>
  <c r="J137" i="15" s="1"/>
  <c r="J138" i="15" a="1"/>
  <c r="J138" i="15" s="1"/>
  <c r="J139" i="15" a="1"/>
  <c r="J139" i="15" s="1"/>
  <c r="J140" i="15" a="1"/>
  <c r="J140" i="15"/>
  <c r="J141" i="15" a="1"/>
  <c r="J141" i="15"/>
  <c r="J142" i="15" a="1"/>
  <c r="J142" i="15"/>
  <c r="J143" i="15" a="1"/>
  <c r="J143" i="15"/>
  <c r="J144" i="15" a="1"/>
  <c r="J144" i="15"/>
  <c r="J145" i="15" a="1"/>
  <c r="J145" i="15"/>
  <c r="J146" i="15" a="1"/>
  <c r="J146" i="15"/>
  <c r="J147" i="15" a="1"/>
  <c r="J147" i="15" s="1"/>
  <c r="J148" i="15" a="1"/>
  <c r="J148" i="15" s="1"/>
  <c r="J149" i="15" a="1"/>
  <c r="J149" i="15" s="1"/>
  <c r="J150" i="15" a="1"/>
  <c r="J150" i="15" s="1"/>
  <c r="J151" i="15" a="1"/>
  <c r="J151" i="15" s="1"/>
  <c r="J152" i="15" a="1"/>
  <c r="J152" i="15"/>
  <c r="J153" i="15" a="1"/>
  <c r="J153" i="15"/>
  <c r="J154" i="15" a="1"/>
  <c r="J154" i="15"/>
  <c r="J155" i="15" a="1"/>
  <c r="J155" i="15"/>
  <c r="J156" i="15" a="1"/>
  <c r="J156" i="15"/>
  <c r="J157" i="15" a="1"/>
  <c r="J157" i="15"/>
  <c r="J158" i="15" a="1"/>
  <c r="J158" i="15"/>
  <c r="J159" i="15" a="1"/>
  <c r="J159" i="15" s="1"/>
  <c r="J160" i="15" a="1"/>
  <c r="J160" i="15" s="1"/>
  <c r="J161" i="15" a="1"/>
  <c r="J161" i="15" s="1"/>
  <c r="J162" i="15" a="1"/>
  <c r="J162" i="15" s="1"/>
  <c r="J163" i="15" a="1"/>
  <c r="J163" i="15" s="1"/>
  <c r="J164" i="15" a="1"/>
  <c r="J164" i="15"/>
  <c r="J165" i="15" a="1"/>
  <c r="J165" i="15"/>
  <c r="J166" i="15" a="1"/>
  <c r="J166" i="15"/>
  <c r="J167" i="15" a="1"/>
  <c r="J167" i="15"/>
  <c r="J168" i="15" a="1"/>
  <c r="J168" i="15"/>
  <c r="J169" i="15" a="1"/>
  <c r="J169" i="15"/>
  <c r="J170" i="15" a="1"/>
  <c r="J170" i="15"/>
  <c r="J171" i="15" a="1"/>
  <c r="J171" i="15" s="1"/>
  <c r="J172" i="15" a="1"/>
  <c r="J172" i="15" s="1"/>
  <c r="J173" i="15" a="1"/>
  <c r="J173" i="15" s="1"/>
  <c r="J174" i="15" a="1"/>
  <c r="J174" i="15" s="1"/>
  <c r="J175" i="15" a="1"/>
  <c r="J175" i="15" s="1"/>
  <c r="J176" i="15" a="1"/>
  <c r="J176" i="15"/>
  <c r="J177" i="15" a="1"/>
  <c r="J177" i="15"/>
  <c r="J178" i="15" a="1"/>
  <c r="J178" i="15"/>
  <c r="J179" i="15" a="1"/>
  <c r="J179" i="15"/>
  <c r="J180" i="15" a="1"/>
  <c r="J180" i="15"/>
  <c r="J181" i="15" a="1"/>
  <c r="J181" i="15"/>
  <c r="J182" i="15" a="1"/>
  <c r="J182" i="15"/>
  <c r="J183" i="15" a="1"/>
  <c r="J183" i="15" s="1"/>
  <c r="J184" i="15" a="1"/>
  <c r="J184" i="15" s="1"/>
  <c r="J185" i="15" a="1"/>
  <c r="J185" i="15" s="1"/>
  <c r="J186" i="15" a="1"/>
  <c r="J186" i="15" s="1"/>
  <c r="J187" i="15" a="1"/>
  <c r="J187" i="15" s="1"/>
  <c r="J188" i="15" a="1"/>
  <c r="J188" i="15"/>
  <c r="J189" i="15" a="1"/>
  <c r="J189" i="15"/>
  <c r="J190" i="15" a="1"/>
  <c r="J190" i="15"/>
  <c r="J191" i="15" a="1"/>
  <c r="J191" i="15"/>
  <c r="J192" i="15" a="1"/>
  <c r="J192" i="15"/>
  <c r="J193" i="15" a="1"/>
  <c r="J193" i="15"/>
  <c r="J194" i="15" a="1"/>
  <c r="J194" i="15"/>
  <c r="J195" i="15" a="1"/>
  <c r="J195" i="15" s="1"/>
  <c r="J196" i="15" a="1"/>
  <c r="J196" i="15" s="1"/>
  <c r="J197" i="15" a="1"/>
  <c r="J197" i="15" s="1"/>
  <c r="J198" i="15" a="1"/>
  <c r="J198" i="15" s="1"/>
  <c r="J199" i="15" a="1"/>
  <c r="J199" i="15" s="1"/>
  <c r="J200" i="15" a="1"/>
  <c r="J200" i="15"/>
  <c r="J201" i="15" a="1"/>
  <c r="J201" i="15"/>
  <c r="J202" i="15" a="1"/>
  <c r="J202" i="15"/>
  <c r="J203" i="15" a="1"/>
  <c r="J203" i="15"/>
  <c r="J204" i="15" a="1"/>
  <c r="J204" i="15"/>
  <c r="J205" i="15" a="1"/>
  <c r="J205" i="15"/>
  <c r="J206" i="15" a="1"/>
  <c r="J206" i="15"/>
  <c r="J207" i="15" a="1"/>
  <c r="J207" i="15" s="1"/>
  <c r="J208" i="15" a="1"/>
  <c r="J208" i="15" s="1"/>
  <c r="J209" i="15" a="1"/>
  <c r="J209" i="15" s="1"/>
  <c r="J210" i="15" a="1"/>
  <c r="J210" i="15" s="1"/>
  <c r="J211" i="15" a="1"/>
  <c r="J211" i="15" s="1"/>
  <c r="J212" i="15" a="1"/>
  <c r="J212" i="15"/>
  <c r="J213" i="15" a="1"/>
  <c r="J213" i="15"/>
  <c r="J214" i="15" a="1"/>
  <c r="J214" i="15"/>
  <c r="J215" i="15" a="1"/>
  <c r="J215" i="15"/>
  <c r="J216" i="15" a="1"/>
  <c r="J216" i="15"/>
  <c r="J217" i="15" a="1"/>
  <c r="J217" i="15"/>
  <c r="J218" i="15" a="1"/>
  <c r="J218" i="15"/>
  <c r="J219" i="15" a="1"/>
  <c r="J219" i="15" s="1"/>
  <c r="J220" i="15" a="1"/>
  <c r="J220" i="15" s="1"/>
  <c r="J221" i="15" a="1"/>
  <c r="J221" i="15" s="1"/>
  <c r="J222" i="15" a="1"/>
  <c r="J222" i="15" s="1"/>
  <c r="J223" i="15" a="1"/>
  <c r="J223" i="15" s="1"/>
  <c r="J224" i="15" a="1"/>
  <c r="J224" i="15"/>
  <c r="J225" i="15" a="1"/>
  <c r="J225" i="15"/>
  <c r="J226" i="15" a="1"/>
  <c r="J226" i="15"/>
  <c r="J227" i="15" a="1"/>
  <c r="J227" i="15"/>
  <c r="J228" i="15" a="1"/>
  <c r="J228" i="15"/>
  <c r="J229" i="15" a="1"/>
  <c r="J229" i="15"/>
  <c r="J230" i="15" a="1"/>
  <c r="J230" i="15"/>
  <c r="J231" i="15" a="1"/>
  <c r="J231" i="15" s="1"/>
  <c r="J232" i="15" a="1"/>
  <c r="J232" i="15" s="1"/>
  <c r="J233" i="15" a="1"/>
  <c r="J233" i="15" s="1"/>
  <c r="J234" i="15" a="1"/>
  <c r="J234" i="15" s="1"/>
  <c r="J235" i="15" a="1"/>
  <c r="J235" i="15" s="1"/>
  <c r="J236" i="15" a="1"/>
  <c r="J236" i="15"/>
  <c r="J237" i="15" a="1"/>
  <c r="J237" i="15"/>
  <c r="J238" i="15" a="1"/>
  <c r="J238" i="15"/>
  <c r="J239" i="15" a="1"/>
  <c r="J239" i="15"/>
  <c r="J240" i="15" a="1"/>
  <c r="J240" i="15"/>
  <c r="J241" i="15" a="1"/>
  <c r="J241" i="15"/>
  <c r="J242" i="15" a="1"/>
  <c r="J242" i="15"/>
  <c r="J243" i="15" a="1"/>
  <c r="J243" i="15" s="1"/>
  <c r="J244" i="15" a="1"/>
  <c r="J244" i="15" s="1"/>
  <c r="J245" i="15" a="1"/>
  <c r="J245" i="15" s="1"/>
  <c r="J246" i="15" a="1"/>
  <c r="J246" i="15" s="1"/>
  <c r="J247" i="15" a="1"/>
  <c r="J247" i="15" s="1"/>
  <c r="J248" i="15" a="1"/>
  <c r="J248" i="15"/>
  <c r="J249" i="15" a="1"/>
  <c r="J249" i="15"/>
  <c r="J250" i="15" a="1"/>
  <c r="J250" i="15"/>
  <c r="J251" i="15" a="1"/>
  <c r="J251" i="15"/>
  <c r="J252" i="15" a="1"/>
  <c r="J252" i="15"/>
  <c r="J253" i="15" a="1"/>
  <c r="J253" i="15"/>
  <c r="J254" i="15" a="1"/>
  <c r="J254" i="15"/>
  <c r="J255" i="15" a="1"/>
  <c r="J255" i="15" s="1"/>
  <c r="J256" i="15" a="1"/>
  <c r="J256" i="15" s="1"/>
  <c r="J257" i="15" a="1"/>
  <c r="J257" i="15" s="1"/>
  <c r="J258" i="15" a="1"/>
  <c r="J258" i="15" s="1"/>
  <c r="J259" i="15" a="1"/>
  <c r="J259" i="15" s="1"/>
  <c r="J260" i="15" a="1"/>
  <c r="J260" i="15"/>
  <c r="J261" i="15" a="1"/>
  <c r="J261" i="15"/>
  <c r="J262" i="15" a="1"/>
  <c r="J262" i="15"/>
  <c r="J263" i="15" a="1"/>
  <c r="J263" i="15"/>
  <c r="J264" i="15" a="1"/>
  <c r="J264" i="15"/>
  <c r="J265" i="15" a="1"/>
  <c r="J265" i="15"/>
  <c r="J266" i="15" a="1"/>
  <c r="J266" i="15"/>
  <c r="J267" i="15" a="1"/>
  <c r="J267" i="15" s="1"/>
  <c r="J268" i="15" a="1"/>
  <c r="J268" i="15" s="1"/>
  <c r="J269" i="15" a="1"/>
  <c r="J269" i="15" s="1"/>
  <c r="J270" i="15" a="1"/>
  <c r="J270" i="15" s="1"/>
  <c r="J271" i="15" a="1"/>
  <c r="J271" i="15" s="1"/>
  <c r="J272" i="15" a="1"/>
  <c r="J272" i="15"/>
  <c r="J273" i="15" a="1"/>
  <c r="J273" i="15"/>
  <c r="J274" i="15" a="1"/>
  <c r="J274" i="15"/>
  <c r="J275" i="15" a="1"/>
  <c r="J275" i="15"/>
  <c r="J276" i="15" a="1"/>
  <c r="J276" i="15"/>
  <c r="J277" i="15" a="1"/>
  <c r="J277" i="15"/>
  <c r="J278" i="15" a="1"/>
  <c r="J278" i="15"/>
  <c r="J279" i="15" a="1"/>
  <c r="J279" i="15" s="1"/>
  <c r="J280" i="15" a="1"/>
  <c r="J280" i="15" s="1"/>
  <c r="J281" i="15" a="1"/>
  <c r="J281" i="15" s="1"/>
  <c r="J282" i="15" a="1"/>
  <c r="J282" i="15" s="1"/>
  <c r="J283" i="15" a="1"/>
  <c r="J283" i="15" s="1"/>
  <c r="J284" i="15" a="1"/>
  <c r="J284" i="15"/>
  <c r="J285" i="15" a="1"/>
  <c r="J285" i="15"/>
  <c r="J286" i="15" a="1"/>
  <c r="J286" i="15"/>
  <c r="J287" i="15" a="1"/>
  <c r="J287" i="15"/>
  <c r="J288" i="15" a="1"/>
  <c r="J288" i="15"/>
  <c r="J289" i="15" a="1"/>
  <c r="J289" i="15"/>
  <c r="J290" i="15" a="1"/>
  <c r="J290" i="15"/>
  <c r="J291" i="15" a="1"/>
  <c r="J291" i="15" s="1"/>
  <c r="J292" i="15" a="1"/>
  <c r="J292" i="15" s="1"/>
  <c r="J293" i="15" a="1"/>
  <c r="J293" i="15" s="1"/>
  <c r="J294" i="15" a="1"/>
  <c r="J294" i="15" s="1"/>
  <c r="J295" i="15" a="1"/>
  <c r="J295" i="15" s="1"/>
  <c r="J296" i="15" a="1"/>
  <c r="J296" i="15"/>
  <c r="J297" i="15" a="1"/>
  <c r="J297" i="15"/>
  <c r="J298" i="15" a="1"/>
  <c r="J298" i="15"/>
  <c r="J299" i="15" a="1"/>
  <c r="J299" i="15"/>
  <c r="J300" i="15" a="1"/>
  <c r="J300" i="15"/>
  <c r="J301" i="15" a="1"/>
  <c r="J301" i="15"/>
  <c r="J302" i="15" a="1"/>
  <c r="J302" i="15"/>
  <c r="J303" i="15" a="1"/>
  <c r="J303" i="15" s="1"/>
  <c r="J304" i="15" a="1"/>
  <c r="J304" i="15" s="1"/>
  <c r="J305" i="15" a="1"/>
  <c r="J305" i="15" s="1"/>
  <c r="J306" i="15" a="1"/>
  <c r="J306" i="15" s="1"/>
  <c r="J307" i="15" a="1"/>
  <c r="J307" i="15" s="1"/>
  <c r="J308" i="15" a="1"/>
  <c r="J308" i="15"/>
  <c r="J309" i="15" a="1"/>
  <c r="J309" i="15"/>
  <c r="J310" i="15" a="1"/>
  <c r="J310" i="15"/>
  <c r="J311" i="15" a="1"/>
  <c r="J311" i="15"/>
  <c r="J312" i="15" a="1"/>
  <c r="J312" i="15"/>
  <c r="J313" i="15" a="1"/>
  <c r="J313" i="15"/>
  <c r="J314" i="15" a="1"/>
  <c r="J314" i="15"/>
  <c r="J315" i="15" a="1"/>
  <c r="J315" i="15" s="1"/>
  <c r="J316" i="15" a="1"/>
  <c r="J316" i="15" s="1"/>
  <c r="J317" i="15" a="1"/>
  <c r="J317" i="15" s="1"/>
  <c r="J318" i="15" a="1"/>
  <c r="J318" i="15" s="1"/>
  <c r="J319" i="15" a="1"/>
  <c r="J319" i="15" s="1"/>
  <c r="J320" i="15" a="1"/>
  <c r="J320" i="15"/>
  <c r="J321" i="15" a="1"/>
  <c r="J321" i="15"/>
  <c r="J322" i="15" a="1"/>
  <c r="J322" i="15"/>
  <c r="J323" i="15" a="1"/>
  <c r="J323" i="15"/>
  <c r="J324" i="15" a="1"/>
  <c r="J324" i="15"/>
  <c r="J325" i="15" a="1"/>
  <c r="J325" i="15"/>
  <c r="J326" i="15" a="1"/>
  <c r="J326" i="15"/>
  <c r="J327" i="15" a="1"/>
  <c r="J327" i="15" s="1"/>
  <c r="J328" i="15" a="1"/>
  <c r="J328" i="15" s="1"/>
  <c r="J329" i="15" a="1"/>
  <c r="J329" i="15" s="1"/>
  <c r="J330" i="15" a="1"/>
  <c r="J330" i="15" s="1"/>
  <c r="J331" i="15" a="1"/>
  <c r="J331" i="15" s="1"/>
  <c r="J332" i="15" a="1"/>
  <c r="J332" i="15"/>
  <c r="J333" i="15" a="1"/>
  <c r="J333" i="15"/>
  <c r="J334" i="15" a="1"/>
  <c r="J334" i="15"/>
  <c r="J335" i="15" a="1"/>
  <c r="J335" i="15"/>
  <c r="J336" i="15" a="1"/>
  <c r="J336" i="15"/>
  <c r="J337" i="15" a="1"/>
  <c r="J337" i="15"/>
  <c r="J338" i="15" a="1"/>
  <c r="J338" i="15"/>
  <c r="J339" i="15" a="1"/>
  <c r="J339" i="15" s="1"/>
  <c r="J340" i="15" a="1"/>
  <c r="J340" i="15" s="1"/>
  <c r="J341" i="15" a="1"/>
  <c r="J341" i="15" s="1"/>
  <c r="J342" i="15" a="1"/>
  <c r="J342" i="15" s="1"/>
  <c r="J343" i="15" a="1"/>
  <c r="J343" i="15" s="1"/>
  <c r="J344" i="15" a="1"/>
  <c r="J344" i="15"/>
  <c r="J345" i="15" a="1"/>
  <c r="J345" i="15"/>
  <c r="J346" i="15" a="1"/>
  <c r="J346" i="15"/>
  <c r="J347" i="15" a="1"/>
  <c r="J347" i="15"/>
  <c r="J348" i="15" a="1"/>
  <c r="J348" i="15"/>
  <c r="J349" i="15" a="1"/>
  <c r="J349" i="15"/>
  <c r="J350" i="15" a="1"/>
  <c r="J350" i="15"/>
  <c r="J351" i="15" a="1"/>
  <c r="J351" i="15" s="1"/>
  <c r="J352" i="15" a="1"/>
  <c r="J352" i="15" s="1"/>
  <c r="J353" i="15" a="1"/>
  <c r="J353" i="15" s="1"/>
  <c r="J354" i="15" a="1"/>
  <c r="J354" i="15" s="1"/>
  <c r="J355" i="15" a="1"/>
  <c r="J355" i="15" s="1"/>
  <c r="J356" i="15" a="1"/>
  <c r="J356" i="15"/>
  <c r="J357" i="15" a="1"/>
  <c r="J357" i="15"/>
  <c r="J358" i="15" a="1"/>
  <c r="J358" i="15"/>
  <c r="J359" i="15" a="1"/>
  <c r="J359" i="15"/>
  <c r="J360" i="15" a="1"/>
  <c r="J360" i="15"/>
  <c r="J361" i="15" a="1"/>
  <c r="J361" i="15"/>
  <c r="J362" i="15" a="1"/>
  <c r="J362" i="15"/>
  <c r="J363" i="15" a="1"/>
  <c r="J363" i="15" s="1"/>
  <c r="J364" i="15" a="1"/>
  <c r="J364" i="15" s="1"/>
  <c r="J365" i="15" a="1"/>
  <c r="J365" i="15" s="1"/>
  <c r="J366" i="15" a="1"/>
  <c r="J366" i="15" s="1"/>
  <c r="J367" i="15" a="1"/>
  <c r="J367" i="15" s="1"/>
  <c r="J368" i="15" a="1"/>
  <c r="J368" i="15"/>
  <c r="J369" i="15" a="1"/>
  <c r="J369" i="15"/>
  <c r="J370" i="15" a="1"/>
  <c r="J370" i="15"/>
  <c r="J371" i="15" a="1"/>
  <c r="J371" i="15"/>
  <c r="J372" i="15" a="1"/>
  <c r="J372" i="15"/>
  <c r="J373" i="15" a="1"/>
  <c r="J373" i="15"/>
  <c r="J374" i="15" a="1"/>
  <c r="J374" i="15"/>
  <c r="J375" i="15" a="1"/>
  <c r="J375" i="15" s="1"/>
  <c r="J376" i="15" a="1"/>
  <c r="J376" i="15" s="1"/>
  <c r="J377" i="15" a="1"/>
  <c r="J377" i="15" s="1"/>
  <c r="J378" i="15" a="1"/>
  <c r="J378" i="15" s="1"/>
  <c r="J379" i="15" a="1"/>
  <c r="J379" i="15" s="1"/>
  <c r="J380" i="15" a="1"/>
  <c r="J380" i="15"/>
  <c r="J381" i="15" a="1"/>
  <c r="J381" i="15"/>
  <c r="J382" i="15" a="1"/>
  <c r="J382" i="15"/>
  <c r="J383" i="15" a="1"/>
  <c r="J383" i="15"/>
  <c r="J384" i="15" a="1"/>
  <c r="J384" i="15"/>
  <c r="J385" i="15" a="1"/>
  <c r="J385" i="15"/>
  <c r="J386" i="15" a="1"/>
  <c r="J386" i="15"/>
  <c r="J387" i="15" a="1"/>
  <c r="J387" i="15" s="1"/>
  <c r="J388" i="15" a="1"/>
  <c r="J388" i="15" s="1"/>
  <c r="J389" i="15" a="1"/>
  <c r="J389" i="15" s="1"/>
  <c r="J390" i="15" a="1"/>
  <c r="J390" i="15" s="1"/>
  <c r="J391" i="15" a="1"/>
  <c r="J391" i="15" s="1"/>
  <c r="J392" i="15" a="1"/>
  <c r="J392" i="15"/>
  <c r="J393" i="15" a="1"/>
  <c r="J393" i="15"/>
  <c r="J394" i="15" a="1"/>
  <c r="J394" i="15"/>
  <c r="J395" i="15" a="1"/>
  <c r="J395" i="15"/>
  <c r="J396" i="15" a="1"/>
  <c r="J396" i="15"/>
  <c r="J397" i="15" a="1"/>
  <c r="J397" i="15"/>
  <c r="J398" i="15" a="1"/>
  <c r="J398" i="15"/>
  <c r="J399" i="15" a="1"/>
  <c r="J399" i="15" s="1"/>
  <c r="J400" i="15" a="1"/>
  <c r="J400" i="15" s="1"/>
  <c r="J401" i="15" a="1"/>
  <c r="J401" i="15" s="1"/>
  <c r="J402" i="15" a="1"/>
  <c r="J402" i="15" s="1"/>
  <c r="J403" i="15" a="1"/>
  <c r="J403" i="15" s="1"/>
  <c r="J404" i="15" a="1"/>
  <c r="J404" i="15"/>
  <c r="J405" i="15" a="1"/>
  <c r="J405" i="15"/>
  <c r="J406" i="15" a="1"/>
  <c r="J406" i="15"/>
  <c r="J407" i="15" a="1"/>
  <c r="J407" i="15"/>
  <c r="J408" i="15" a="1"/>
  <c r="J408" i="15"/>
  <c r="J409" i="15" a="1"/>
  <c r="J409" i="15"/>
  <c r="J410" i="15" a="1"/>
  <c r="J410" i="15"/>
  <c r="J411" i="15" a="1"/>
  <c r="J411" i="15" s="1"/>
  <c r="J412" i="15" a="1"/>
  <c r="J412" i="15" s="1"/>
  <c r="J413" i="15" a="1"/>
  <c r="J413" i="15" s="1"/>
  <c r="J414" i="15" a="1"/>
  <c r="J414" i="15" s="1"/>
  <c r="J415" i="15" a="1"/>
  <c r="J415" i="15" s="1"/>
  <c r="J416" i="15" a="1"/>
  <c r="J416" i="15"/>
  <c r="J417" i="15" a="1"/>
  <c r="J417" i="15"/>
  <c r="J418" i="15" a="1"/>
  <c r="J418" i="15"/>
  <c r="J419" i="15" a="1"/>
  <c r="J419" i="15"/>
  <c r="J420" i="15" a="1"/>
  <c r="J420" i="15"/>
  <c r="J421" i="15" a="1"/>
  <c r="J421" i="15"/>
  <c r="J422" i="15" a="1"/>
  <c r="J422" i="15"/>
  <c r="J423" i="15" a="1"/>
  <c r="J423" i="15" s="1"/>
  <c r="J424" i="15" a="1"/>
  <c r="J424" i="15" s="1"/>
  <c r="J425" i="15" a="1"/>
  <c r="J425" i="15" s="1"/>
  <c r="J426" i="15" a="1"/>
  <c r="J426" i="15" s="1"/>
  <c r="J427" i="15" a="1"/>
  <c r="J427" i="15" s="1"/>
  <c r="J428" i="15" a="1"/>
  <c r="J428" i="15"/>
  <c r="J429" i="15" a="1"/>
  <c r="J429" i="15"/>
  <c r="J430" i="15" a="1"/>
  <c r="J430" i="15"/>
  <c r="J431" i="15" a="1"/>
  <c r="J431" i="15"/>
  <c r="J432" i="15" a="1"/>
  <c r="J432" i="15"/>
  <c r="J433" i="15" a="1"/>
  <c r="J433" i="15"/>
  <c r="J434" i="15" a="1"/>
  <c r="J434" i="15"/>
  <c r="J435" i="15" a="1"/>
  <c r="J435" i="15" s="1"/>
  <c r="J436" i="15" a="1"/>
  <c r="J436" i="15" s="1"/>
  <c r="J437" i="15" a="1"/>
  <c r="J437" i="15" s="1"/>
  <c r="J438" i="15" a="1"/>
  <c r="J438" i="15" s="1"/>
  <c r="J439" i="15" a="1"/>
  <c r="J439" i="15" s="1"/>
  <c r="J440" i="15" a="1"/>
  <c r="J440" i="15"/>
  <c r="J441" i="15" a="1"/>
  <c r="J441" i="15"/>
  <c r="J442" i="15" a="1"/>
  <c r="J442" i="15"/>
  <c r="J443" i="15" a="1"/>
  <c r="J443" i="15"/>
  <c r="J444" i="15" a="1"/>
  <c r="J444" i="15"/>
  <c r="J445" i="15" a="1"/>
  <c r="J445" i="15"/>
  <c r="J446" i="15" a="1"/>
  <c r="J446" i="15"/>
  <c r="J447" i="15" a="1"/>
  <c r="J447" i="15" s="1"/>
  <c r="J448" i="15" a="1"/>
  <c r="J448" i="15" s="1"/>
  <c r="J449" i="15" a="1"/>
  <c r="J449" i="15" s="1"/>
  <c r="J450" i="15" a="1"/>
  <c r="J450" i="15" s="1"/>
  <c r="J451" i="15" a="1"/>
  <c r="J451" i="15" s="1"/>
  <c r="J452" i="15" a="1"/>
  <c r="J452" i="15"/>
  <c r="J453" i="15" a="1"/>
  <c r="J453" i="15"/>
  <c r="J454" i="15" a="1"/>
  <c r="J454" i="15"/>
  <c r="J455" i="15" a="1"/>
  <c r="J455" i="15"/>
  <c r="J456" i="15" a="1"/>
  <c r="J456" i="15"/>
  <c r="J457" i="15" a="1"/>
  <c r="J457" i="15"/>
  <c r="J458" i="15" a="1"/>
  <c r="J458" i="15"/>
  <c r="J459" i="15" a="1"/>
  <c r="J459" i="15" s="1"/>
  <c r="J460" i="15" a="1"/>
  <c r="J460" i="15" s="1"/>
  <c r="J461" i="15" a="1"/>
  <c r="J461" i="15" s="1"/>
  <c r="J462" i="15" a="1"/>
  <c r="J462" i="15" s="1"/>
  <c r="J463" i="15" a="1"/>
  <c r="J463" i="15" s="1"/>
  <c r="J464" i="15" a="1"/>
  <c r="J464" i="15"/>
  <c r="J465" i="15" a="1"/>
  <c r="J465" i="15"/>
  <c r="J466" i="15" a="1"/>
  <c r="J466" i="15"/>
  <c r="J467" i="15" a="1"/>
  <c r="J467" i="15"/>
  <c r="J468" i="15" a="1"/>
  <c r="J468" i="15"/>
  <c r="J469" i="15" a="1"/>
  <c r="J469" i="15"/>
  <c r="J470" i="15" a="1"/>
  <c r="J470" i="15"/>
  <c r="J471" i="15" a="1"/>
  <c r="J471" i="15" s="1"/>
  <c r="J472" i="15" a="1"/>
  <c r="J472" i="15" s="1"/>
  <c r="J473" i="15" a="1"/>
  <c r="J473" i="15" s="1"/>
  <c r="J474" i="15" a="1"/>
  <c r="J474" i="15" s="1"/>
  <c r="J475" i="15" a="1"/>
  <c r="J475" i="15" s="1"/>
  <c r="J476" i="15" a="1"/>
  <c r="J476" i="15"/>
  <c r="J477" i="15" a="1"/>
  <c r="J477" i="15"/>
  <c r="J478" i="15" a="1"/>
  <c r="J478" i="15"/>
  <c r="J479" i="15" a="1"/>
  <c r="J479" i="15"/>
  <c r="J480" i="15" a="1"/>
  <c r="J480" i="15"/>
  <c r="J481" i="15" a="1"/>
  <c r="J481" i="15"/>
  <c r="J482" i="15" a="1"/>
  <c r="J482" i="15"/>
  <c r="J483" i="15" a="1"/>
  <c r="J483" i="15" s="1"/>
  <c r="J484" i="15" a="1"/>
  <c r="J484" i="15" s="1"/>
  <c r="J485" i="15" a="1"/>
  <c r="J485" i="15" s="1"/>
  <c r="J486" i="15" a="1"/>
  <c r="J486" i="15" s="1"/>
  <c r="J487" i="15" a="1"/>
  <c r="J487" i="15" s="1"/>
  <c r="J488" i="15" a="1"/>
  <c r="J488" i="15"/>
  <c r="J489" i="15" a="1"/>
  <c r="J489" i="15"/>
  <c r="J490" i="15" a="1"/>
  <c r="J490" i="15"/>
  <c r="J491" i="15" a="1"/>
  <c r="J491" i="15"/>
  <c r="J492" i="15" a="1"/>
  <c r="J492" i="15"/>
  <c r="J493" i="15" a="1"/>
  <c r="J493" i="15"/>
  <c r="J494" i="15" a="1"/>
  <c r="J494" i="15"/>
  <c r="J495" i="15" a="1"/>
  <c r="J495" i="15" s="1"/>
  <c r="J496" i="15" a="1"/>
  <c r="J496" i="15" s="1"/>
  <c r="J497" i="15" a="1"/>
  <c r="J497" i="15" s="1"/>
  <c r="J498" i="15" a="1"/>
  <c r="J498" i="15" s="1"/>
  <c r="J499" i="15" a="1"/>
  <c r="J499" i="15" s="1"/>
  <c r="J500" i="15" a="1"/>
  <c r="J500" i="15"/>
  <c r="J501" i="15" a="1"/>
  <c r="J501" i="15"/>
  <c r="J502" i="15" a="1"/>
  <c r="J502" i="15"/>
  <c r="J503" i="15" a="1"/>
  <c r="J503" i="15"/>
  <c r="J504" i="15" a="1"/>
  <c r="J504" i="15"/>
  <c r="J505" i="15" a="1"/>
  <c r="J505" i="15"/>
  <c r="J506" i="15" a="1"/>
  <c r="J506" i="15"/>
  <c r="J507" i="15" a="1"/>
  <c r="J507" i="15" s="1"/>
  <c r="J508" i="15" a="1"/>
  <c r="J508" i="15" s="1"/>
  <c r="J509" i="15" a="1"/>
  <c r="J509" i="15" s="1"/>
  <c r="J510" i="15" a="1"/>
  <c r="J510" i="15" s="1"/>
  <c r="J511" i="15" a="1"/>
  <c r="J511" i="15" s="1"/>
  <c r="J512" i="15" a="1"/>
  <c r="J512" i="15"/>
  <c r="J513" i="15" a="1"/>
  <c r="J513" i="15"/>
  <c r="J514" i="15" a="1"/>
  <c r="J514" i="15"/>
  <c r="J515" i="15" a="1"/>
  <c r="J515" i="15"/>
  <c r="J516" i="15" a="1"/>
  <c r="J516" i="15"/>
  <c r="J517" i="15" a="1"/>
  <c r="J517" i="15"/>
  <c r="J518" i="15" a="1"/>
  <c r="J518" i="15"/>
  <c r="J519" i="15" a="1"/>
  <c r="J519" i="15" s="1"/>
  <c r="J520" i="15" a="1"/>
  <c r="J520" i="15" s="1"/>
  <c r="J521" i="15" a="1"/>
  <c r="J521" i="15" s="1"/>
  <c r="J522" i="15" a="1"/>
  <c r="J522" i="15" s="1"/>
  <c r="J523" i="15" a="1"/>
  <c r="J523" i="15" s="1"/>
  <c r="J524" i="15" a="1"/>
  <c r="J524" i="15"/>
  <c r="J525" i="15" a="1"/>
  <c r="J525" i="15"/>
  <c r="J526" i="15" a="1"/>
  <c r="J526" i="15"/>
  <c r="J527" i="15" a="1"/>
  <c r="J527" i="15"/>
  <c r="J528" i="15" a="1"/>
  <c r="J528" i="15"/>
  <c r="J529" i="15" a="1"/>
  <c r="J529" i="15"/>
  <c r="J530" i="15" a="1"/>
  <c r="J530" i="15"/>
  <c r="J531" i="15" a="1"/>
  <c r="J531" i="15" s="1"/>
  <c r="J532" i="15" a="1"/>
  <c r="J532" i="15" s="1"/>
  <c r="J533" i="15" a="1"/>
  <c r="J533" i="15" s="1"/>
  <c r="J534" i="15" a="1"/>
  <c r="J534" i="15" s="1"/>
  <c r="J535" i="15" a="1"/>
  <c r="J535" i="15" s="1"/>
  <c r="J536" i="15" a="1"/>
  <c r="J536" i="15"/>
  <c r="J537" i="15" a="1"/>
  <c r="J537" i="15"/>
  <c r="J538" i="15" a="1"/>
  <c r="J538" i="15"/>
  <c r="J539" i="15" a="1"/>
  <c r="J539" i="15"/>
  <c r="J540" i="15" a="1"/>
  <c r="J540" i="15"/>
  <c r="J541" i="15" a="1"/>
  <c r="J541" i="15"/>
  <c r="J542" i="15" a="1"/>
  <c r="J542" i="15"/>
  <c r="J543" i="15" a="1"/>
  <c r="J543" i="15" s="1"/>
  <c r="J544" i="15" a="1"/>
  <c r="J544" i="15" s="1"/>
  <c r="J545" i="15" a="1"/>
  <c r="J545" i="15" s="1"/>
  <c r="J546" i="15" a="1"/>
  <c r="J546" i="15" s="1"/>
  <c r="J547" i="15" a="1"/>
  <c r="J547" i="15" s="1"/>
  <c r="J548" i="15" a="1"/>
  <c r="J548" i="15"/>
  <c r="J549" i="15" a="1"/>
  <c r="J549" i="15"/>
  <c r="J550" i="15" a="1"/>
  <c r="J550" i="15"/>
  <c r="J551" i="15" a="1"/>
  <c r="J551" i="15"/>
  <c r="J552" i="15" a="1"/>
  <c r="J552" i="15"/>
  <c r="J553" i="15" a="1"/>
  <c r="J553" i="15"/>
  <c r="J554" i="15" a="1"/>
  <c r="J554" i="15"/>
  <c r="J555" i="15" a="1"/>
  <c r="J555" i="15" s="1"/>
  <c r="J556" i="15" a="1"/>
  <c r="J556" i="15" s="1"/>
  <c r="J557" i="15" a="1"/>
  <c r="J557" i="15" s="1"/>
  <c r="J558" i="15" a="1"/>
  <c r="J558" i="15" s="1"/>
  <c r="J559" i="15" a="1"/>
  <c r="J559" i="15" s="1"/>
  <c r="J560" i="15" a="1"/>
  <c r="J560" i="15"/>
  <c r="J561" i="15" a="1"/>
  <c r="J561" i="15"/>
  <c r="J562" i="15" a="1"/>
  <c r="J562" i="15"/>
  <c r="J563" i="15" a="1"/>
  <c r="J563" i="15"/>
  <c r="J564" i="15" a="1"/>
  <c r="J564" i="15"/>
  <c r="J565" i="15" a="1"/>
  <c r="J565" i="15"/>
  <c r="J566" i="15" a="1"/>
  <c r="J566" i="15"/>
  <c r="J567" i="15" a="1"/>
  <c r="J567" i="15" s="1"/>
  <c r="J568" i="15" a="1"/>
  <c r="J568" i="15" s="1"/>
  <c r="J569" i="15" a="1"/>
  <c r="J569" i="15" s="1"/>
  <c r="J570" i="15" a="1"/>
  <c r="J570" i="15" s="1"/>
  <c r="J571" i="15" a="1"/>
  <c r="J571" i="15" s="1"/>
  <c r="J572" i="15" a="1"/>
  <c r="J572" i="15"/>
  <c r="J573" i="15" a="1"/>
  <c r="J573" i="15"/>
  <c r="J574" i="15" a="1"/>
  <c r="J574" i="15"/>
  <c r="J575" i="15" a="1"/>
  <c r="J575" i="15"/>
  <c r="J576" i="15" a="1"/>
  <c r="J576" i="15"/>
  <c r="J577" i="15" a="1"/>
  <c r="J577" i="15"/>
  <c r="J578" i="15" a="1"/>
  <c r="J578" i="15"/>
  <c r="J579" i="15" a="1"/>
  <c r="J579" i="15" s="1"/>
  <c r="J580" i="15" a="1"/>
  <c r="J580" i="15" s="1"/>
  <c r="J581" i="15" a="1"/>
  <c r="J581" i="15" s="1"/>
  <c r="J582" i="15" a="1"/>
  <c r="J582" i="15" s="1"/>
  <c r="J583" i="15" a="1"/>
  <c r="J583" i="15" s="1"/>
  <c r="J584" i="15" a="1"/>
  <c r="J584" i="15"/>
  <c r="J585" i="15" a="1"/>
  <c r="J585" i="15"/>
  <c r="J586" i="15" a="1"/>
  <c r="J586" i="15"/>
  <c r="J587" i="15" a="1"/>
  <c r="J587" i="15"/>
  <c r="J588" i="15" a="1"/>
  <c r="J588" i="15"/>
  <c r="J589" i="15" a="1"/>
  <c r="J589" i="15"/>
  <c r="J590" i="15" a="1"/>
  <c r="J590" i="15"/>
  <c r="J591" i="15" a="1"/>
  <c r="J591" i="15" s="1"/>
  <c r="J592" i="15" a="1"/>
  <c r="J592" i="15" s="1"/>
  <c r="J593" i="15" a="1"/>
  <c r="J593" i="15" s="1"/>
  <c r="J594" i="15" a="1"/>
  <c r="J594" i="15" s="1"/>
  <c r="J595" i="15" a="1"/>
  <c r="J595" i="15" s="1"/>
  <c r="J596" i="15" a="1"/>
  <c r="J596" i="15"/>
  <c r="J597" i="15" a="1"/>
  <c r="J597" i="15"/>
  <c r="J598" i="15" a="1"/>
  <c r="J598" i="15"/>
  <c r="J599" i="15" a="1"/>
  <c r="J599" i="15"/>
  <c r="J600" i="15" a="1"/>
  <c r="J600" i="15"/>
  <c r="J601" i="15" a="1"/>
  <c r="J601" i="15"/>
  <c r="J602" i="15" a="1"/>
  <c r="J602" i="15"/>
  <c r="J603" i="15" a="1"/>
  <c r="J603" i="15" s="1"/>
  <c r="J604" i="15" a="1"/>
  <c r="J604" i="15" s="1"/>
  <c r="J605" i="15" a="1"/>
  <c r="J605" i="15" s="1"/>
  <c r="J606" i="15" a="1"/>
  <c r="J606" i="15" s="1"/>
  <c r="J607" i="15" a="1"/>
  <c r="J607" i="15" s="1"/>
  <c r="J608" i="15" a="1"/>
  <c r="J608" i="15"/>
  <c r="J609" i="15" a="1"/>
  <c r="J609" i="15"/>
  <c r="J610" i="15" a="1"/>
  <c r="J610" i="15"/>
  <c r="J611" i="15" a="1"/>
  <c r="J611" i="15"/>
  <c r="J612" i="15" a="1"/>
  <c r="J612" i="15"/>
  <c r="J613" i="15" a="1"/>
  <c r="J613" i="15"/>
  <c r="J614" i="15" a="1"/>
  <c r="J614" i="15"/>
  <c r="J615" i="15" a="1"/>
  <c r="J615" i="15" s="1"/>
  <c r="J616" i="15" a="1"/>
  <c r="J616" i="15" s="1"/>
  <c r="J617" i="15" a="1"/>
  <c r="J617" i="15" s="1"/>
  <c r="J618" i="15" a="1"/>
  <c r="J618" i="15" s="1"/>
  <c r="J619" i="15" a="1"/>
  <c r="J619" i="15" s="1"/>
  <c r="J620" i="15" a="1"/>
  <c r="J620" i="15"/>
  <c r="J621" i="15" a="1"/>
  <c r="J621" i="15"/>
  <c r="J622" i="15" a="1"/>
  <c r="J622" i="15"/>
  <c r="J623" i="15" a="1"/>
  <c r="J623" i="15"/>
  <c r="J624" i="15" a="1"/>
  <c r="J624" i="15"/>
  <c r="J625" i="15" a="1"/>
  <c r="J625" i="15"/>
  <c r="J626" i="15" a="1"/>
  <c r="J626" i="15"/>
  <c r="J627" i="15" a="1"/>
  <c r="J627" i="15" s="1"/>
  <c r="J628" i="15" a="1"/>
  <c r="J628" i="15" s="1"/>
  <c r="J629" i="15" a="1"/>
  <c r="J629" i="15" s="1"/>
  <c r="J630" i="15" a="1"/>
  <c r="J630" i="15" s="1"/>
  <c r="J631" i="15" a="1"/>
  <c r="J631" i="15" s="1"/>
  <c r="J632" i="15" a="1"/>
  <c r="J632" i="15"/>
  <c r="J633" i="15" a="1"/>
  <c r="J633" i="15"/>
  <c r="J634" i="15" a="1"/>
  <c r="J634" i="15"/>
  <c r="J635" i="15" a="1"/>
  <c r="J635" i="15"/>
  <c r="J636" i="15" a="1"/>
  <c r="J636" i="15"/>
  <c r="J637" i="15" a="1"/>
  <c r="J637" i="15"/>
  <c r="J638" i="15" a="1"/>
  <c r="J638" i="15"/>
  <c r="J639" i="15" a="1"/>
  <c r="J639" i="15" s="1"/>
  <c r="J640" i="15" a="1"/>
  <c r="J640" i="15" s="1"/>
  <c r="J641" i="15" a="1"/>
  <c r="J641" i="15" s="1"/>
  <c r="J642" i="15" a="1"/>
  <c r="J642" i="15" s="1"/>
  <c r="J643" i="15" a="1"/>
  <c r="J643" i="15" s="1"/>
  <c r="J644" i="15" a="1"/>
  <c r="J644" i="15"/>
  <c r="J645" i="15" a="1"/>
  <c r="J645" i="15"/>
  <c r="J646" i="15" a="1"/>
  <c r="J646" i="15"/>
  <c r="J647" i="15" a="1"/>
  <c r="J647" i="15"/>
  <c r="J648" i="15" a="1"/>
  <c r="J648" i="15"/>
  <c r="J649" i="15" a="1"/>
  <c r="J649" i="15"/>
  <c r="J650" i="15" a="1"/>
  <c r="J650" i="15"/>
  <c r="J651" i="15" a="1"/>
  <c r="J651" i="15" s="1"/>
  <c r="J652" i="15" a="1"/>
  <c r="J652" i="15" s="1"/>
  <c r="J653" i="15" a="1"/>
  <c r="J653" i="15" s="1"/>
  <c r="J654" i="15" a="1"/>
  <c r="J654" i="15" s="1"/>
  <c r="J655" i="15" a="1"/>
  <c r="J655" i="15" s="1"/>
  <c r="J656" i="15" a="1"/>
  <c r="J656" i="15"/>
  <c r="J657" i="15" a="1"/>
  <c r="J657" i="15"/>
  <c r="J658" i="15" a="1"/>
  <c r="J658" i="15"/>
  <c r="J659" i="15" a="1"/>
  <c r="J659" i="15"/>
  <c r="J660" i="15" a="1"/>
  <c r="J660" i="15"/>
  <c r="J661" i="15" a="1"/>
  <c r="J661" i="15"/>
  <c r="J662" i="15" a="1"/>
  <c r="J662" i="15"/>
  <c r="J663" i="15" a="1"/>
  <c r="J663" i="15" s="1"/>
  <c r="J664" i="15" a="1"/>
  <c r="J664" i="15" s="1"/>
  <c r="J665" i="15" a="1"/>
  <c r="J665" i="15" s="1"/>
  <c r="J666" i="15" a="1"/>
  <c r="J666" i="15" s="1"/>
  <c r="J667" i="15" a="1"/>
  <c r="J667" i="15" s="1"/>
  <c r="J668" i="15" a="1"/>
  <c r="J668" i="15"/>
  <c r="J669" i="15" a="1"/>
  <c r="J669" i="15"/>
  <c r="J670" i="15" a="1"/>
  <c r="J670" i="15"/>
  <c r="J671" i="15" a="1"/>
  <c r="J671" i="15"/>
  <c r="J672" i="15" a="1"/>
  <c r="J672" i="15"/>
  <c r="J673" i="15" a="1"/>
  <c r="J673" i="15"/>
  <c r="J674" i="15" a="1"/>
  <c r="J674" i="15"/>
  <c r="J675" i="15" a="1"/>
  <c r="J675" i="15" s="1"/>
  <c r="J676" i="15" a="1"/>
  <c r="J676" i="15" s="1"/>
  <c r="J677" i="15" a="1"/>
  <c r="J677" i="15" s="1"/>
  <c r="J678" i="15" a="1"/>
  <c r="J678" i="15" s="1"/>
  <c r="J679" i="15" a="1"/>
  <c r="J679" i="15" s="1"/>
  <c r="J680" i="15" a="1"/>
  <c r="J680" i="15"/>
  <c r="J681" i="15" a="1"/>
  <c r="J681" i="15"/>
  <c r="J682" i="15" a="1"/>
  <c r="J682" i="15"/>
  <c r="J683" i="15" a="1"/>
  <c r="J683" i="15"/>
  <c r="J684" i="15" a="1"/>
  <c r="J684" i="15"/>
  <c r="J685" i="15" a="1"/>
  <c r="J685" i="15"/>
  <c r="J686" i="15" a="1"/>
  <c r="J686" i="15"/>
  <c r="J687" i="15" a="1"/>
  <c r="J687" i="15" s="1"/>
  <c r="J688" i="15" a="1"/>
  <c r="J688" i="15" s="1"/>
  <c r="J689" i="15" a="1"/>
  <c r="J689" i="15" s="1"/>
  <c r="J690" i="15" a="1"/>
  <c r="J690" i="15" s="1"/>
  <c r="J691" i="15" a="1"/>
  <c r="J691" i="15" s="1"/>
  <c r="J692" i="15" a="1"/>
  <c r="J692" i="15"/>
  <c r="J693" i="15" a="1"/>
  <c r="J693" i="15"/>
  <c r="J694" i="15" a="1"/>
  <c r="J694" i="15"/>
  <c r="J695" i="15" a="1"/>
  <c r="J695" i="15"/>
  <c r="J696" i="15" a="1"/>
  <c r="J696" i="15"/>
  <c r="J697" i="15" a="1"/>
  <c r="J697" i="15"/>
  <c r="J698" i="15" a="1"/>
  <c r="J698" i="15"/>
  <c r="J699" i="15" a="1"/>
  <c r="J699" i="15" s="1"/>
  <c r="J700" i="15" a="1"/>
  <c r="J700" i="15" s="1"/>
  <c r="J701" i="15" a="1"/>
  <c r="J701" i="15" s="1"/>
  <c r="J702" i="15" a="1"/>
  <c r="J702" i="15" s="1"/>
  <c r="J703" i="15" a="1"/>
  <c r="J703" i="15" s="1"/>
  <c r="J704" i="15" a="1"/>
  <c r="J704" i="15"/>
  <c r="J705" i="15" a="1"/>
  <c r="J705" i="15"/>
  <c r="J706" i="15" a="1"/>
  <c r="J706" i="15"/>
  <c r="J707" i="15" a="1"/>
  <c r="J707" i="15"/>
  <c r="J708" i="15" a="1"/>
  <c r="J708" i="15"/>
  <c r="J709" i="15" a="1"/>
  <c r="J709" i="15"/>
  <c r="J710" i="15" a="1"/>
  <c r="J710" i="15"/>
  <c r="J711" i="15" a="1"/>
  <c r="J711" i="15" s="1"/>
  <c r="J712" i="15" a="1"/>
  <c r="J712" i="15" s="1"/>
  <c r="J713" i="15" a="1"/>
  <c r="J713" i="15" s="1"/>
  <c r="J714" i="15" a="1"/>
  <c r="J714" i="15" s="1"/>
  <c r="J715" i="15" a="1"/>
  <c r="J715" i="15" s="1"/>
  <c r="J716" i="15" a="1"/>
  <c r="J716" i="15"/>
  <c r="J717" i="15" a="1"/>
  <c r="J717" i="15"/>
  <c r="J718" i="15" a="1"/>
  <c r="J718" i="15"/>
  <c r="J719" i="15" a="1"/>
  <c r="J719" i="15"/>
  <c r="J720" i="15" a="1"/>
  <c r="J720" i="15"/>
  <c r="J721" i="15" a="1"/>
  <c r="J721" i="15"/>
  <c r="J722" i="15" a="1"/>
  <c r="J722" i="15"/>
  <c r="J723" i="15" a="1"/>
  <c r="J723" i="15" s="1"/>
  <c r="J724" i="15" a="1"/>
  <c r="J724" i="15" s="1"/>
  <c r="J725" i="15" a="1"/>
  <c r="J725" i="15" s="1"/>
  <c r="J726" i="15" a="1"/>
  <c r="J726" i="15" s="1"/>
  <c r="J727" i="15" a="1"/>
  <c r="J727" i="15" s="1"/>
  <c r="J728" i="15" a="1"/>
  <c r="J728" i="15"/>
  <c r="J729" i="15" a="1"/>
  <c r="J729" i="15"/>
  <c r="J730" i="15" a="1"/>
  <c r="J730" i="15"/>
  <c r="J731" i="15" a="1"/>
  <c r="J731" i="15"/>
  <c r="J732" i="15" a="1"/>
  <c r="J732" i="15"/>
  <c r="J733" i="15" a="1"/>
  <c r="J733" i="15"/>
  <c r="J734" i="15" a="1"/>
  <c r="J734" i="15"/>
  <c r="J735" i="15" a="1"/>
  <c r="J735" i="15" s="1"/>
  <c r="J736" i="15" a="1"/>
  <c r="J736" i="15" s="1"/>
  <c r="J737" i="15" a="1"/>
  <c r="J737" i="15" s="1"/>
  <c r="J738" i="15" a="1"/>
  <c r="J738" i="15" s="1"/>
  <c r="J739" i="15" a="1"/>
  <c r="J739" i="15" s="1"/>
  <c r="J740" i="15" a="1"/>
  <c r="J740" i="15"/>
  <c r="J741" i="15" a="1"/>
  <c r="J741" i="15"/>
  <c r="J742" i="15" a="1"/>
  <c r="J742" i="15"/>
  <c r="J743" i="15" a="1"/>
  <c r="J743" i="15"/>
  <c r="J744" i="15" a="1"/>
  <c r="J744" i="15"/>
  <c r="J745" i="15" a="1"/>
  <c r="J745" i="15"/>
  <c r="J746" i="15" a="1"/>
  <c r="J746" i="15"/>
  <c r="J747" i="15" a="1"/>
  <c r="J747" i="15" s="1"/>
  <c r="J748" i="15" a="1"/>
  <c r="J748" i="15" s="1"/>
  <c r="J749" i="15" a="1"/>
  <c r="J749" i="15" s="1"/>
  <c r="J750" i="15" a="1"/>
  <c r="J750" i="15" s="1"/>
  <c r="J751" i="15" a="1"/>
  <c r="J751" i="15" s="1"/>
  <c r="J752" i="15" a="1"/>
  <c r="J752" i="15"/>
  <c r="J753" i="15" a="1"/>
  <c r="J753" i="15"/>
  <c r="J754" i="15" a="1"/>
  <c r="J754" i="15"/>
  <c r="J755" i="15" a="1"/>
  <c r="J755" i="15"/>
  <c r="J756" i="15" a="1"/>
  <c r="J756" i="15"/>
  <c r="J757" i="15" a="1"/>
  <c r="J757" i="15"/>
  <c r="J758" i="15" a="1"/>
  <c r="J758" i="15" s="1"/>
  <c r="J759" i="15" a="1"/>
  <c r="J759" i="15" s="1"/>
  <c r="J760" i="15" a="1"/>
  <c r="J760" i="15" s="1"/>
  <c r="J761" i="15" a="1"/>
  <c r="J761" i="15" s="1"/>
  <c r="J762" i="15" a="1"/>
  <c r="J762" i="15" s="1"/>
  <c r="J763" i="15" a="1"/>
  <c r="J763" i="15" s="1"/>
  <c r="J764" i="15" a="1"/>
  <c r="J764" i="15"/>
  <c r="J765" i="15" a="1"/>
  <c r="J765" i="15" s="1"/>
  <c r="J766" i="15" a="1"/>
  <c r="J766" i="15"/>
  <c r="J767" i="15" a="1"/>
  <c r="J767" i="15"/>
  <c r="J768" i="15" a="1"/>
  <c r="J768" i="15"/>
  <c r="J769" i="15" a="1"/>
  <c r="J769" i="15"/>
  <c r="J770" i="15" a="1"/>
  <c r="J770" i="15" s="1"/>
  <c r="J771" i="15" a="1"/>
  <c r="J771" i="15" s="1"/>
  <c r="J772" i="15" a="1"/>
  <c r="J772" i="15" s="1"/>
  <c r="J773" i="15" a="1"/>
  <c r="J773" i="15" s="1"/>
  <c r="J774" i="15" a="1"/>
  <c r="J774" i="15" s="1"/>
  <c r="J775" i="15" a="1"/>
  <c r="J775" i="15" s="1"/>
  <c r="J776" i="15" a="1"/>
  <c r="J776" i="15"/>
  <c r="J777" i="15" a="1"/>
  <c r="J777" i="15"/>
  <c r="J778" i="15" a="1"/>
  <c r="J778" i="15"/>
  <c r="J779" i="15" a="1"/>
  <c r="J779" i="15"/>
  <c r="J780" i="15" a="1"/>
  <c r="J780" i="15"/>
  <c r="J781" i="15" a="1"/>
  <c r="J781" i="15"/>
  <c r="J782" i="15" a="1"/>
  <c r="J782" i="15" s="1"/>
  <c r="J783" i="15" a="1"/>
  <c r="J783" i="15" s="1"/>
  <c r="J784" i="15" a="1"/>
  <c r="J784" i="15" s="1"/>
  <c r="J785" i="15" a="1"/>
  <c r="J785" i="15" s="1"/>
  <c r="J786" i="15" a="1"/>
  <c r="J786" i="15" s="1"/>
  <c r="J787" i="15" a="1"/>
  <c r="J787" i="15" s="1"/>
  <c r="J788" i="15" a="1"/>
  <c r="J788" i="15"/>
  <c r="J789" i="15" a="1"/>
  <c r="J789" i="15"/>
  <c r="J790" i="15" a="1"/>
  <c r="J790" i="15"/>
  <c r="J791" i="15" a="1"/>
  <c r="J791" i="15"/>
  <c r="J792" i="15" a="1"/>
  <c r="J792" i="15"/>
  <c r="J793" i="15" a="1"/>
  <c r="J793" i="15"/>
  <c r="J794" i="15" a="1"/>
  <c r="J794" i="15" s="1"/>
  <c r="J795" i="15" a="1"/>
  <c r="J795" i="15" s="1"/>
  <c r="J796" i="15" a="1"/>
  <c r="J796" i="15" s="1"/>
  <c r="J797" i="15" a="1"/>
  <c r="J797" i="15" s="1"/>
  <c r="J798" i="15" a="1"/>
  <c r="J798" i="15" s="1"/>
  <c r="J799" i="15" a="1"/>
  <c r="J799" i="15" s="1"/>
  <c r="J800" i="15" a="1"/>
  <c r="J800" i="15"/>
  <c r="J801" i="15" a="1"/>
  <c r="J801" i="15"/>
  <c r="J802" i="15" a="1"/>
  <c r="J802" i="15"/>
  <c r="J803" i="15" a="1"/>
  <c r="J803" i="15"/>
  <c r="J804" i="15" a="1"/>
  <c r="J804" i="15"/>
  <c r="J805" i="15" a="1"/>
  <c r="J805" i="15"/>
  <c r="J806" i="15" a="1"/>
  <c r="J806" i="15" s="1"/>
  <c r="J807" i="15" a="1"/>
  <c r="J807" i="15" s="1"/>
  <c r="J808" i="15" a="1"/>
  <c r="J808" i="15" s="1"/>
  <c r="J809" i="15" a="1"/>
  <c r="J809" i="15" s="1"/>
  <c r="J810" i="15" a="1"/>
  <c r="J810" i="15" s="1"/>
  <c r="J811" i="15" a="1"/>
  <c r="J811" i="15" s="1"/>
  <c r="J812" i="15" a="1"/>
  <c r="J812" i="15"/>
  <c r="J813" i="15" a="1"/>
  <c r="J813" i="15"/>
  <c r="J814" i="15" a="1"/>
  <c r="J814" i="15"/>
  <c r="J815" i="15" a="1"/>
  <c r="J815" i="15"/>
  <c r="J816" i="15" a="1"/>
  <c r="J816" i="15"/>
  <c r="J817" i="15" a="1"/>
  <c r="J817" i="15"/>
  <c r="J818" i="15" a="1"/>
  <c r="J818" i="15" s="1"/>
  <c r="J819" i="15" a="1"/>
  <c r="J819" i="15" s="1"/>
  <c r="J820" i="15" a="1"/>
  <c r="J820" i="15" s="1"/>
  <c r="J821" i="15" a="1"/>
  <c r="J821" i="15" s="1"/>
  <c r="J822" i="15" a="1"/>
  <c r="J822" i="15" s="1"/>
  <c r="J823" i="15" a="1"/>
  <c r="J823" i="15" s="1"/>
  <c r="J824" i="15" a="1"/>
  <c r="J824" i="15"/>
  <c r="J825" i="15" a="1"/>
  <c r="J825" i="15"/>
  <c r="J826" i="15" a="1"/>
  <c r="J826" i="15"/>
  <c r="J827" i="15" a="1"/>
  <c r="J827" i="15"/>
  <c r="J828" i="15" a="1"/>
  <c r="J828" i="15"/>
  <c r="J829" i="15" a="1"/>
  <c r="J829" i="15"/>
  <c r="J830" i="15" a="1"/>
  <c r="J830" i="15" s="1"/>
  <c r="J831" i="15" a="1"/>
  <c r="J831" i="15" s="1"/>
  <c r="J832" i="15" a="1"/>
  <c r="J832" i="15" s="1"/>
  <c r="J833" i="15" a="1"/>
  <c r="J833" i="15" s="1"/>
  <c r="J834" i="15" a="1"/>
  <c r="J834" i="15" s="1"/>
  <c r="J835" i="15" a="1"/>
  <c r="J835" i="15" s="1"/>
  <c r="J836" i="15" a="1"/>
  <c r="J836" i="15"/>
  <c r="J837" i="15" a="1"/>
  <c r="J837" i="15"/>
  <c r="J838" i="15" a="1"/>
  <c r="J838" i="15"/>
  <c r="J839" i="15" a="1"/>
  <c r="J839" i="15"/>
  <c r="J840" i="15" a="1"/>
  <c r="J840" i="15"/>
  <c r="J841" i="15" a="1"/>
  <c r="J841" i="15"/>
  <c r="J842" i="15" a="1"/>
  <c r="J842" i="15" s="1"/>
  <c r="J843" i="15" a="1"/>
  <c r="J843" i="15" s="1"/>
  <c r="J844" i="15" a="1"/>
  <c r="J844" i="15" s="1"/>
  <c r="J845" i="15" a="1"/>
  <c r="J845" i="15" s="1"/>
  <c r="J846" i="15" a="1"/>
  <c r="J846" i="15" s="1"/>
  <c r="J847" i="15" a="1"/>
  <c r="J847" i="15" s="1"/>
  <c r="J848" i="15" a="1"/>
  <c r="J848" i="15"/>
  <c r="J849" i="15" a="1"/>
  <c r="J849" i="15"/>
  <c r="J850" i="15" a="1"/>
  <c r="J850" i="15"/>
  <c r="J851" i="15" a="1"/>
  <c r="J851" i="15"/>
  <c r="J852" i="15" a="1"/>
  <c r="J852" i="15"/>
  <c r="J853" i="15" a="1"/>
  <c r="J853" i="15"/>
  <c r="J854" i="15" a="1"/>
  <c r="J854" i="15" s="1"/>
  <c r="J855" i="15" a="1"/>
  <c r="J855" i="15" s="1"/>
  <c r="J856" i="15" a="1"/>
  <c r="J856" i="15" s="1"/>
  <c r="J857" i="15" a="1"/>
  <c r="J857" i="15" s="1"/>
  <c r="J858" i="15" a="1"/>
  <c r="J858" i="15" s="1"/>
  <c r="J859" i="15" a="1"/>
  <c r="J859" i="15" s="1"/>
  <c r="J860" i="15" a="1"/>
  <c r="J860" i="15"/>
  <c r="J861" i="15" a="1"/>
  <c r="J861" i="15"/>
  <c r="J862" i="15" a="1"/>
  <c r="J862" i="15"/>
  <c r="J863" i="15" a="1"/>
  <c r="J863" i="15"/>
  <c r="J864" i="15" a="1"/>
  <c r="J864" i="15"/>
  <c r="J865" i="15" a="1"/>
  <c r="J865" i="15"/>
  <c r="J866" i="15" a="1"/>
  <c r="J866" i="15" s="1"/>
  <c r="J867" i="15" a="1"/>
  <c r="J867" i="15" s="1"/>
  <c r="J868" i="15" a="1"/>
  <c r="J868" i="15" s="1"/>
  <c r="J869" i="15" a="1"/>
  <c r="J869" i="15" s="1"/>
  <c r="J870" i="15" a="1"/>
  <c r="J870" i="15" s="1"/>
  <c r="J871" i="15" a="1"/>
  <c r="J871" i="15" s="1"/>
  <c r="J872" i="15" a="1"/>
  <c r="J872" i="15"/>
  <c r="J873" i="15" a="1"/>
  <c r="J873" i="15"/>
  <c r="J874" i="15" a="1"/>
  <c r="J874" i="15"/>
  <c r="J875" i="15" a="1"/>
  <c r="J875" i="15"/>
  <c r="J876" i="15" a="1"/>
  <c r="J876" i="15"/>
  <c r="J877" i="15" a="1"/>
  <c r="J877" i="15"/>
  <c r="J878" i="15" a="1"/>
  <c r="J878" i="15" s="1"/>
  <c r="J879" i="15" a="1"/>
  <c r="J879" i="15" s="1"/>
  <c r="J880" i="15" a="1"/>
  <c r="J880" i="15" s="1"/>
  <c r="J881" i="15" a="1"/>
  <c r="J881" i="15" s="1"/>
  <c r="J882" i="15" a="1"/>
  <c r="J882" i="15" s="1"/>
  <c r="J883" i="15" a="1"/>
  <c r="J883" i="15" s="1"/>
  <c r="J884" i="15" a="1"/>
  <c r="J884" i="15"/>
  <c r="J885" i="15" a="1"/>
  <c r="J885" i="15"/>
  <c r="J886" i="15" a="1"/>
  <c r="J886" i="15"/>
  <c r="J887" i="15" a="1"/>
  <c r="J887" i="15"/>
  <c r="J888" i="15" a="1"/>
  <c r="J888" i="15"/>
  <c r="J889" i="15" a="1"/>
  <c r="J889" i="15"/>
  <c r="J890" i="15" a="1"/>
  <c r="J890" i="15" s="1"/>
  <c r="J891" i="15" a="1"/>
  <c r="J891" i="15" s="1"/>
  <c r="J892" i="15" a="1"/>
  <c r="J892" i="15" s="1"/>
  <c r="J893" i="15" a="1"/>
  <c r="J893" i="15" s="1"/>
  <c r="J894" i="15" a="1"/>
  <c r="J894" i="15" s="1"/>
  <c r="J895" i="15" a="1"/>
  <c r="J895" i="15" s="1"/>
  <c r="J896" i="15" a="1"/>
  <c r="J896" i="15"/>
  <c r="J897" i="15" a="1"/>
  <c r="J897" i="15"/>
  <c r="J898" i="15" a="1"/>
  <c r="J898" i="15"/>
  <c r="J899" i="15" a="1"/>
  <c r="J899" i="15"/>
  <c r="J900" i="15" a="1"/>
  <c r="J900" i="15"/>
  <c r="J901" i="15" a="1"/>
  <c r="J901" i="15"/>
  <c r="J902" i="15" a="1"/>
  <c r="J902" i="15" s="1"/>
  <c r="J903" i="15" a="1"/>
  <c r="J903" i="15" s="1"/>
  <c r="J904" i="15" a="1"/>
  <c r="J904" i="15" s="1"/>
  <c r="J905" i="15" a="1"/>
  <c r="J905" i="15" s="1"/>
  <c r="J906" i="15" a="1"/>
  <c r="J906" i="15" s="1"/>
  <c r="J907" i="15" a="1"/>
  <c r="J907" i="15" s="1"/>
  <c r="J908" i="15" a="1"/>
  <c r="J908" i="15"/>
  <c r="J909" i="15" a="1"/>
  <c r="J909" i="15"/>
  <c r="J910" i="15" a="1"/>
  <c r="J910" i="15"/>
  <c r="J911" i="15" a="1"/>
  <c r="J911" i="15"/>
  <c r="J912" i="15" a="1"/>
  <c r="J912" i="15"/>
  <c r="J913" i="15" a="1"/>
  <c r="J913" i="15"/>
  <c r="J914" i="15" a="1"/>
  <c r="J914" i="15" s="1"/>
  <c r="J915" i="15" a="1"/>
  <c r="J915" i="15" s="1"/>
  <c r="J916" i="15" a="1"/>
  <c r="J916" i="15" s="1"/>
  <c r="J917" i="15" a="1"/>
  <c r="J917" i="15" s="1"/>
  <c r="J918" i="15" a="1"/>
  <c r="J918" i="15" s="1"/>
  <c r="J919" i="15" a="1"/>
  <c r="J919" i="15" s="1"/>
  <c r="J920" i="15" a="1"/>
  <c r="J920" i="15"/>
  <c r="J921" i="15" a="1"/>
  <c r="J921" i="15"/>
  <c r="J922" i="15" a="1"/>
  <c r="J922" i="15"/>
  <c r="J923" i="15" a="1"/>
  <c r="J923" i="15"/>
  <c r="J924" i="15" a="1"/>
  <c r="J924" i="15"/>
  <c r="J925" i="15" a="1"/>
  <c r="J925" i="15"/>
  <c r="J926" i="15" a="1"/>
  <c r="J926" i="15" s="1"/>
  <c r="J927" i="15" a="1"/>
  <c r="J927" i="15" s="1"/>
  <c r="J928" i="15" a="1"/>
  <c r="J928" i="15" s="1"/>
  <c r="J929" i="15" a="1"/>
  <c r="J929" i="15" s="1"/>
  <c r="J930" i="15" a="1"/>
  <c r="J930" i="15" s="1"/>
  <c r="J931" i="15" a="1"/>
  <c r="J931" i="15" s="1"/>
  <c r="J932" i="15" a="1"/>
  <c r="J932" i="15"/>
  <c r="J933" i="15" a="1"/>
  <c r="J933" i="15"/>
  <c r="J934" i="15" a="1"/>
  <c r="J934" i="15"/>
  <c r="J935" i="15" a="1"/>
  <c r="J935" i="15"/>
  <c r="J936" i="15" a="1"/>
  <c r="J936" i="15"/>
  <c r="J937" i="15" a="1"/>
  <c r="J937" i="15"/>
  <c r="J938" i="15" a="1"/>
  <c r="J938" i="15" s="1"/>
  <c r="J939" i="15" a="1"/>
  <c r="J939" i="15" s="1"/>
  <c r="J940" i="15" a="1"/>
  <c r="J940" i="15" s="1"/>
  <c r="J941" i="15" a="1"/>
  <c r="J941" i="15" s="1"/>
  <c r="J942" i="15" a="1"/>
  <c r="J942" i="15" s="1"/>
  <c r="J943" i="15" a="1"/>
  <c r="J943" i="15" s="1"/>
  <c r="J944" i="15" a="1"/>
  <c r="J944" i="15"/>
  <c r="J945" i="15" a="1"/>
  <c r="J945" i="15"/>
  <c r="J946" i="15" a="1"/>
  <c r="J946" i="15"/>
  <c r="J947" i="15" a="1"/>
  <c r="J947" i="15"/>
  <c r="J948" i="15" a="1"/>
  <c r="J948" i="15"/>
  <c r="J949" i="15" a="1"/>
  <c r="J949" i="15"/>
  <c r="J950" i="15" a="1"/>
  <c r="J950" i="15" s="1"/>
  <c r="J951" i="15" a="1"/>
  <c r="J951" i="15" s="1"/>
  <c r="J952" i="15" a="1"/>
  <c r="J952" i="15" s="1"/>
  <c r="J953" i="15" a="1"/>
  <c r="J953" i="15" s="1"/>
  <c r="J954" i="15" a="1"/>
  <c r="J954" i="15" s="1"/>
  <c r="J955" i="15" a="1"/>
  <c r="J955" i="15" s="1"/>
  <c r="J956" i="15" a="1"/>
  <c r="J956" i="15"/>
  <c r="J957" i="15" a="1"/>
  <c r="J957" i="15"/>
  <c r="J958" i="15" a="1"/>
  <c r="J958" i="15"/>
  <c r="J959" i="15" a="1"/>
  <c r="J959" i="15"/>
  <c r="J960" i="15" a="1"/>
  <c r="J960" i="15"/>
  <c r="J961" i="15" a="1"/>
  <c r="J961" i="15"/>
  <c r="J962" i="15" a="1"/>
  <c r="J962" i="15" s="1"/>
  <c r="J963" i="15" a="1"/>
  <c r="J963" i="15" s="1"/>
  <c r="J964" i="15" a="1"/>
  <c r="J964" i="15" s="1"/>
  <c r="J965" i="15" a="1"/>
  <c r="J965" i="15" s="1"/>
  <c r="J966" i="15" a="1"/>
  <c r="J966" i="15" s="1"/>
  <c r="J967" i="15" a="1"/>
  <c r="J967" i="15" s="1"/>
  <c r="J968" i="15" a="1"/>
  <c r="J968" i="15"/>
  <c r="J969" i="15" a="1"/>
  <c r="J969" i="15"/>
  <c r="J970" i="15" a="1"/>
  <c r="J970" i="15"/>
  <c r="J971" i="15" a="1"/>
  <c r="J971" i="15"/>
  <c r="J972" i="15" a="1"/>
  <c r="J972" i="15"/>
  <c r="J973" i="15" a="1"/>
  <c r="J973" i="15"/>
  <c r="J974" i="15" a="1"/>
  <c r="J974" i="15" s="1"/>
  <c r="J975" i="15" a="1"/>
  <c r="J975" i="15" s="1"/>
  <c r="J976" i="15" a="1"/>
  <c r="J976" i="15" s="1"/>
  <c r="J977" i="15" a="1"/>
  <c r="J977" i="15" s="1"/>
  <c r="J978" i="15" a="1"/>
  <c r="J978" i="15" s="1"/>
  <c r="J979" i="15" a="1"/>
  <c r="J979" i="15" s="1"/>
  <c r="J980" i="15" a="1"/>
  <c r="J980" i="15"/>
  <c r="J981" i="15" a="1"/>
  <c r="J981" i="15"/>
  <c r="J982" i="15" a="1"/>
  <c r="J982" i="15"/>
  <c r="J983" i="15" a="1"/>
  <c r="J983" i="15"/>
  <c r="J984" i="15" a="1"/>
  <c r="J984" i="15"/>
  <c r="J985" i="15" a="1"/>
  <c r="J985" i="15"/>
  <c r="J986" i="15" a="1"/>
  <c r="J986" i="15" s="1"/>
  <c r="J987" i="15" a="1"/>
  <c r="J987" i="15" s="1"/>
  <c r="J988" i="15" a="1"/>
  <c r="J988" i="15" s="1"/>
  <c r="J989" i="15" a="1"/>
  <c r="J989" i="15" s="1"/>
  <c r="J990" i="15" a="1"/>
  <c r="J990" i="15" s="1"/>
  <c r="J991" i="15" a="1"/>
  <c r="J991" i="15" s="1"/>
  <c r="J992" i="15" a="1"/>
  <c r="J992" i="15"/>
  <c r="J993" i="15" a="1"/>
  <c r="J993" i="15"/>
  <c r="J994" i="15" a="1"/>
  <c r="J994" i="15"/>
  <c r="J995" i="15" a="1"/>
  <c r="J995" i="15"/>
  <c r="J996" i="15" a="1"/>
  <c r="J996" i="15"/>
  <c r="J997" i="15" a="1"/>
  <c r="J997" i="15"/>
  <c r="J998" i="15" a="1"/>
  <c r="J998" i="15" s="1"/>
  <c r="J999" i="15" a="1"/>
  <c r="J999" i="15" s="1"/>
  <c r="J1000" i="15" a="1"/>
  <c r="J1000" i="15" s="1"/>
  <c r="J1001" i="15" a="1"/>
  <c r="J1001" i="15" s="1"/>
  <c r="K2" i="15"/>
  <c r="K3" i="15"/>
  <c r="K4" i="15"/>
  <c r="K5" i="15"/>
  <c r="K6"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K105" i="15"/>
  <c r="K106" i="15"/>
  <c r="K107" i="15"/>
  <c r="K108" i="15"/>
  <c r="K109" i="15"/>
  <c r="K110" i="15"/>
  <c r="K111" i="15"/>
  <c r="K112" i="15"/>
  <c r="K113" i="15"/>
  <c r="K114" i="15"/>
  <c r="K115" i="15"/>
  <c r="K116" i="15"/>
  <c r="K117" i="15"/>
  <c r="K118" i="15"/>
  <c r="K119" i="15"/>
  <c r="K120" i="15"/>
  <c r="K121" i="15"/>
  <c r="K122" i="15"/>
  <c r="K123" i="15"/>
  <c r="K124" i="15"/>
  <c r="K125" i="15"/>
  <c r="K126" i="15"/>
  <c r="K127" i="15"/>
  <c r="K128" i="15"/>
  <c r="K129" i="15"/>
  <c r="K130" i="15"/>
  <c r="K131" i="15"/>
  <c r="K132" i="15"/>
  <c r="K133" i="15"/>
  <c r="K134" i="15"/>
  <c r="K135" i="15"/>
  <c r="K136" i="15"/>
  <c r="K137" i="15"/>
  <c r="K138" i="15"/>
  <c r="K139" i="15"/>
  <c r="K140" i="15"/>
  <c r="K141" i="15"/>
  <c r="K142" i="15"/>
  <c r="K143" i="15"/>
  <c r="K144" i="15"/>
  <c r="K145" i="15"/>
  <c r="K146" i="15"/>
  <c r="K147" i="15"/>
  <c r="K148" i="15"/>
  <c r="K149" i="15"/>
  <c r="K150" i="15"/>
  <c r="K151" i="15"/>
  <c r="K152" i="15"/>
  <c r="K153" i="15"/>
  <c r="K154" i="15"/>
  <c r="K155" i="15"/>
  <c r="K156" i="15"/>
  <c r="K157" i="15"/>
  <c r="K158" i="15"/>
  <c r="K159" i="15"/>
  <c r="K160" i="15"/>
  <c r="K161" i="15"/>
  <c r="K162" i="15"/>
  <c r="K163" i="15"/>
  <c r="K164"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89" i="15"/>
  <c r="K190" i="15"/>
  <c r="K191" i="15"/>
  <c r="K192" i="15"/>
  <c r="K193" i="15"/>
  <c r="K194" i="15"/>
  <c r="K195" i="15"/>
  <c r="K196" i="15"/>
  <c r="K197" i="15"/>
  <c r="K198" i="15"/>
  <c r="K199" i="15"/>
  <c r="K200" i="15"/>
  <c r="K201" i="15"/>
  <c r="K202" i="15"/>
  <c r="K203" i="15"/>
  <c r="K204" i="15"/>
  <c r="K205" i="15"/>
  <c r="K206" i="15"/>
  <c r="K207" i="15"/>
  <c r="K208" i="15"/>
  <c r="K209" i="15"/>
  <c r="K210" i="15"/>
  <c r="K211" i="15"/>
  <c r="K212" i="15"/>
  <c r="K213" i="15"/>
  <c r="K214" i="15"/>
  <c r="K215" i="15"/>
  <c r="K216" i="15"/>
  <c r="K217" i="15"/>
  <c r="K218" i="15"/>
  <c r="K219" i="15"/>
  <c r="K220" i="15"/>
  <c r="K221" i="15"/>
  <c r="K222" i="15"/>
  <c r="K223" i="15"/>
  <c r="K224" i="15"/>
  <c r="K225" i="15"/>
  <c r="K226" i="15"/>
  <c r="K227" i="15"/>
  <c r="K228" i="15"/>
  <c r="K229" i="15"/>
  <c r="K230" i="15"/>
  <c r="K231" i="15"/>
  <c r="K232" i="15"/>
  <c r="K233" i="15"/>
  <c r="K234" i="15"/>
  <c r="K235" i="15"/>
  <c r="K236" i="15"/>
  <c r="K237" i="15"/>
  <c r="K238" i="15"/>
  <c r="K239" i="15"/>
  <c r="K240" i="15"/>
  <c r="K241" i="15"/>
  <c r="K242" i="15"/>
  <c r="K243" i="15"/>
  <c r="K244" i="15"/>
  <c r="K245" i="15"/>
  <c r="K246" i="15"/>
  <c r="K247" i="15"/>
  <c r="K248" i="15"/>
  <c r="K249" i="15"/>
  <c r="K250" i="15"/>
  <c r="K251" i="15"/>
  <c r="K252" i="15"/>
  <c r="K253" i="15"/>
  <c r="K254" i="15"/>
  <c r="K255" i="15"/>
  <c r="K256" i="15"/>
  <c r="K257" i="15"/>
  <c r="K258" i="15"/>
  <c r="K259" i="15"/>
  <c r="K260" i="15"/>
  <c r="K261" i="15"/>
  <c r="K262" i="15"/>
  <c r="K263" i="15"/>
  <c r="K264" i="15"/>
  <c r="K265" i="15"/>
  <c r="K266" i="15"/>
  <c r="K267" i="15"/>
  <c r="K268" i="15"/>
  <c r="K269" i="15"/>
  <c r="K270" i="15"/>
  <c r="K271" i="15"/>
  <c r="K272" i="15"/>
  <c r="K273" i="15"/>
  <c r="K274" i="15"/>
  <c r="K275" i="15"/>
  <c r="K276" i="15"/>
  <c r="K277" i="15"/>
  <c r="K278" i="15"/>
  <c r="K279" i="15"/>
  <c r="K280" i="15"/>
  <c r="K281" i="15"/>
  <c r="K282" i="15"/>
  <c r="K283" i="15"/>
  <c r="K284" i="15"/>
  <c r="K285" i="15"/>
  <c r="K286" i="15"/>
  <c r="K287" i="15"/>
  <c r="K288" i="15"/>
  <c r="K289" i="15"/>
  <c r="K290" i="15"/>
  <c r="K291" i="15"/>
  <c r="K292" i="15"/>
  <c r="K293" i="15"/>
  <c r="K294" i="15"/>
  <c r="K295" i="15"/>
  <c r="K296" i="15"/>
  <c r="K297" i="15"/>
  <c r="K298" i="15"/>
  <c r="K299" i="15"/>
  <c r="K300" i="15"/>
  <c r="K301" i="15"/>
  <c r="K302" i="15"/>
  <c r="K303" i="15"/>
  <c r="K304" i="15"/>
  <c r="K305" i="15"/>
  <c r="K306" i="15"/>
  <c r="K307" i="15"/>
  <c r="K308" i="15"/>
  <c r="K309" i="15"/>
  <c r="K310" i="15"/>
  <c r="K311" i="15"/>
  <c r="K312" i="15"/>
  <c r="K313" i="15"/>
  <c r="K314" i="15"/>
  <c r="K315" i="15"/>
  <c r="K316" i="15"/>
  <c r="K317" i="15"/>
  <c r="K318" i="15"/>
  <c r="K319" i="15"/>
  <c r="K320" i="15"/>
  <c r="K321" i="15"/>
  <c r="K322" i="15"/>
  <c r="K323" i="15"/>
  <c r="K324" i="15"/>
  <c r="K325" i="15"/>
  <c r="K326" i="15"/>
  <c r="K327" i="15"/>
  <c r="K328" i="15"/>
  <c r="K329" i="15"/>
  <c r="K330" i="15"/>
  <c r="K331" i="15"/>
  <c r="K332" i="15"/>
  <c r="K333" i="15"/>
  <c r="K334" i="15"/>
  <c r="K335" i="15"/>
  <c r="K336" i="15"/>
  <c r="K337" i="15"/>
  <c r="K338" i="15"/>
  <c r="K339" i="15"/>
  <c r="K340" i="15"/>
  <c r="K341" i="15"/>
  <c r="K342" i="15"/>
  <c r="K343" i="15"/>
  <c r="K344" i="15"/>
  <c r="K345" i="15"/>
  <c r="K346" i="15"/>
  <c r="K347" i="15"/>
  <c r="K348" i="15"/>
  <c r="K349" i="15"/>
  <c r="K350" i="15"/>
  <c r="K351" i="15"/>
  <c r="K352" i="15"/>
  <c r="K353" i="15"/>
  <c r="K354" i="15"/>
  <c r="K355" i="15"/>
  <c r="K356" i="15"/>
  <c r="K357" i="15"/>
  <c r="K358" i="15"/>
  <c r="K359" i="15"/>
  <c r="K360" i="15"/>
  <c r="K361" i="15"/>
  <c r="K362" i="15"/>
  <c r="K363" i="15"/>
  <c r="K364" i="15"/>
  <c r="K365" i="15"/>
  <c r="K366" i="15"/>
  <c r="K367" i="15"/>
  <c r="K368" i="15"/>
  <c r="K369" i="15"/>
  <c r="K370" i="15"/>
  <c r="K371" i="15"/>
  <c r="K372" i="15"/>
  <c r="K373" i="15"/>
  <c r="K374" i="15"/>
  <c r="K375" i="15"/>
  <c r="K376" i="15"/>
  <c r="K377" i="15"/>
  <c r="K378" i="15"/>
  <c r="K379" i="15"/>
  <c r="K380" i="15"/>
  <c r="K381" i="15"/>
  <c r="K382" i="15"/>
  <c r="K383" i="15"/>
  <c r="K384" i="15"/>
  <c r="K385" i="15"/>
  <c r="K386" i="15"/>
  <c r="K387" i="15"/>
  <c r="K388" i="15"/>
  <c r="K389" i="15"/>
  <c r="K390" i="15"/>
  <c r="K391" i="15"/>
  <c r="K392" i="15"/>
  <c r="K393" i="15"/>
  <c r="K394" i="15"/>
  <c r="K395" i="15"/>
  <c r="K396" i="15"/>
  <c r="K397" i="15"/>
  <c r="K398" i="15"/>
  <c r="K399" i="15"/>
  <c r="K400" i="15"/>
  <c r="K401" i="15"/>
  <c r="K402" i="15"/>
  <c r="K403" i="15"/>
  <c r="K404" i="15"/>
  <c r="K405" i="15"/>
  <c r="K406" i="15"/>
  <c r="K407" i="15"/>
  <c r="K408" i="15"/>
  <c r="K409" i="15"/>
  <c r="K410" i="15"/>
  <c r="K411" i="15"/>
  <c r="K412" i="15"/>
  <c r="K413" i="15"/>
  <c r="K414" i="15"/>
  <c r="K415" i="15"/>
  <c r="K416" i="15"/>
  <c r="K417" i="15"/>
  <c r="K418" i="15"/>
  <c r="K419" i="15"/>
  <c r="K420" i="15"/>
  <c r="K421" i="15"/>
  <c r="K422" i="15"/>
  <c r="K423" i="15"/>
  <c r="K424" i="15"/>
  <c r="K425" i="15"/>
  <c r="K426" i="15"/>
  <c r="K427" i="15"/>
  <c r="K428" i="15"/>
  <c r="K429" i="15"/>
  <c r="K430" i="15"/>
  <c r="K431" i="15"/>
  <c r="K432" i="15"/>
  <c r="K433" i="15"/>
  <c r="K434" i="15"/>
  <c r="K435" i="15"/>
  <c r="K436" i="15"/>
  <c r="K437" i="15"/>
  <c r="K438" i="15"/>
  <c r="K439" i="15"/>
  <c r="K440" i="15"/>
  <c r="K441" i="15"/>
  <c r="K442" i="15"/>
  <c r="K443" i="15"/>
  <c r="K444" i="15"/>
  <c r="K445" i="15"/>
  <c r="K446" i="15"/>
  <c r="K447" i="15"/>
  <c r="K448" i="15"/>
  <c r="K449" i="15"/>
  <c r="K450" i="15"/>
  <c r="K451" i="15"/>
  <c r="K452" i="15"/>
  <c r="K453" i="15"/>
  <c r="K454" i="15"/>
  <c r="K455" i="15"/>
  <c r="K456" i="15"/>
  <c r="K457" i="15"/>
  <c r="K458" i="15"/>
  <c r="K459" i="15"/>
  <c r="K460" i="15"/>
  <c r="K461" i="15"/>
  <c r="K462" i="15"/>
  <c r="K463" i="15"/>
  <c r="K464" i="15"/>
  <c r="K465" i="15"/>
  <c r="K466" i="15"/>
  <c r="K467" i="15"/>
  <c r="K468" i="15"/>
  <c r="K469" i="15"/>
  <c r="K470" i="15"/>
  <c r="K471" i="15"/>
  <c r="K472" i="15"/>
  <c r="K473" i="15"/>
  <c r="K474" i="15"/>
  <c r="K475" i="15"/>
  <c r="K476" i="15"/>
  <c r="K477" i="15"/>
  <c r="K478" i="15"/>
  <c r="K479" i="15"/>
  <c r="K480" i="15"/>
  <c r="K481" i="15"/>
  <c r="K482" i="15"/>
  <c r="K483" i="15"/>
  <c r="K484" i="15"/>
  <c r="K485" i="15"/>
  <c r="K486" i="15"/>
  <c r="K487" i="15"/>
  <c r="K488" i="15"/>
  <c r="K489" i="15"/>
  <c r="K490" i="15"/>
  <c r="K491" i="15"/>
  <c r="K492" i="15"/>
  <c r="K493" i="15"/>
  <c r="K494" i="15"/>
  <c r="K495" i="15"/>
  <c r="K496" i="15"/>
  <c r="K497" i="15"/>
  <c r="K498" i="15"/>
  <c r="K499" i="15"/>
  <c r="K500" i="15"/>
  <c r="K501" i="15"/>
  <c r="K502" i="15"/>
  <c r="K503" i="15"/>
  <c r="K504" i="15"/>
  <c r="K505" i="15"/>
  <c r="K506" i="15"/>
  <c r="K507" i="15"/>
  <c r="K508" i="15"/>
  <c r="K509" i="15"/>
  <c r="K510" i="15"/>
  <c r="K511" i="15"/>
  <c r="K512" i="15"/>
  <c r="K513" i="15"/>
  <c r="K514" i="15"/>
  <c r="K515" i="15"/>
  <c r="K516" i="15"/>
  <c r="K517" i="15"/>
  <c r="K518" i="15"/>
  <c r="K519" i="15"/>
  <c r="K520" i="15"/>
  <c r="K521" i="15"/>
  <c r="K522" i="15"/>
  <c r="K523" i="15"/>
  <c r="K524" i="15"/>
  <c r="K525" i="15"/>
  <c r="K526" i="15"/>
  <c r="K527" i="15"/>
  <c r="K528" i="15"/>
  <c r="K529" i="15"/>
  <c r="K530" i="15"/>
  <c r="K531" i="15"/>
  <c r="K532" i="15"/>
  <c r="K533" i="15"/>
  <c r="K534" i="15"/>
  <c r="K535" i="15"/>
  <c r="K536" i="15"/>
  <c r="K537" i="15"/>
  <c r="K538" i="15"/>
  <c r="K539" i="15"/>
  <c r="K540" i="15"/>
  <c r="K541" i="15"/>
  <c r="K542" i="15"/>
  <c r="K543" i="15"/>
  <c r="K544" i="15"/>
  <c r="K545" i="15"/>
  <c r="K546" i="15"/>
  <c r="K547" i="15"/>
  <c r="K548" i="15"/>
  <c r="K549" i="15"/>
  <c r="K550" i="15"/>
  <c r="K551" i="15"/>
  <c r="K552" i="15"/>
  <c r="K553" i="15"/>
  <c r="K554" i="15"/>
  <c r="K555" i="15"/>
  <c r="K556" i="15"/>
  <c r="K557" i="15"/>
  <c r="K558" i="15"/>
  <c r="K559" i="15"/>
  <c r="K560" i="15"/>
  <c r="K561" i="15"/>
  <c r="K562" i="15"/>
  <c r="K563" i="15"/>
  <c r="K564" i="15"/>
  <c r="K565" i="15"/>
  <c r="K566" i="15"/>
  <c r="K567" i="15"/>
  <c r="K568" i="15"/>
  <c r="K569" i="15"/>
  <c r="K570" i="15"/>
  <c r="K571" i="15"/>
  <c r="K572" i="15"/>
  <c r="K573" i="15"/>
  <c r="K574" i="15"/>
  <c r="K575" i="15"/>
  <c r="K576" i="15"/>
  <c r="K577" i="15"/>
  <c r="K578" i="15"/>
  <c r="K579" i="15"/>
  <c r="K580" i="15"/>
  <c r="K581" i="15"/>
  <c r="K582" i="15"/>
  <c r="K583" i="15"/>
  <c r="K584" i="15"/>
  <c r="K585" i="15"/>
  <c r="K586" i="15"/>
  <c r="K587" i="15"/>
  <c r="K588" i="15"/>
  <c r="K589" i="15"/>
  <c r="K590" i="15"/>
  <c r="K591" i="15"/>
  <c r="K592" i="15"/>
  <c r="K593" i="15"/>
  <c r="K594" i="15"/>
  <c r="K595" i="15"/>
  <c r="K596" i="15"/>
  <c r="K597" i="15"/>
  <c r="K598" i="15"/>
  <c r="K599" i="15"/>
  <c r="K600" i="15"/>
  <c r="K601" i="15"/>
  <c r="K602" i="15"/>
  <c r="K603" i="15"/>
  <c r="K604" i="15"/>
  <c r="K605" i="15"/>
  <c r="K606" i="15"/>
  <c r="K607" i="15"/>
  <c r="K608" i="15"/>
  <c r="K609" i="15"/>
  <c r="K610" i="15"/>
  <c r="K611" i="15"/>
  <c r="K612" i="15"/>
  <c r="K613" i="15"/>
  <c r="K614" i="15"/>
  <c r="K615" i="15"/>
  <c r="K616" i="15"/>
  <c r="K617" i="15"/>
  <c r="K618" i="15"/>
  <c r="K619" i="15"/>
  <c r="K620" i="15"/>
  <c r="K621" i="15"/>
  <c r="K622" i="15"/>
  <c r="K623" i="15"/>
  <c r="K624" i="15"/>
  <c r="K625" i="15"/>
  <c r="K626" i="15"/>
  <c r="K627" i="15"/>
  <c r="K628" i="15"/>
  <c r="K629" i="15"/>
  <c r="K630" i="15"/>
  <c r="K631" i="15"/>
  <c r="K632" i="15"/>
  <c r="K633" i="15"/>
  <c r="K634" i="15"/>
  <c r="K635" i="15"/>
  <c r="K636" i="15"/>
  <c r="K637" i="15"/>
  <c r="K638" i="15"/>
  <c r="K639" i="15"/>
  <c r="K640" i="15"/>
  <c r="K641" i="15"/>
  <c r="K642" i="15"/>
  <c r="K643" i="15"/>
  <c r="K644" i="15"/>
  <c r="K645" i="15"/>
  <c r="K646" i="15"/>
  <c r="K647" i="15"/>
  <c r="K648" i="15"/>
  <c r="K649" i="15"/>
  <c r="K650" i="15"/>
  <c r="K651" i="15"/>
  <c r="K652" i="15"/>
  <c r="K653" i="15"/>
  <c r="K654" i="15"/>
  <c r="K655" i="15"/>
  <c r="K656" i="15"/>
  <c r="K657" i="15"/>
  <c r="K658" i="15"/>
  <c r="K659" i="15"/>
  <c r="K660" i="15"/>
  <c r="K661" i="15"/>
  <c r="K662" i="15"/>
  <c r="K663" i="15"/>
  <c r="K664" i="15"/>
  <c r="K665" i="15"/>
  <c r="K666" i="15"/>
  <c r="K667" i="15"/>
  <c r="K668" i="15"/>
  <c r="K669" i="15"/>
  <c r="K670" i="15"/>
  <c r="K671" i="15"/>
  <c r="K672" i="15"/>
  <c r="K673" i="15"/>
  <c r="K674" i="15"/>
  <c r="K675" i="15"/>
  <c r="K676" i="15"/>
  <c r="K677" i="15"/>
  <c r="K678" i="15"/>
  <c r="K679" i="15"/>
  <c r="K680" i="15"/>
  <c r="K681" i="15"/>
  <c r="K682" i="15"/>
  <c r="K683" i="15"/>
  <c r="K684" i="15"/>
  <c r="K685" i="15"/>
  <c r="K686" i="15"/>
  <c r="K687" i="15"/>
  <c r="K688" i="15"/>
  <c r="K689" i="15"/>
  <c r="K690" i="15"/>
  <c r="K691" i="15"/>
  <c r="K692" i="15"/>
  <c r="K693" i="15"/>
  <c r="K694" i="15"/>
  <c r="K695" i="15"/>
  <c r="K696" i="15"/>
  <c r="K697" i="15"/>
  <c r="K698" i="15"/>
  <c r="K699" i="15"/>
  <c r="K700" i="15"/>
  <c r="K701" i="15"/>
  <c r="K702" i="15"/>
  <c r="K703" i="15"/>
  <c r="K704" i="15"/>
  <c r="K705" i="15"/>
  <c r="K706" i="15"/>
  <c r="K707" i="15"/>
  <c r="K708" i="15"/>
  <c r="K709" i="15"/>
  <c r="K710" i="15"/>
  <c r="K711" i="15"/>
  <c r="K712" i="15"/>
  <c r="K713" i="15"/>
  <c r="K714" i="15"/>
  <c r="K715" i="15"/>
  <c r="K716" i="15"/>
  <c r="K717" i="15"/>
  <c r="K718" i="15"/>
  <c r="K719" i="15"/>
  <c r="K720" i="15"/>
  <c r="K721" i="15"/>
  <c r="K722" i="15"/>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I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I543" i="15"/>
  <c r="I544" i="15"/>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I568" i="15"/>
  <c r="I569"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66" i="15"/>
  <c r="I667" i="15"/>
  <c r="I668" i="15"/>
  <c r="I669" i="15"/>
  <c r="I670" i="15"/>
  <c r="I671" i="15"/>
  <c r="I672" i="15"/>
  <c r="I673" i="15"/>
  <c r="I674" i="15"/>
  <c r="I675" i="15"/>
  <c r="I676" i="15"/>
  <c r="I677" i="15"/>
  <c r="I678" i="15"/>
  <c r="I679" i="15"/>
  <c r="I680" i="15"/>
  <c r="I681" i="15"/>
  <c r="I682" i="15"/>
  <c r="I683" i="15"/>
  <c r="I684" i="15"/>
  <c r="I685" i="15"/>
  <c r="I686" i="15"/>
  <c r="I687" i="15"/>
  <c r="I688" i="15"/>
  <c r="I689" i="15"/>
  <c r="I690" i="15"/>
  <c r="I691" i="15"/>
  <c r="I692" i="15"/>
  <c r="I693" i="15"/>
  <c r="I694" i="15"/>
  <c r="I695" i="15"/>
  <c r="I696" i="15"/>
  <c r="I697" i="15"/>
  <c r="I698" i="15"/>
  <c r="I699" i="15"/>
  <c r="I700" i="15"/>
  <c r="I701" i="15"/>
  <c r="I702" i="15"/>
  <c r="I703" i="15"/>
  <c r="I704" i="15"/>
  <c r="I705" i="15"/>
  <c r="I706" i="15"/>
  <c r="I707" i="15"/>
  <c r="I708" i="15"/>
  <c r="I709" i="15"/>
  <c r="I710" i="15"/>
  <c r="I711" i="15"/>
  <c r="I712" i="15"/>
  <c r="I713" i="15"/>
  <c r="I714" i="15"/>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49" i="15"/>
  <c r="I750" i="15"/>
  <c r="I751" i="15"/>
  <c r="I752" i="15"/>
  <c r="I753" i="15"/>
  <c r="I754" i="15"/>
  <c r="I755" i="15"/>
  <c r="I756" i="15"/>
  <c r="I757" i="15"/>
  <c r="I758" i="15"/>
  <c r="I759" i="15"/>
  <c r="I760" i="15"/>
  <c r="I761" i="15"/>
  <c r="I762" i="15"/>
  <c r="I763" i="15"/>
  <c r="I764" i="15"/>
  <c r="I765" i="15"/>
  <c r="I766" i="15"/>
  <c r="I767" i="15"/>
  <c r="I768" i="15"/>
  <c r="I769" i="15"/>
  <c r="I770" i="15"/>
  <c r="I771" i="15"/>
  <c r="I772" i="15"/>
  <c r="I773" i="15"/>
  <c r="I774" i="15"/>
  <c r="I775" i="15"/>
  <c r="I776" i="15"/>
  <c r="I777" i="15"/>
  <c r="I778" i="15"/>
  <c r="I779" i="15"/>
  <c r="I780" i="15"/>
  <c r="I781" i="15"/>
  <c r="I782" i="15"/>
  <c r="I783" i="15"/>
  <c r="I784" i="15"/>
  <c r="I785" i="15"/>
  <c r="I786" i="15"/>
  <c r="I787" i="15"/>
  <c r="I788" i="15"/>
  <c r="I789" i="15"/>
  <c r="I790" i="15"/>
  <c r="I791" i="15"/>
  <c r="I792" i="15"/>
  <c r="I793" i="15"/>
  <c r="I794" i="15"/>
  <c r="I795" i="15"/>
  <c r="I796" i="15"/>
  <c r="I797" i="15"/>
  <c r="I798" i="15"/>
  <c r="I799" i="15"/>
  <c r="I800" i="15"/>
  <c r="I801" i="15"/>
  <c r="I802" i="15"/>
  <c r="I803" i="15"/>
  <c r="I804" i="15"/>
  <c r="I805" i="15"/>
  <c r="I806" i="15"/>
  <c r="I807" i="15"/>
  <c r="I808" i="15"/>
  <c r="I809" i="15"/>
  <c r="I810" i="15"/>
  <c r="I811" i="15"/>
  <c r="I812" i="15"/>
  <c r="I813" i="15"/>
  <c r="I814" i="15"/>
  <c r="I815" i="15"/>
  <c r="I816"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I900" i="15"/>
  <c r="I901" i="15"/>
  <c r="I902" i="15"/>
  <c r="I903" i="15"/>
  <c r="I904" i="15"/>
  <c r="I905" i="15"/>
  <c r="I906" i="15"/>
  <c r="I907" i="15"/>
  <c r="I908" i="15"/>
  <c r="I909" i="15"/>
  <c r="I910" i="15"/>
  <c r="I911" i="15"/>
  <c r="I912" i="15"/>
  <c r="I913" i="15"/>
  <c r="I914" i="15"/>
  <c r="I915" i="15"/>
  <c r="I916" i="15"/>
  <c r="I917" i="15"/>
  <c r="I918" i="15"/>
  <c r="I919" i="15"/>
  <c r="I920" i="15"/>
  <c r="I921" i="15"/>
  <c r="I922" i="15"/>
  <c r="I923" i="15"/>
  <c r="I924" i="15"/>
  <c r="I925" i="15"/>
  <c r="I926" i="15"/>
  <c r="I927" i="15"/>
  <c r="I928" i="15"/>
  <c r="I929" i="15"/>
  <c r="I930" i="15"/>
  <c r="I931" i="15"/>
  <c r="I932" i="15"/>
  <c r="I933" i="15"/>
  <c r="I934" i="15"/>
  <c r="I935" i="15"/>
  <c r="I936" i="15"/>
  <c r="I937" i="15"/>
  <c r="I938" i="15"/>
  <c r="I939" i="15"/>
  <c r="I940" i="15"/>
  <c r="I941" i="15"/>
  <c r="I942" i="15"/>
  <c r="I943" i="15"/>
  <c r="I944" i="15"/>
  <c r="I945" i="15"/>
  <c r="I946" i="15"/>
  <c r="I947" i="15"/>
  <c r="I948" i="15"/>
  <c r="I949" i="15"/>
  <c r="I950" i="15"/>
  <c r="I951" i="15"/>
  <c r="I952" i="15"/>
  <c r="I953" i="15"/>
  <c r="I954" i="15"/>
  <c r="I955" i="15"/>
  <c r="I956" i="15"/>
  <c r="I957" i="15"/>
  <c r="I958" i="15"/>
  <c r="I959" i="15"/>
  <c r="I960" i="15"/>
  <c r="I961" i="15"/>
  <c r="I962" i="15"/>
  <c r="I963" i="15"/>
  <c r="I964" i="15"/>
  <c r="I965" i="15"/>
  <c r="I966" i="15"/>
  <c r="I967" i="15"/>
  <c r="I968" i="15"/>
  <c r="I969" i="15"/>
  <c r="I970" i="15"/>
  <c r="I971" i="15"/>
  <c r="I972" i="15"/>
  <c r="I973" i="15"/>
  <c r="I974" i="15"/>
  <c r="I975" i="15"/>
  <c r="I976" i="15"/>
  <c r="I977" i="15"/>
  <c r="I978" i="15"/>
  <c r="I979" i="15"/>
  <c r="I980" i="15"/>
  <c r="I981" i="15"/>
  <c r="I982" i="15"/>
  <c r="I983" i="15"/>
  <c r="I984" i="15"/>
  <c r="I985" i="15"/>
  <c r="I986" i="15"/>
  <c r="I987" i="15"/>
  <c r="I988" i="15"/>
  <c r="I989" i="15"/>
  <c r="I990" i="15"/>
  <c r="I991" i="15"/>
  <c r="I992" i="15"/>
  <c r="I993" i="15"/>
  <c r="I994" i="15"/>
  <c r="I995" i="15"/>
  <c r="I996" i="15"/>
  <c r="I997" i="15"/>
  <c r="I998" i="15"/>
  <c r="I999" i="15"/>
  <c r="I1000" i="15"/>
  <c r="I1001" i="15"/>
  <c r="H2" i="15"/>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B8" i="11" a="1"/>
  <c r="B8" i="11" s="1"/>
  <c r="H26" i="10"/>
  <c r="H25" i="10"/>
  <c r="H24" i="10"/>
  <c r="H23" i="10"/>
  <c r="F9" i="10"/>
  <c r="F8" i="10"/>
  <c r="F7" i="10"/>
  <c r="C23" i="10"/>
  <c r="C24" i="10"/>
  <c r="C25" i="10"/>
  <c r="C26" i="10"/>
  <c r="C6" i="10"/>
  <c r="F6" i="10"/>
  <c r="C14" i="10"/>
  <c r="C16" i="10"/>
  <c r="C17" i="10"/>
  <c r="D12" i="8" a="1"/>
  <c r="D12" i="8" s="1"/>
  <c r="C12" i="8" a="1"/>
  <c r="C12" i="8" s="1"/>
  <c r="D6" i="8" a="1"/>
  <c r="D6" i="8" s="1"/>
  <c r="C6" i="8" a="1"/>
  <c r="C6" i="8" s="1"/>
  <c r="D5" i="8"/>
  <c r="D4" i="8"/>
  <c r="C5" i="8"/>
  <c r="C4" i="8"/>
  <c r="A198" i="12" a="1"/>
  <c r="A198" i="12" s="1"/>
  <c r="A88" i="12" a="1"/>
  <c r="A88" i="12" s="1"/>
  <c r="A63" i="12" a="1"/>
  <c r="A63" i="12" s="1"/>
  <c r="A14" i="12" a="1"/>
  <c r="A14" i="12" s="1"/>
  <c r="Q4" i="7" a="1"/>
  <c r="Q4" i="7" s="1"/>
  <c r="B12" i="8" a="1"/>
  <c r="B12" i="8" s="1"/>
  <c r="B2" i="4" a="1"/>
  <c r="B2" i="4" s="1"/>
  <c r="A5" i="7" a="1"/>
  <c r="A5" i="7" s="1"/>
  <c r="C2" i="4" a="1"/>
  <c r="C2" i="4" s="1"/>
  <c r="A6" i="13" a="1"/>
  <c r="A6" i="13"/>
  <c r="C3" i="13"/>
  <c r="E3" i="13"/>
  <c r="B3" i="13"/>
  <c r="H6" i="13" a="1"/>
  <c r="H6" i="13" s="1"/>
  <c r="A199" i="12" a="1"/>
  <c r="O199" i="12" s="1" a="1"/>
  <c r="O199" i="12" s="1"/>
  <c r="A89" i="12" a="1"/>
  <c r="A89" i="12" s="1"/>
  <c r="A4" i="12" a="1"/>
  <c r="A4" i="12" s="1"/>
  <c r="A64" i="12" a="1"/>
  <c r="A64" i="12" s="1"/>
  <c r="A39" i="12" a="1"/>
  <c r="A39" i="12" s="1"/>
  <c r="A15" i="12" a="1"/>
  <c r="A15" i="12" s="1"/>
  <c r="A3" i="12" a="1"/>
  <c r="A3" i="12" s="1"/>
  <c r="B4" i="11" a="1"/>
  <c r="B4" i="11"/>
  <c r="F17" i="10" a="1"/>
  <c r="F17" i="10" s="1"/>
  <c r="F14" i="10"/>
  <c r="C18" i="10"/>
  <c r="C32" i="10"/>
  <c r="C33" i="10"/>
  <c r="C34" i="10"/>
  <c r="C31" i="10"/>
  <c r="C7" i="10"/>
  <c r="C8" i="10"/>
  <c r="C9" i="10"/>
  <c r="D5" i="9"/>
  <c r="A3" i="9" a="1"/>
  <c r="A3" i="9" s="1"/>
  <c r="B6" i="8" a="1"/>
  <c r="B6" i="8" s="1"/>
  <c r="G2" i="8" a="1"/>
  <c r="G2" i="8"/>
  <c r="B5" i="8"/>
  <c r="B4" i="8"/>
  <c r="A5" i="6" a="1"/>
  <c r="A5" i="6"/>
  <c r="I5" i="7" a="1"/>
  <c r="I5" i="7"/>
  <c r="Q5" i="7" a="1"/>
  <c r="Q5" i="7" s="1"/>
  <c r="I4" i="7" a="1"/>
  <c r="I4" i="7" s="1"/>
  <c r="A4" i="7" a="1"/>
  <c r="A4" i="7"/>
  <c r="A4" i="6" a="1"/>
  <c r="A4" i="6"/>
  <c r="A2" i="5" a="1"/>
  <c r="A2" i="5"/>
  <c r="A3" i="5" a="1"/>
  <c r="A3" i="5"/>
  <c r="G2" i="4" a="1"/>
  <c r="G2" i="4" s="1"/>
  <c r="F2" i="4" a="1"/>
  <c r="F2" i="4" s="1"/>
  <c r="E2" i="4" a="1"/>
  <c r="E2" i="4" s="1"/>
  <c r="D2" i="4" a="1"/>
  <c r="D2" i="4" s="1"/>
  <c r="A199" i="12" l="1"/>
  <c r="C6" i="13" a="1"/>
  <c r="B6" i="13" a="1"/>
  <c r="B6" i="13" s="1"/>
  <c r="I6" i="13" a="1"/>
  <c r="I6" i="13" s="1"/>
  <c r="H7" i="13" a="1"/>
  <c r="H7" i="13" s="1"/>
  <c r="H8" i="13" a="1"/>
  <c r="H8" i="13" s="1"/>
  <c r="H9" i="13" a="1"/>
  <c r="H9" i="13" s="1"/>
  <c r="H10" i="13" a="1"/>
  <c r="H10" i="13" s="1"/>
  <c r="H11" i="13" a="1"/>
  <c r="H11" i="13" s="1"/>
  <c r="H12" i="13" a="1"/>
  <c r="H12" i="13" s="1"/>
  <c r="H13" i="13" a="1"/>
  <c r="H13" i="13" s="1"/>
  <c r="H14" i="13" a="1"/>
  <c r="H14" i="13" s="1"/>
  <c r="H15" i="13" a="1"/>
  <c r="H15" i="13" s="1"/>
  <c r="H16" i="13" a="1"/>
  <c r="H16" i="13" s="1"/>
  <c r="H17" i="13" a="1"/>
  <c r="H17" i="13" s="1"/>
  <c r="G6" i="13" a="1"/>
  <c r="G6" i="13" s="1"/>
  <c r="D2" i="9"/>
  <c r="C6" i="13" l="1"/>
  <c r="F6" i="13" a="1"/>
  <c r="F6" i="13" s="1"/>
  <c r="E6" i="13" l="1" a="1"/>
  <c r="E6" i="13" s="1"/>
  <c r="D6" i="13" a="1"/>
  <c r="D6"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<sst xmlns="http://schemas.openxmlformats.org/spreadsheetml/2006/main" count="6349" uniqueCount="2086">
  <si>
    <t>Emp ID</t>
  </si>
  <si>
    <t>Name</t>
  </si>
  <si>
    <t>Gender</t>
  </si>
  <si>
    <t>Department</t>
  </si>
  <si>
    <t>Salary</t>
  </si>
  <si>
    <t>Start Date</t>
  </si>
  <si>
    <t>FTE</t>
  </si>
  <si>
    <t>Employee type</t>
  </si>
  <si>
    <t>Work location</t>
  </si>
  <si>
    <t>PR00746</t>
  </si>
  <si>
    <t>Hogan Iles</t>
  </si>
  <si>
    <t>Female</t>
  </si>
  <si>
    <t>Accounting</t>
  </si>
  <si>
    <t>Permanent</t>
  </si>
  <si>
    <t>Wellington, New Zealand</t>
  </si>
  <si>
    <t>Total Salary</t>
  </si>
  <si>
    <t>PR02208</t>
  </si>
  <si>
    <t>Gowri Sankar Chakrala</t>
  </si>
  <si>
    <t>Training</t>
  </si>
  <si>
    <t>Hyderabad, India</t>
  </si>
  <si>
    <t>PR04686</t>
  </si>
  <si>
    <t>Oona Donan</t>
  </si>
  <si>
    <t>Business Development</t>
  </si>
  <si>
    <t>Seattle, USA</t>
  </si>
  <si>
    <t>PR01269</t>
  </si>
  <si>
    <t>Eleonore Airdrie</t>
  </si>
  <si>
    <t>Engineering</t>
  </si>
  <si>
    <t>Columbus, USA</t>
  </si>
  <si>
    <t>PR00007</t>
  </si>
  <si>
    <t>Torrance  Collier</t>
  </si>
  <si>
    <t>PR04446</t>
  </si>
  <si>
    <t>Sameer Shashank Sapra</t>
  </si>
  <si>
    <t>Research and Development</t>
  </si>
  <si>
    <t>PR03158</t>
  </si>
  <si>
    <t>Danica Nayshe</t>
  </si>
  <si>
    <t>Services</t>
  </si>
  <si>
    <t>PR02957</t>
  </si>
  <si>
    <t>Vaughn Carvill</t>
  </si>
  <si>
    <t>PR00916</t>
  </si>
  <si>
    <t>Inger Chapelhow</t>
  </si>
  <si>
    <t>Remote</t>
  </si>
  <si>
    <t>PR02321</t>
  </si>
  <si>
    <t>Evanne  Sheryn</t>
  </si>
  <si>
    <t>Auckland, New Zealand</t>
  </si>
  <si>
    <t>PR00113</t>
  </si>
  <si>
    <t>Van Tuxwell</t>
  </si>
  <si>
    <t>PR04380</t>
  </si>
  <si>
    <t>PR02436</t>
  </si>
  <si>
    <t>Marmaduke Worssam</t>
  </si>
  <si>
    <t>PR04851</t>
  </si>
  <si>
    <t>Rodina Drinan</t>
  </si>
  <si>
    <t>Sales</t>
  </si>
  <si>
    <t>PR02113</t>
  </si>
  <si>
    <t>Beverie Moffet</t>
  </si>
  <si>
    <t>Support</t>
  </si>
  <si>
    <t>PR01383</t>
  </si>
  <si>
    <t>Addi Studdeard</t>
  </si>
  <si>
    <t>Product Management</t>
  </si>
  <si>
    <t>PR00095</t>
  </si>
  <si>
    <t>Devrat Damarsingh</t>
  </si>
  <si>
    <t>PR04473</t>
  </si>
  <si>
    <t xml:space="preserve"> Wyn Treadger</t>
  </si>
  <si>
    <t>PR00419</t>
  </si>
  <si>
    <t>Billi Fellgate</t>
  </si>
  <si>
    <t>PR00246</t>
  </si>
  <si>
    <t>Husein Augar</t>
  </si>
  <si>
    <t>Marketing</t>
  </si>
  <si>
    <t>PR00576</t>
  </si>
  <si>
    <t>Lalitchandra Vadali</t>
  </si>
  <si>
    <t>Legal</t>
  </si>
  <si>
    <t>PR02603</t>
  </si>
  <si>
    <t>Dinanath Simhambhatla</t>
  </si>
  <si>
    <t>Human Resources</t>
  </si>
  <si>
    <t>PR02016</t>
  </si>
  <si>
    <t>Iris  Wagg</t>
  </si>
  <si>
    <t>???</t>
  </si>
  <si>
    <t>PR01662</t>
  </si>
  <si>
    <t>Genevra Friday</t>
  </si>
  <si>
    <t>PR04366</t>
  </si>
  <si>
    <t>Carry Loblie</t>
  </si>
  <si>
    <t>PR02275</t>
  </si>
  <si>
    <t>Louise Lamming</t>
  </si>
  <si>
    <t>PR03271</t>
  </si>
  <si>
    <t>Stan  Tolliday</t>
  </si>
  <si>
    <t>PR03844</t>
  </si>
  <si>
    <t>Brose MacCorkell</t>
  </si>
  <si>
    <t>PR00147</t>
  </si>
  <si>
    <t>Minerva Ricardot</t>
  </si>
  <si>
    <t>Male</t>
  </si>
  <si>
    <t>PR03886</t>
  </si>
  <si>
    <t>Edd  MacKnockiter</t>
  </si>
  <si>
    <t>PR02010</t>
  </si>
  <si>
    <t>Prerana Nishita</t>
  </si>
  <si>
    <t>PR01159</t>
  </si>
  <si>
    <t>Mollie  Hanway</t>
  </si>
  <si>
    <t>SQ00022</t>
  </si>
  <si>
    <t>Carlin Demke</t>
  </si>
  <si>
    <t>PR02288</t>
  </si>
  <si>
    <t>Althea  Bronger</t>
  </si>
  <si>
    <t>PR02140</t>
  </si>
  <si>
    <t>Anjushri Chandiramani</t>
  </si>
  <si>
    <t>PR01211</t>
  </si>
  <si>
    <t>Enoch Dowrey</t>
  </si>
  <si>
    <t>PR01346</t>
  </si>
  <si>
    <t>Adolph McNalley</t>
  </si>
  <si>
    <t>PR01306</t>
  </si>
  <si>
    <t>Patti Dradey</t>
  </si>
  <si>
    <t>PR01476</t>
  </si>
  <si>
    <t>Jaishree Atasi Yavatkar</t>
  </si>
  <si>
    <t>Chennai, India</t>
  </si>
  <si>
    <t>PR03532</t>
  </si>
  <si>
    <t>Crawford Scad</t>
  </si>
  <si>
    <t>PR03804</t>
  </si>
  <si>
    <t>Pratigya Rema</t>
  </si>
  <si>
    <t>Sartaj Probal</t>
  </si>
  <si>
    <t>PR03980</t>
  </si>
  <si>
    <t xml:space="preserve"> Kath Bletsoe</t>
  </si>
  <si>
    <t>SQ00070</t>
  </si>
  <si>
    <t>Larissa Ingledow</t>
  </si>
  <si>
    <t>PR03445</t>
  </si>
  <si>
    <t>Myrle Prandoni</t>
  </si>
  <si>
    <t>PR00882</t>
  </si>
  <si>
    <t xml:space="preserve"> Jill Shipsey</t>
  </si>
  <si>
    <t>PR00893</t>
  </si>
  <si>
    <t>Vasavi Veeravasarapu</t>
  </si>
  <si>
    <t>PR01943</t>
  </si>
  <si>
    <t>Rameshwari Chikodi</t>
  </si>
  <si>
    <t>PR02782</t>
  </si>
  <si>
    <t>Isaak Rawne</t>
  </si>
  <si>
    <t>PR03137</t>
  </si>
  <si>
    <t>Jagajeet Viraj</t>
  </si>
  <si>
    <t>PR01956</t>
  </si>
  <si>
    <t xml:space="preserve"> Jamesy O'Ferris</t>
  </si>
  <si>
    <t>PR01055</t>
  </si>
  <si>
    <t>Devasree Fullara Saurin</t>
  </si>
  <si>
    <t>PR03034</t>
  </si>
  <si>
    <t>Sreenivasa Naik Gudiwada</t>
  </si>
  <si>
    <t>PR00770</t>
  </si>
  <si>
    <t>Beryl Burnsyde</t>
  </si>
  <si>
    <t>PR04601</t>
  </si>
  <si>
    <t>Yedukondalu Panditula</t>
  </si>
  <si>
    <t>Rank</t>
  </si>
  <si>
    <t>Country</t>
  </si>
  <si>
    <t>Gold</t>
  </si>
  <si>
    <t>Silver</t>
  </si>
  <si>
    <t>Bronze</t>
  </si>
  <si>
    <t>Total</t>
  </si>
  <si>
    <t>Gold %</t>
  </si>
  <si>
    <t>United States</t>
  </si>
  <si>
    <t>China</t>
  </si>
  <si>
    <t>Japan</t>
  </si>
  <si>
    <t>Great Britain</t>
  </si>
  <si>
    <t>ROC</t>
  </si>
  <si>
    <t>Australia</t>
  </si>
  <si>
    <t>Netherlands</t>
  </si>
  <si>
    <t>France</t>
  </si>
  <si>
    <t>Germany</t>
  </si>
  <si>
    <t>Italy</t>
  </si>
  <si>
    <t>Canada</t>
  </si>
  <si>
    <t>Brazil</t>
  </si>
  <si>
    <t>New Zealand</t>
  </si>
  <si>
    <t>Cuba</t>
  </si>
  <si>
    <t>Hungary</t>
  </si>
  <si>
    <t>South Korea</t>
  </si>
  <si>
    <t>Poland</t>
  </si>
  <si>
    <t>Czech Republic</t>
  </si>
  <si>
    <t>Kenya</t>
  </si>
  <si>
    <t>Norway</t>
  </si>
  <si>
    <t>Jamaica</t>
  </si>
  <si>
    <t>Spain</t>
  </si>
  <si>
    <t>Sweden</t>
  </si>
  <si>
    <t>Switzerland</t>
  </si>
  <si>
    <t>Denmark</t>
  </si>
  <si>
    <t>Croatia</t>
  </si>
  <si>
    <t>Iran</t>
  </si>
  <si>
    <t>Serbia</t>
  </si>
  <si>
    <t>Belgium</t>
  </si>
  <si>
    <t>Bulgaria</t>
  </si>
  <si>
    <t>Slovenia</t>
  </si>
  <si>
    <t>Uzbekistan</t>
  </si>
  <si>
    <t>Georgia</t>
  </si>
  <si>
    <t>Chinese Taipei</t>
  </si>
  <si>
    <t>Turkey</t>
  </si>
  <si>
    <t>Greece</t>
  </si>
  <si>
    <t>Uganda</t>
  </si>
  <si>
    <t>Ecuador</t>
  </si>
  <si>
    <t>Ireland</t>
  </si>
  <si>
    <t>Israel</t>
  </si>
  <si>
    <t>Qatar</t>
  </si>
  <si>
    <t>Bahamas</t>
  </si>
  <si>
    <t>Kosovo</t>
  </si>
  <si>
    <t>Ukraine</t>
  </si>
  <si>
    <t>Belarus</t>
  </si>
  <si>
    <t>Romania</t>
  </si>
  <si>
    <t>Venezuela</t>
  </si>
  <si>
    <t>India</t>
  </si>
  <si>
    <t>Hong Kong</t>
  </si>
  <si>
    <t>Philippines</t>
  </si>
  <si>
    <t>Slovakia</t>
  </si>
  <si>
    <t>South Africa</t>
  </si>
  <si>
    <t>Austria</t>
  </si>
  <si>
    <t>Egypt</t>
  </si>
  <si>
    <t>Indonesia</t>
  </si>
  <si>
    <t>Ethiopia</t>
  </si>
  <si>
    <t>Portugal</t>
  </si>
  <si>
    <t>Tunisia</t>
  </si>
  <si>
    <t>Estonia</t>
  </si>
  <si>
    <t>Fiji</t>
  </si>
  <si>
    <t>Latvia</t>
  </si>
  <si>
    <t>Thailand</t>
  </si>
  <si>
    <t>Bermuda</t>
  </si>
  <si>
    <t>Morocco</t>
  </si>
  <si>
    <t>Puerto Rico</t>
  </si>
  <si>
    <t>Colombia</t>
  </si>
  <si>
    <t>Azerbaijan</t>
  </si>
  <si>
    <t>Dominican Republic</t>
  </si>
  <si>
    <t>Armenia</t>
  </si>
  <si>
    <t>Kyrgyzstan</t>
  </si>
  <si>
    <t>Mongolia</t>
  </si>
  <si>
    <t>Argentina</t>
  </si>
  <si>
    <t>San Marino</t>
  </si>
  <si>
    <t>Jordan</t>
  </si>
  <si>
    <t>Malaysia</t>
  </si>
  <si>
    <t>Nigeria</t>
  </si>
  <si>
    <t>Bahrain</t>
  </si>
  <si>
    <t>Lithuania</t>
  </si>
  <si>
    <t>Namibia</t>
  </si>
  <si>
    <t>North Macedonia</t>
  </si>
  <si>
    <t>Saudi Arabia</t>
  </si>
  <si>
    <t>Turkmenistan</t>
  </si>
  <si>
    <t>Kazakhstan</t>
  </si>
  <si>
    <t>Mexico</t>
  </si>
  <si>
    <t>Finland</t>
  </si>
  <si>
    <t>Botswana</t>
  </si>
  <si>
    <t>Burkina Faso</t>
  </si>
  <si>
    <t>Ghana</t>
  </si>
  <si>
    <t>Grenada</t>
  </si>
  <si>
    <t>Ivory Coast</t>
  </si>
  <si>
    <t>Kuwait</t>
  </si>
  <si>
    <t>Moldova</t>
  </si>
  <si>
    <t>Syria</t>
  </si>
  <si>
    <t>First Name</t>
  </si>
  <si>
    <t>Middle Name</t>
  </si>
  <si>
    <t>Last Name</t>
  </si>
  <si>
    <t>Salary Bins</t>
  </si>
  <si>
    <t>Tenure</t>
  </si>
  <si>
    <t>Work Type</t>
  </si>
  <si>
    <t>Minerva</t>
  </si>
  <si>
    <t>Ricardot</t>
  </si>
  <si>
    <t>Above 100K</t>
  </si>
  <si>
    <t>Full Time</t>
  </si>
  <si>
    <t>Oona</t>
  </si>
  <si>
    <t>Donan</t>
  </si>
  <si>
    <t>50K-100K</t>
  </si>
  <si>
    <t>Part Time</t>
  </si>
  <si>
    <t>SQ04612</t>
  </si>
  <si>
    <t>Mick</t>
  </si>
  <si>
    <t>Spraberry</t>
  </si>
  <si>
    <t>VT01803</t>
  </si>
  <si>
    <t>Freddy</t>
  </si>
  <si>
    <t>Linford</t>
  </si>
  <si>
    <t>Fixed Term</t>
  </si>
  <si>
    <t>TN02749</t>
  </si>
  <si>
    <t>Parasuramudu</t>
  </si>
  <si>
    <t>Jamakayala</t>
  </si>
  <si>
    <t>SQ00144</t>
  </si>
  <si>
    <t>Collen</t>
  </si>
  <si>
    <t>Dunbleton</t>
  </si>
  <si>
    <t>Yedukondalu</t>
  </si>
  <si>
    <t>Panditula</t>
  </si>
  <si>
    <t>Missing</t>
  </si>
  <si>
    <t>SQ01854</t>
  </si>
  <si>
    <t>Jessica</t>
  </si>
  <si>
    <t>Callcott</t>
  </si>
  <si>
    <t>SQ00612</t>
  </si>
  <si>
    <t>Leena</t>
  </si>
  <si>
    <t>Bruckshaw</t>
  </si>
  <si>
    <t>Billi</t>
  </si>
  <si>
    <t>Fellgate</t>
  </si>
  <si>
    <t>VT00578</t>
  </si>
  <si>
    <t>Magnum</t>
  </si>
  <si>
    <t>Locksley</t>
  </si>
  <si>
    <t>Under 50K</t>
  </si>
  <si>
    <t>TN01281</t>
  </si>
  <si>
    <t>Cletus</t>
  </si>
  <si>
    <t>McGarahan</t>
  </si>
  <si>
    <t>Wyn</t>
  </si>
  <si>
    <t>Treadger</t>
  </si>
  <si>
    <t>VT02417</t>
  </si>
  <si>
    <t>Evangelina</t>
  </si>
  <si>
    <t>Lergan</t>
  </si>
  <si>
    <t>Temporary</t>
  </si>
  <si>
    <t>SQ00691</t>
  </si>
  <si>
    <t>Verla</t>
  </si>
  <si>
    <t>Timmis</t>
  </si>
  <si>
    <t>TN00214</t>
  </si>
  <si>
    <t>Devsena</t>
  </si>
  <si>
    <t>Veluvalapalli</t>
  </si>
  <si>
    <t>VT02539</t>
  </si>
  <si>
    <t>Devinne</t>
  </si>
  <si>
    <t>Tuny</t>
  </si>
  <si>
    <t>SQ04598</t>
  </si>
  <si>
    <t>Pearla</t>
  </si>
  <si>
    <t>Beteriss</t>
  </si>
  <si>
    <t>TN00464</t>
  </si>
  <si>
    <t>Gopal</t>
  </si>
  <si>
    <t>Venkata</t>
  </si>
  <si>
    <t>Vasavi</t>
  </si>
  <si>
    <t>Veeravasarapu</t>
  </si>
  <si>
    <t>Jill</t>
  </si>
  <si>
    <t>Shipsey</t>
  </si>
  <si>
    <t>Myrle</t>
  </si>
  <si>
    <t>Prandoni</t>
  </si>
  <si>
    <t>TN03416</t>
  </si>
  <si>
    <t>Seward</t>
  </si>
  <si>
    <t>Kubera</t>
  </si>
  <si>
    <t>TN00890</t>
  </si>
  <si>
    <t>Mayur</t>
  </si>
  <si>
    <t>Kousika</t>
  </si>
  <si>
    <t>VT04137</t>
  </si>
  <si>
    <t>Marissa</t>
  </si>
  <si>
    <t>Infante</t>
  </si>
  <si>
    <t>Dinanath</t>
  </si>
  <si>
    <t>Simhambhatla</t>
  </si>
  <si>
    <t>Danica</t>
  </si>
  <si>
    <t>Nayshe</t>
  </si>
  <si>
    <t>Althea</t>
  </si>
  <si>
    <t>Bronger</t>
  </si>
  <si>
    <t>VT03849</t>
  </si>
  <si>
    <t>Leonidas</t>
  </si>
  <si>
    <t>Cavaney</t>
  </si>
  <si>
    <t>SQ01395</t>
  </si>
  <si>
    <t>Dennison</t>
  </si>
  <si>
    <t>Crosswaite</t>
  </si>
  <si>
    <t>SQ02559</t>
  </si>
  <si>
    <t>Aldrich</t>
  </si>
  <si>
    <t>Glenny</t>
  </si>
  <si>
    <t>VT04627</t>
  </si>
  <si>
    <t>Yvette</t>
  </si>
  <si>
    <t>Bett</t>
  </si>
  <si>
    <t>VT03537</t>
  </si>
  <si>
    <t>Renaldo</t>
  </si>
  <si>
    <t>Thomassin</t>
  </si>
  <si>
    <t>Genevra</t>
  </si>
  <si>
    <t>Friday</t>
  </si>
  <si>
    <t>VT02313</t>
  </si>
  <si>
    <t>Thekla</t>
  </si>
  <si>
    <t>Lynnett</t>
  </si>
  <si>
    <t>SQ01620</t>
  </si>
  <si>
    <t>Westbrook</t>
  </si>
  <si>
    <t>Brandino</t>
  </si>
  <si>
    <t>VT04681</t>
  </si>
  <si>
    <t>Nickolai</t>
  </si>
  <si>
    <t>Artin</t>
  </si>
  <si>
    <t>TN04246</t>
  </si>
  <si>
    <t>Shaylyn</t>
  </si>
  <si>
    <t>Ransbury</t>
  </si>
  <si>
    <t>TN02570</t>
  </si>
  <si>
    <t>Grady</t>
  </si>
  <si>
    <t>Rochelle</t>
  </si>
  <si>
    <t>VT02801</t>
  </si>
  <si>
    <t>Shellysheldon</t>
  </si>
  <si>
    <t>Mahady</t>
  </si>
  <si>
    <t>SQ01177</t>
  </si>
  <si>
    <t>Nazeer</t>
  </si>
  <si>
    <t>Basha</t>
  </si>
  <si>
    <t>Mustafa</t>
  </si>
  <si>
    <t>VT01740</t>
  </si>
  <si>
    <t>Ginger</t>
  </si>
  <si>
    <t>Myott</t>
  </si>
  <si>
    <t>TN01876</t>
  </si>
  <si>
    <t>Aileen</t>
  </si>
  <si>
    <t>McCritchie</t>
  </si>
  <si>
    <t>VT03988</t>
  </si>
  <si>
    <t>Venkat</t>
  </si>
  <si>
    <t>Kodi</t>
  </si>
  <si>
    <t>TN00227</t>
  </si>
  <si>
    <t>Raghuveer</t>
  </si>
  <si>
    <t>Yettugunna</t>
  </si>
  <si>
    <t>VT01092</t>
  </si>
  <si>
    <t>Tabby</t>
  </si>
  <si>
    <t>Astall</t>
  </si>
  <si>
    <t>TN03169</t>
  </si>
  <si>
    <t>Doe</t>
  </si>
  <si>
    <t>Clubley</t>
  </si>
  <si>
    <t>SQ01402</t>
  </si>
  <si>
    <t>Sahaj</t>
  </si>
  <si>
    <t>Jonnalagadda</t>
  </si>
  <si>
    <t>SQ00360</t>
  </si>
  <si>
    <t>Orlando</t>
  </si>
  <si>
    <t>Gorstidge</t>
  </si>
  <si>
    <t>Gowri</t>
  </si>
  <si>
    <t>Sankar</t>
  </si>
  <si>
    <t>Chakrala</t>
  </si>
  <si>
    <t>SQ01637</t>
  </si>
  <si>
    <t>Joaquin</t>
  </si>
  <si>
    <t>McVitty</t>
  </si>
  <si>
    <t>TN03210</t>
  </si>
  <si>
    <t>Suman</t>
  </si>
  <si>
    <t>Katte</t>
  </si>
  <si>
    <t>Brose</t>
  </si>
  <si>
    <t>MacCorkell</t>
  </si>
  <si>
    <t>VT04093</t>
  </si>
  <si>
    <t>Prasanna</t>
  </si>
  <si>
    <t>Lakshmi</t>
  </si>
  <si>
    <t>Payasam</t>
  </si>
  <si>
    <t>SQ02246</t>
  </si>
  <si>
    <t>Matias</t>
  </si>
  <si>
    <t>Cormack</t>
  </si>
  <si>
    <t>TN03032</t>
  </si>
  <si>
    <t>Jaipal</t>
  </si>
  <si>
    <t>Potanapudi</t>
  </si>
  <si>
    <t>SQ00914</t>
  </si>
  <si>
    <t>Duran</t>
  </si>
  <si>
    <t>Appala</t>
  </si>
  <si>
    <t>SQ02525</t>
  </si>
  <si>
    <t>Mickie</t>
  </si>
  <si>
    <t>Dagwell</t>
  </si>
  <si>
    <t>TN02667</t>
  </si>
  <si>
    <t>Lizzie</t>
  </si>
  <si>
    <t>Mullally</t>
  </si>
  <si>
    <t>Isaak</t>
  </si>
  <si>
    <t>Rawne</t>
  </si>
  <si>
    <t>TN03331</t>
  </si>
  <si>
    <t>Crawford</t>
  </si>
  <si>
    <t>Scad</t>
  </si>
  <si>
    <t>VT01249</t>
  </si>
  <si>
    <t>Brendan</t>
  </si>
  <si>
    <t>Edgeller</t>
  </si>
  <si>
    <t>Lalitchandra</t>
  </si>
  <si>
    <t>Vadali</t>
  </si>
  <si>
    <t>VT02260</t>
  </si>
  <si>
    <t>Rhiamon</t>
  </si>
  <si>
    <t>Mollison</t>
  </si>
  <si>
    <t>TN02883</t>
  </si>
  <si>
    <t>John</t>
  </si>
  <si>
    <t>Joseph</t>
  </si>
  <si>
    <t>SQ03024</t>
  </si>
  <si>
    <t>Inge</t>
  </si>
  <si>
    <t>Creer</t>
  </si>
  <si>
    <t>TN04428</t>
  </si>
  <si>
    <t>Tadio</t>
  </si>
  <si>
    <t>Audritt</t>
  </si>
  <si>
    <t>SQ03350</t>
  </si>
  <si>
    <t>Felice</t>
  </si>
  <si>
    <t>McMurty</t>
  </si>
  <si>
    <t>VT03421</t>
  </si>
  <si>
    <t>Alic</t>
  </si>
  <si>
    <t>Bagg</t>
  </si>
  <si>
    <t>Adolph</t>
  </si>
  <si>
    <t>McNalley</t>
  </si>
  <si>
    <t>VT02118</t>
  </si>
  <si>
    <t>Oorjit</t>
  </si>
  <si>
    <t>Nandanavanam</t>
  </si>
  <si>
    <t>TN02496</t>
  </si>
  <si>
    <t>Ponnan</t>
  </si>
  <si>
    <t>Delhi</t>
  </si>
  <si>
    <t>VT02491</t>
  </si>
  <si>
    <t>Alexis</t>
  </si>
  <si>
    <t>Gotfrey</t>
  </si>
  <si>
    <t>Kath</t>
  </si>
  <si>
    <t>Bletsoe</t>
  </si>
  <si>
    <t>VT03307</t>
  </si>
  <si>
    <t>Tallie</t>
  </si>
  <si>
    <t>Chaikovski</t>
  </si>
  <si>
    <t>TN04058</t>
  </si>
  <si>
    <t>Subbarao</t>
  </si>
  <si>
    <t>Malladi</t>
  </si>
  <si>
    <t>VT03993</t>
  </si>
  <si>
    <t>Dulce</t>
  </si>
  <si>
    <t>Colbeck</t>
  </si>
  <si>
    <t>VT02663</t>
  </si>
  <si>
    <t>Sravanthi</t>
  </si>
  <si>
    <t>Chalaki</t>
  </si>
  <si>
    <t>Sreenivasa</t>
  </si>
  <si>
    <t>Naik</t>
  </si>
  <si>
    <t>Gudiwada</t>
  </si>
  <si>
    <t>Mollie</t>
  </si>
  <si>
    <t>Hanway</t>
  </si>
  <si>
    <t>SQ03476</t>
  </si>
  <si>
    <t>Ramalingam</t>
  </si>
  <si>
    <t>Kothapeta</t>
  </si>
  <si>
    <t>Van</t>
  </si>
  <si>
    <t>Tuxwell</t>
  </si>
  <si>
    <t>TN00182</t>
  </si>
  <si>
    <t>Camilla</t>
  </si>
  <si>
    <t>Castle</t>
  </si>
  <si>
    <t>VT01523</t>
  </si>
  <si>
    <t>Charmane</t>
  </si>
  <si>
    <t>Heistermann</t>
  </si>
  <si>
    <t>Inger</t>
  </si>
  <si>
    <t>Chapelhow</t>
  </si>
  <si>
    <t>Enoch</t>
  </si>
  <si>
    <t>Dowrey</t>
  </si>
  <si>
    <t>VT01684</t>
  </si>
  <si>
    <t>Audry</t>
  </si>
  <si>
    <t>Yu</t>
  </si>
  <si>
    <t>TN04740</t>
  </si>
  <si>
    <t>Tristam</t>
  </si>
  <si>
    <t>Cuming</t>
  </si>
  <si>
    <t>TN03575</t>
  </si>
  <si>
    <t>Janina</t>
  </si>
  <si>
    <t>Wolverson</t>
  </si>
  <si>
    <t>VT04984</t>
  </si>
  <si>
    <t>Dell</t>
  </si>
  <si>
    <t>Molloy</t>
  </si>
  <si>
    <t>Devrat</t>
  </si>
  <si>
    <t>Damarsingh</t>
  </si>
  <si>
    <t>SQ03546</t>
  </si>
  <si>
    <t>Amlankusum</t>
  </si>
  <si>
    <t>Rajabhushan</t>
  </si>
  <si>
    <t>VT02374</t>
  </si>
  <si>
    <t>Delphine</t>
  </si>
  <si>
    <t>Jewis</t>
  </si>
  <si>
    <t>SQ00450</t>
  </si>
  <si>
    <t>Louise</t>
  </si>
  <si>
    <t>Lamming</t>
  </si>
  <si>
    <t>Pratigya</t>
  </si>
  <si>
    <t>Rema</t>
  </si>
  <si>
    <t>SQ04488</t>
  </si>
  <si>
    <t>Ramnath</t>
  </si>
  <si>
    <t>Ravuri</t>
  </si>
  <si>
    <t>TN00735</t>
  </si>
  <si>
    <t>Caresa</t>
  </si>
  <si>
    <t>Christer</t>
  </si>
  <si>
    <t>VT01893</t>
  </si>
  <si>
    <t>Lindy</t>
  </si>
  <si>
    <t>Guillet</t>
  </si>
  <si>
    <t>SQ02223</t>
  </si>
  <si>
    <t>Pippy</t>
  </si>
  <si>
    <t>Shepperd</t>
  </si>
  <si>
    <t>Prerana</t>
  </si>
  <si>
    <t>Nishita</t>
  </si>
  <si>
    <t>SQ00498</t>
  </si>
  <si>
    <t>Amery</t>
  </si>
  <si>
    <t>Ofer</t>
  </si>
  <si>
    <t>Beverie</t>
  </si>
  <si>
    <t>Moffet</t>
  </si>
  <si>
    <t>TN00727</t>
  </si>
  <si>
    <t>Dulsea</t>
  </si>
  <si>
    <t>Folkes</t>
  </si>
  <si>
    <t>SQ01697</t>
  </si>
  <si>
    <t>Makshi</t>
  </si>
  <si>
    <t>Vinutha</t>
  </si>
  <si>
    <t>SQ01519</t>
  </si>
  <si>
    <t>Caron</t>
  </si>
  <si>
    <t>Kolakovic</t>
  </si>
  <si>
    <t>PR00210</t>
  </si>
  <si>
    <t>Marquita</t>
  </si>
  <si>
    <t>Liquorish</t>
  </si>
  <si>
    <t>VT03500</t>
  </si>
  <si>
    <t>Shiuli</t>
  </si>
  <si>
    <t>Sapna</t>
  </si>
  <si>
    <t>SQ01962</t>
  </si>
  <si>
    <t>Lezlie</t>
  </si>
  <si>
    <t>Philcott</t>
  </si>
  <si>
    <t>TN01210</t>
  </si>
  <si>
    <t>Alyosha</t>
  </si>
  <si>
    <t>Riquet</t>
  </si>
  <si>
    <t>SQ02051</t>
  </si>
  <si>
    <t>Agrata</t>
  </si>
  <si>
    <t>Rajarama</t>
  </si>
  <si>
    <t>SQ03321</t>
  </si>
  <si>
    <t>Gradey</t>
  </si>
  <si>
    <t>Litton</t>
  </si>
  <si>
    <t>Vasu</t>
  </si>
  <si>
    <t>Nandin</t>
  </si>
  <si>
    <t>SQ00841</t>
  </si>
  <si>
    <t>Bhuvan</t>
  </si>
  <si>
    <t>Pals</t>
  </si>
  <si>
    <t>SQ04603</t>
  </si>
  <si>
    <t>Natalee</t>
  </si>
  <si>
    <t>Craiker</t>
  </si>
  <si>
    <t>TN01028</t>
  </si>
  <si>
    <t>Alicea</t>
  </si>
  <si>
    <t>Pudsall</t>
  </si>
  <si>
    <t>VT04028</t>
  </si>
  <si>
    <t>Michale</t>
  </si>
  <si>
    <t>Rolf</t>
  </si>
  <si>
    <t>TN03068</t>
  </si>
  <si>
    <t>Gumwant</t>
  </si>
  <si>
    <t>Veera</t>
  </si>
  <si>
    <t>VT03701</t>
  </si>
  <si>
    <t>Narois</t>
  </si>
  <si>
    <t>Motiwala</t>
  </si>
  <si>
    <t>TN04101</t>
  </si>
  <si>
    <t>Marline</t>
  </si>
  <si>
    <t>Wahncke</t>
  </si>
  <si>
    <t>TN01632</t>
  </si>
  <si>
    <t>Katya</t>
  </si>
  <si>
    <t>Hundy</t>
  </si>
  <si>
    <t>Jamesy</t>
  </si>
  <si>
    <t>O'Ferris</t>
  </si>
  <si>
    <t>Anjushri</t>
  </si>
  <si>
    <t>Chandiramani</t>
  </si>
  <si>
    <t>SQ03626</t>
  </si>
  <si>
    <t>Krishnakanta</t>
  </si>
  <si>
    <t>Vellanki</t>
  </si>
  <si>
    <t>VT01610</t>
  </si>
  <si>
    <t>Dhruv</t>
  </si>
  <si>
    <t>Manjunath</t>
  </si>
  <si>
    <t>TN01340</t>
  </si>
  <si>
    <t>Granny</t>
  </si>
  <si>
    <t>Spencelayh</t>
  </si>
  <si>
    <t>TN00698</t>
  </si>
  <si>
    <t>Barbara-anne</t>
  </si>
  <si>
    <t>Kenchington</t>
  </si>
  <si>
    <t>SQ00960</t>
  </si>
  <si>
    <t>Calvin</t>
  </si>
  <si>
    <t>O'Carroll</t>
  </si>
  <si>
    <t>SQ01998</t>
  </si>
  <si>
    <t>Vanmala</t>
  </si>
  <si>
    <t>Shriharsha</t>
  </si>
  <si>
    <t>Sameer</t>
  </si>
  <si>
    <t>Shashank</t>
  </si>
  <si>
    <t>Sapra</t>
  </si>
  <si>
    <t>SQ01283</t>
  </si>
  <si>
    <t>Barr</t>
  </si>
  <si>
    <t>Faughny</t>
  </si>
  <si>
    <t>SQ01026</t>
  </si>
  <si>
    <t>Anumati</t>
  </si>
  <si>
    <t>Shyamari</t>
  </si>
  <si>
    <t>Meherhomji</t>
  </si>
  <si>
    <t>TN01912</t>
  </si>
  <si>
    <t>Fred</t>
  </si>
  <si>
    <t>Dudeney</t>
  </si>
  <si>
    <t>VT02319</t>
  </si>
  <si>
    <t>Tarala</t>
  </si>
  <si>
    <t>Vishaal</t>
  </si>
  <si>
    <t>SQ04960</t>
  </si>
  <si>
    <t>Shubhra</t>
  </si>
  <si>
    <t>Potla</t>
  </si>
  <si>
    <t>SQ01829</t>
  </si>
  <si>
    <t>Mabel</t>
  </si>
  <si>
    <t>Orrow</t>
  </si>
  <si>
    <t>Carlin</t>
  </si>
  <si>
    <t>Demke</t>
  </si>
  <si>
    <t>Hemavati</t>
  </si>
  <si>
    <t>Muthiah</t>
  </si>
  <si>
    <t>TN02798</t>
  </si>
  <si>
    <t>Krittika</t>
  </si>
  <si>
    <t>Gaekwad</t>
  </si>
  <si>
    <t>VT02532</t>
  </si>
  <si>
    <t>Adey</t>
  </si>
  <si>
    <t>Ryal</t>
  </si>
  <si>
    <t>Evanne</t>
  </si>
  <si>
    <t>Sheryn</t>
  </si>
  <si>
    <t>SQ03116</t>
  </si>
  <si>
    <t>Syd</t>
  </si>
  <si>
    <t>Fearn</t>
  </si>
  <si>
    <t>SQ02638</t>
  </si>
  <si>
    <t>Cara</t>
  </si>
  <si>
    <t>Havers</t>
  </si>
  <si>
    <t>VT03704</t>
  </si>
  <si>
    <t>Egor</t>
  </si>
  <si>
    <t>Minto</t>
  </si>
  <si>
    <t>VT04552</t>
  </si>
  <si>
    <t>Theresita</t>
  </si>
  <si>
    <t>Chasmer</t>
  </si>
  <si>
    <t>SQ04665</t>
  </si>
  <si>
    <t>Collin</t>
  </si>
  <si>
    <t>Jagson</t>
  </si>
  <si>
    <t>VT00336</t>
  </si>
  <si>
    <t>Shevantilal</t>
  </si>
  <si>
    <t>Muppala</t>
  </si>
  <si>
    <t>TN01256</t>
  </si>
  <si>
    <t>Shattesh</t>
  </si>
  <si>
    <t>Utpat</t>
  </si>
  <si>
    <t>Stan</t>
  </si>
  <si>
    <t>Tolliday</t>
  </si>
  <si>
    <t>VT01101</t>
  </si>
  <si>
    <t>Adela</t>
  </si>
  <si>
    <t>Dowsett</t>
  </si>
  <si>
    <t>TN04660</t>
  </si>
  <si>
    <t>Thedrick</t>
  </si>
  <si>
    <t>Bothwell</t>
  </si>
  <si>
    <t>VT00596</t>
  </si>
  <si>
    <t>Letisha</t>
  </si>
  <si>
    <t>Carrett</t>
  </si>
  <si>
    <t>VT03552</t>
  </si>
  <si>
    <t>Kamalakshi</t>
  </si>
  <si>
    <t>Mukundan</t>
  </si>
  <si>
    <t>TN00083</t>
  </si>
  <si>
    <t>Chandana</t>
  </si>
  <si>
    <t>Sannidhi</t>
  </si>
  <si>
    <t>Surnilla</t>
  </si>
  <si>
    <t>SQ02643</t>
  </si>
  <si>
    <t>Indu</t>
  </si>
  <si>
    <t>Varada</t>
  </si>
  <si>
    <t>Sumedh</t>
  </si>
  <si>
    <t>Karuna</t>
  </si>
  <si>
    <t>Pashupathy</t>
  </si>
  <si>
    <t>TN02674</t>
  </si>
  <si>
    <t>Antonetta</t>
  </si>
  <si>
    <t>Coggeshall</t>
  </si>
  <si>
    <t>TN02727</t>
  </si>
  <si>
    <t>Wald</t>
  </si>
  <si>
    <t>Bountiff</t>
  </si>
  <si>
    <t>VT01323</t>
  </si>
  <si>
    <t>Mardav</t>
  </si>
  <si>
    <t>Ramaswami</t>
  </si>
  <si>
    <t>Edd</t>
  </si>
  <si>
    <t>MacKnockiter</t>
  </si>
  <si>
    <t>Hogan</t>
  </si>
  <si>
    <t>Iles</t>
  </si>
  <si>
    <t>SQ03387</t>
  </si>
  <si>
    <t>Robinia</t>
  </si>
  <si>
    <t>Scholling</t>
  </si>
  <si>
    <t>SQ00105</t>
  </si>
  <si>
    <t>Sarayu</t>
  </si>
  <si>
    <t>Ragunathan</t>
  </si>
  <si>
    <t>SQ02424</t>
  </si>
  <si>
    <t>Kevalkumar</t>
  </si>
  <si>
    <t>Solanki</t>
  </si>
  <si>
    <t>VT01703</t>
  </si>
  <si>
    <t>Upendra</t>
  </si>
  <si>
    <t>Swati</t>
  </si>
  <si>
    <t>SQ02703</t>
  </si>
  <si>
    <t>Deepit</t>
  </si>
  <si>
    <t>Ranjana</t>
  </si>
  <si>
    <t>VT04373</t>
  </si>
  <si>
    <t>Edi</t>
  </si>
  <si>
    <t>Hofton</t>
  </si>
  <si>
    <t>SQ03733</t>
  </si>
  <si>
    <t>Revkah</t>
  </si>
  <si>
    <t>Antonacci</t>
  </si>
  <si>
    <t>VT04467</t>
  </si>
  <si>
    <t>Amal</t>
  </si>
  <si>
    <t>Nimesh</t>
  </si>
  <si>
    <t>Kunja</t>
  </si>
  <si>
    <t>Prashanta</t>
  </si>
  <si>
    <t>Vibha</t>
  </si>
  <si>
    <t>Iris</t>
  </si>
  <si>
    <t>Wagg</t>
  </si>
  <si>
    <t>VT04415</t>
  </si>
  <si>
    <t>Malory</t>
  </si>
  <si>
    <t>Biles</t>
  </si>
  <si>
    <t>TN04067</t>
  </si>
  <si>
    <t>Lea</t>
  </si>
  <si>
    <t>Chaplin</t>
  </si>
  <si>
    <t>TN04175</t>
  </si>
  <si>
    <t>Hinda</t>
  </si>
  <si>
    <t>Label</t>
  </si>
  <si>
    <t>VT00687</t>
  </si>
  <si>
    <t>Godavari</t>
  </si>
  <si>
    <t>Veena</t>
  </si>
  <si>
    <t>Eleonore</t>
  </si>
  <si>
    <t>Airdrie</t>
  </si>
  <si>
    <t>TN00579</t>
  </si>
  <si>
    <t>Rafaelita</t>
  </si>
  <si>
    <t>Blaksland</t>
  </si>
  <si>
    <t>TN03097</t>
  </si>
  <si>
    <t>Bendite</t>
  </si>
  <si>
    <t>Bloan</t>
  </si>
  <si>
    <t>SQ02174</t>
  </si>
  <si>
    <t>Sidoney</t>
  </si>
  <si>
    <t>Yitzhok</t>
  </si>
  <si>
    <t>Vaughn</t>
  </si>
  <si>
    <t>Carvill</t>
  </si>
  <si>
    <t>TN01601</t>
  </si>
  <si>
    <t>Melva</t>
  </si>
  <si>
    <t>Jickells</t>
  </si>
  <si>
    <t>SQ01730</t>
  </si>
  <si>
    <t>Austine</t>
  </si>
  <si>
    <t>Littlewood</t>
  </si>
  <si>
    <t>TN03355</t>
  </si>
  <si>
    <t>Ruby</t>
  </si>
  <si>
    <t>Cracie</t>
  </si>
  <si>
    <t>VT01246</t>
  </si>
  <si>
    <t>Zach</t>
  </si>
  <si>
    <t>Polon</t>
  </si>
  <si>
    <t>TN04166</t>
  </si>
  <si>
    <t>Dowdle</t>
  </si>
  <si>
    <t>Larissa</t>
  </si>
  <si>
    <t>Ingledow</t>
  </si>
  <si>
    <t>TN01701</t>
  </si>
  <si>
    <t>Yves</t>
  </si>
  <si>
    <t>Pawlik</t>
  </si>
  <si>
    <t>VT03298</t>
  </si>
  <si>
    <t>Nonah</t>
  </si>
  <si>
    <t>Bissell</t>
  </si>
  <si>
    <t>TN04892</t>
  </si>
  <si>
    <t>Luca</t>
  </si>
  <si>
    <t>Wolstenholme</t>
  </si>
  <si>
    <t>Devasree</t>
  </si>
  <si>
    <t>Fullara</t>
  </si>
  <si>
    <t>Saurin</t>
  </si>
  <si>
    <t>SQ04437</t>
  </si>
  <si>
    <t>Hephzibah</t>
  </si>
  <si>
    <t>Summerell</t>
  </si>
  <si>
    <t>Beryl</t>
  </si>
  <si>
    <t>Burnsyde</t>
  </si>
  <si>
    <t>VT01762</t>
  </si>
  <si>
    <t>Geena</t>
  </si>
  <si>
    <t>Raghavanpillai</t>
  </si>
  <si>
    <t>VT04273</t>
  </si>
  <si>
    <t>Brad</t>
  </si>
  <si>
    <t>Gumb</t>
  </si>
  <si>
    <t>SQ00187</t>
  </si>
  <si>
    <t>Rupak</t>
  </si>
  <si>
    <t>Mehra</t>
  </si>
  <si>
    <t>Addi</t>
  </si>
  <si>
    <t>Studdeard</t>
  </si>
  <si>
    <t>TN00258</t>
  </si>
  <si>
    <t>Joyce</t>
  </si>
  <si>
    <t>Leyband</t>
  </si>
  <si>
    <t>VT00476</t>
  </si>
  <si>
    <t>Hartin</t>
  </si>
  <si>
    <t>Sawini</t>
  </si>
  <si>
    <t>Chandan</t>
  </si>
  <si>
    <t>Baruna</t>
  </si>
  <si>
    <t>Ogale</t>
  </si>
  <si>
    <t>TN01566</t>
  </si>
  <si>
    <t>Fonzie</t>
  </si>
  <si>
    <t>O'Shea</t>
  </si>
  <si>
    <t>Rodina</t>
  </si>
  <si>
    <t>Drinan</t>
  </si>
  <si>
    <t>Torrance</t>
  </si>
  <si>
    <t>Collier</t>
  </si>
  <si>
    <t>SQ03491</t>
  </si>
  <si>
    <t>Freda</t>
  </si>
  <si>
    <t>Legan</t>
  </si>
  <si>
    <t>SQ02465</t>
  </si>
  <si>
    <t>Bernie</t>
  </si>
  <si>
    <t>Gorges</t>
  </si>
  <si>
    <t>VT00194</t>
  </si>
  <si>
    <t>Violante</t>
  </si>
  <si>
    <t>Courtonne</t>
  </si>
  <si>
    <t>TN00328</t>
  </si>
  <si>
    <t>Jeannie</t>
  </si>
  <si>
    <t>Petracco</t>
  </si>
  <si>
    <t>Jagajeet</t>
  </si>
  <si>
    <t>Viraj</t>
  </si>
  <si>
    <t>Husein</t>
  </si>
  <si>
    <t>Augar</t>
  </si>
  <si>
    <t>SQ02371</t>
  </si>
  <si>
    <t>Alida</t>
  </si>
  <si>
    <t>Welman</t>
  </si>
  <si>
    <t>VT04350</t>
  </si>
  <si>
    <t>Kulbhushan</t>
  </si>
  <si>
    <t>Moorthy</t>
  </si>
  <si>
    <t>SQ02035</t>
  </si>
  <si>
    <t>Anni</t>
  </si>
  <si>
    <t>Izzard</t>
  </si>
  <si>
    <t>SQ00286</t>
  </si>
  <si>
    <t>Ilesh</t>
  </si>
  <si>
    <t>Dasgupta</t>
  </si>
  <si>
    <t>TN02205</t>
  </si>
  <si>
    <t>Madhumati</t>
  </si>
  <si>
    <t>Gazala</t>
  </si>
  <si>
    <t>Soumitra</t>
  </si>
  <si>
    <t>VT00740</t>
  </si>
  <si>
    <t>Chitrasen</t>
  </si>
  <si>
    <t>Laul</t>
  </si>
  <si>
    <t>Jaishree</t>
  </si>
  <si>
    <t>Atasi</t>
  </si>
  <si>
    <t>Yavatkar</t>
  </si>
  <si>
    <t>SQ03112</t>
  </si>
  <si>
    <t>Kantimoy</t>
  </si>
  <si>
    <t>Pritish</t>
  </si>
  <si>
    <t>Rameshwari</t>
  </si>
  <si>
    <t>Chikodi</t>
  </si>
  <si>
    <t>Lalit</t>
  </si>
  <si>
    <t>Kothari</t>
  </si>
  <si>
    <t>VT01996</t>
  </si>
  <si>
    <t>Hali</t>
  </si>
  <si>
    <t>Behnecke</t>
  </si>
  <si>
    <t>Sahas</t>
  </si>
  <si>
    <t>Sanabhi</t>
  </si>
  <si>
    <t>Shrikant</t>
  </si>
  <si>
    <t>SQ04934</t>
  </si>
  <si>
    <t>Pedro</t>
  </si>
  <si>
    <t>St.</t>
  </si>
  <si>
    <t>Hill</t>
  </si>
  <si>
    <t>SQ02624</t>
  </si>
  <si>
    <t>Gwenneth</t>
  </si>
  <si>
    <t>Fealey</t>
  </si>
  <si>
    <t>SQ02565</t>
  </si>
  <si>
    <t>Konstantin</t>
  </si>
  <si>
    <t>Timblett</t>
  </si>
  <si>
    <t>SQ02582</t>
  </si>
  <si>
    <t>Kaishori</t>
  </si>
  <si>
    <t>Harathi</t>
  </si>
  <si>
    <t>Kateel</t>
  </si>
  <si>
    <t>TN02397</t>
  </si>
  <si>
    <t>Mendel</t>
  </si>
  <si>
    <t>Gentsch</t>
  </si>
  <si>
    <t>TN04265</t>
  </si>
  <si>
    <t>Rushil</t>
  </si>
  <si>
    <t>Kripa</t>
  </si>
  <si>
    <t>TN02204</t>
  </si>
  <si>
    <t>Patti</t>
  </si>
  <si>
    <t>Dradey</t>
  </si>
  <si>
    <t>VT03771</t>
  </si>
  <si>
    <t>Marjie</t>
  </si>
  <si>
    <t>Bamford</t>
  </si>
  <si>
    <t>SQ04613</t>
  </si>
  <si>
    <t>Sarojini</t>
  </si>
  <si>
    <t>Naueshwara</t>
  </si>
  <si>
    <t>Marmaduke</t>
  </si>
  <si>
    <t>Worssam</t>
  </si>
  <si>
    <t>VT00534</t>
  </si>
  <si>
    <t>Roselle</t>
  </si>
  <si>
    <t>Wandrach</t>
  </si>
  <si>
    <t>Sartaj</t>
  </si>
  <si>
    <t>Probal</t>
  </si>
  <si>
    <t>TN01396</t>
  </si>
  <si>
    <t>Koral</t>
  </si>
  <si>
    <t>Gerriet</t>
  </si>
  <si>
    <t>TN02377</t>
  </si>
  <si>
    <t>Anjela</t>
  </si>
  <si>
    <t>Spancock</t>
  </si>
  <si>
    <t>TN02988</t>
  </si>
  <si>
    <t>Mahindra</t>
  </si>
  <si>
    <t>Sreedharan</t>
  </si>
  <si>
    <t>VT04905</t>
  </si>
  <si>
    <t>Suchira</t>
  </si>
  <si>
    <t>Bhanupriya</t>
  </si>
  <si>
    <t>Tapti</t>
  </si>
  <si>
    <t>Carry</t>
  </si>
  <si>
    <t>Loblie</t>
  </si>
  <si>
    <t>Sushanti</t>
  </si>
  <si>
    <t>Mokate</t>
  </si>
  <si>
    <t>TN04775</t>
  </si>
  <si>
    <t>Hridaynath</t>
  </si>
  <si>
    <t>Tendulkar</t>
  </si>
  <si>
    <t>SQ03625</t>
  </si>
  <si>
    <t>Fidela</t>
  </si>
  <si>
    <t>Artis</t>
  </si>
  <si>
    <t>Headcount</t>
  </si>
  <si>
    <t>Avg. Salary</t>
  </si>
  <si>
    <t>Permanent Headcount</t>
  </si>
  <si>
    <t xml:space="preserve"> Fixed Term Headcount</t>
  </si>
  <si>
    <t>Temporary Headcount</t>
  </si>
  <si>
    <t>All Employees with &gt;100k Salary</t>
  </si>
  <si>
    <t>Columns 1, 2, 3, 5, 6</t>
  </si>
  <si>
    <t>All such "Female" Employees</t>
  </si>
  <si>
    <t>Using only FILTER</t>
  </si>
  <si>
    <t>Year</t>
  </si>
  <si>
    <t>Columns 1, 2, 3, 4, 5, 6</t>
  </si>
  <si>
    <t>who joined in 2020 or after…</t>
  </si>
  <si>
    <t>Lowest, highest and top 5 salary values</t>
  </si>
  <si>
    <t>Top</t>
  </si>
  <si>
    <t>Range</t>
  </si>
  <si>
    <t>All emps</t>
  </si>
  <si>
    <t>Lowest salary</t>
  </si>
  <si>
    <t>Highest salary</t>
  </si>
  <si>
    <t>Top 5 Salaries</t>
  </si>
  <si>
    <t>with SORT + TAKE</t>
  </si>
  <si>
    <t>List all deparments and count them</t>
  </si>
  <si>
    <t>No. of Depts</t>
  </si>
  <si>
    <t>Employee Lookup</t>
  </si>
  <si>
    <t>VLOOKUP</t>
  </si>
  <si>
    <t>VLOOKUP with non existent id but with IFERROR</t>
  </si>
  <si>
    <t>Employee ID</t>
  </si>
  <si>
    <t>PR03887</t>
  </si>
  <si>
    <t>With XLOOKUP</t>
  </si>
  <si>
    <t>First name:</t>
  </si>
  <si>
    <t>Last name:</t>
  </si>
  <si>
    <t>Department:</t>
  </si>
  <si>
    <t>Salary:</t>
  </si>
  <si>
    <t>INDEX MATCH</t>
  </si>
  <si>
    <t>All Employees with 120000 salary</t>
  </si>
  <si>
    <t>Complex formula: Highest salary person</t>
  </si>
  <si>
    <t>One person:</t>
  </si>
  <si>
    <t>All persons:</t>
  </si>
  <si>
    <t>Name starting with H</t>
  </si>
  <si>
    <t>All people who started in March</t>
  </si>
  <si>
    <t>USING MONTH</t>
  </si>
  <si>
    <t>USING TEXT with mmm</t>
  </si>
  <si>
    <t>USING TEXT with mmmm</t>
  </si>
  <si>
    <t>All people who started march onwards using DATE</t>
  </si>
  <si>
    <t>all female employees who have started on a monday</t>
  </si>
  <si>
    <t>Complex formula: Department report of headcounts, salaries and % diff from overall average</t>
  </si>
  <si>
    <t>ALL Departments</t>
  </si>
  <si>
    <t xml:space="preserve"> diff from overall avg.</t>
  </si>
  <si>
    <t>% diff from overall avg.</t>
  </si>
  <si>
    <t>Highest Salary</t>
  </si>
  <si>
    <t>Median Salary</t>
  </si>
  <si>
    <t>Female Ratio</t>
  </si>
  <si>
    <t>Call number</t>
  </si>
  <si>
    <t>Customer ID</t>
  </si>
  <si>
    <t>Duration</t>
  </si>
  <si>
    <t>Representative</t>
  </si>
  <si>
    <t>Date of Call</t>
  </si>
  <si>
    <t>Purchase Amount</t>
  </si>
  <si>
    <t>Satisfaction Rating</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</si>
  <si>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</si>
  <si>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</si>
  <si>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</si>
  <si>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</si>
  <si>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</si>
  <si>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</si>
  <si>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</si>
  <si>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</si>
  <si>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</si>
  <si>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</si>
  <si>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</si>
  <si>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</si>
  <si>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</si>
  <si>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</si>
  <si>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</si>
  <si>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</si>
  <si>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</si>
  <si>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</si>
  <si>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</si>
  <si>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</si>
  <si>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</si>
  <si>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</si>
  <si>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</si>
  <si>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</si>
  <si>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</si>
  <si>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</si>
  <si>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</si>
  <si>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</si>
  <si>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</si>
  <si>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</si>
  <si>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</si>
  <si>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</si>
  <si>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</si>
  <si>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</si>
  <si>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</si>
  <si>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</si>
  <si>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</si>
  <si>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</si>
  <si>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</si>
  <si>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</si>
  <si>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</si>
  <si>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</si>
  <si>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</si>
  <si>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</si>
  <si>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</si>
  <si>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</si>
  <si>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</si>
  <si>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</si>
  <si>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</si>
  <si>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</si>
  <si>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</si>
  <si>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</si>
  <si>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</si>
  <si>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</si>
  <si>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</si>
  <si>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</si>
  <si>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</si>
  <si>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</si>
  <si>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</si>
  <si>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</si>
  <si>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</si>
  <si>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</si>
  <si>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</si>
  <si>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</si>
  <si>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</si>
  <si>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</si>
  <si>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</si>
  <si>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</si>
  <si>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</si>
  <si>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</si>
  <si>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</si>
  <si>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</si>
  <si>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</si>
  <si>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</si>
  <si>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</si>
  <si>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</si>
  <si>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</si>
  <si>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</si>
  <si>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</si>
  <si>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</si>
  <si>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</si>
  <si>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</si>
  <si>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</si>
  <si>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</si>
  <si>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</si>
  <si>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</si>
  <si>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</si>
  <si>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</si>
  <si>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</si>
  <si>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</si>
  <si>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</si>
  <si>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</si>
  <si>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</si>
  <si>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</si>
  <si>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</si>
  <si>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</si>
  <si>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</si>
  <si>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</si>
  <si>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</si>
  <si>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</si>
  <si>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</si>
  <si>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</si>
  <si>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</si>
  <si>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</si>
  <si>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</si>
  <si>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</si>
  <si>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</si>
  <si>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</si>
  <si>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</si>
  <si>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</si>
  <si>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</si>
  <si>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</si>
  <si>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</si>
  <si>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</si>
  <si>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</si>
  <si>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</si>
  <si>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</si>
  <si>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</si>
  <si>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</si>
  <si>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</si>
  <si>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</si>
  <si>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</si>
  <si>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</si>
  <si>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</si>
  <si>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</si>
  <si>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</si>
  <si>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</si>
  <si>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</si>
  <si>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</si>
  <si>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</si>
  <si>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</si>
  <si>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</si>
  <si>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</si>
  <si>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</si>
  <si>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</si>
  <si>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</si>
  <si>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</si>
  <si>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</si>
  <si>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</si>
  <si>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</si>
  <si>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</si>
  <si>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</si>
  <si>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</si>
  <si>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</si>
  <si>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</si>
  <si>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</si>
  <si>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</si>
  <si>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</si>
  <si>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</si>
  <si>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</si>
  <si>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</si>
  <si>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</si>
  <si>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</si>
  <si>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</si>
  <si>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</si>
  <si>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</si>
  <si>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</si>
  <si>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</si>
  <si>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</si>
  <si>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</si>
  <si>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</si>
  <si>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</si>
  <si>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</si>
  <si>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</si>
  <si>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</si>
  <si>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</si>
  <si>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</si>
  <si>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</si>
  <si>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</si>
  <si>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</si>
  <si>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</si>
  <si>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</si>
  <si>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</si>
  <si>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</si>
  <si>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</si>
  <si>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</si>
  <si>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</si>
  <si>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</si>
  <si>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</si>
  <si>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</si>
  <si>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</si>
  <si>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</si>
  <si>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</si>
  <si>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</si>
  <si>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</si>
  <si>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</si>
  <si>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</si>
  <si>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</si>
  <si>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</si>
  <si>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</si>
  <si>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</si>
  <si>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</si>
  <si>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</si>
  <si>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</si>
  <si>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</si>
  <si>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</si>
  <si>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</si>
  <si>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</si>
  <si>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</si>
  <si>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</si>
  <si>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</si>
  <si>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</si>
  <si>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</si>
  <si>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</si>
  <si>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</si>
  <si>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</si>
  <si>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</si>
  <si>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</si>
  <si>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</si>
  <si>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</si>
  <si>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</si>
  <si>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</si>
  <si>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</si>
  <si>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</si>
  <si>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</si>
  <si>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</si>
  <si>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</si>
  <si>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</si>
  <si>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</si>
  <si>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</si>
  <si>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</si>
  <si>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</si>
  <si>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</si>
  <si>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</si>
  <si>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</si>
  <si>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</si>
  <si>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</si>
  <si>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</si>
  <si>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</si>
  <si>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</si>
  <si>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</si>
  <si>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</si>
  <si>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</si>
  <si>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</si>
  <si>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</si>
  <si>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</si>
  <si>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</si>
  <si>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</si>
  <si>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</si>
  <si>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</si>
  <si>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</si>
  <si>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</si>
  <si>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</si>
  <si>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</si>
  <si>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</si>
  <si>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</si>
  <si>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</si>
  <si>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</si>
  <si>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</si>
  <si>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</si>
  <si>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</si>
  <si>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</si>
  <si>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</si>
  <si>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</si>
  <si>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</si>
  <si>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</si>
  <si>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</si>
  <si>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</si>
  <si>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</si>
  <si>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</si>
  <si>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</si>
  <si>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</si>
  <si>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</si>
  <si>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</si>
  <si>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</si>
  <si>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</si>
  <si>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</si>
  <si>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</si>
  <si>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</si>
  <si>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</si>
  <si>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</si>
  <si>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</si>
  <si>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</si>
  <si>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</si>
  <si>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</si>
  <si>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</si>
  <si>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</si>
  <si>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</si>
  <si>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</si>
  <si>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</si>
  <si>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</si>
  <si>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</si>
  <si>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</si>
  <si>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</si>
  <si>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</si>
  <si>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</si>
  <si>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</si>
  <si>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</si>
  <si>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</si>
  <si>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</si>
  <si>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</si>
  <si>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</si>
  <si>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</si>
  <si>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</si>
  <si>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</si>
  <si>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</si>
  <si>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</si>
  <si>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</si>
  <si>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</si>
  <si>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</si>
  <si>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</si>
  <si>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</si>
  <si>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</si>
  <si>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</si>
  <si>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</si>
  <si>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</si>
  <si>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</si>
  <si>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</si>
  <si>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</si>
  <si>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</si>
  <si>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</si>
  <si>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</si>
  <si>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</si>
  <si>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</si>
  <si>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</si>
  <si>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</si>
  <si>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</si>
  <si>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</si>
  <si>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</si>
  <si>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</si>
  <si>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</si>
  <si>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</si>
  <si>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</si>
  <si>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</si>
  <si>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</si>
  <si>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</si>
  <si>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</si>
  <si>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</si>
  <si>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</si>
  <si>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</si>
  <si>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</si>
  <si>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</si>
  <si>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</si>
  <si>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</si>
  <si>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</si>
  <si>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</si>
  <si>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</si>
  <si>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</si>
  <si>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</si>
  <si>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</si>
  <si>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</si>
  <si>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</si>
  <si>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</si>
  <si>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</si>
  <si>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</si>
  <si>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</si>
  <si>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</si>
  <si>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</si>
  <si>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</si>
  <si>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</si>
  <si>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</si>
  <si>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</si>
  <si>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</si>
  <si>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</si>
  <si>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</si>
  <si>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</si>
  <si>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</si>
  <si>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</si>
  <si>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</si>
  <si>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</si>
  <si>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</si>
  <si>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</si>
  <si>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</si>
  <si>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</si>
  <si>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</si>
  <si>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</si>
  <si>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</si>
  <si>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</si>
  <si>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</si>
  <si>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</si>
  <si>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</si>
  <si>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</si>
  <si>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</si>
  <si>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</si>
  <si>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</si>
  <si>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</si>
  <si>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</si>
  <si>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</si>
  <si>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</si>
  <si>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</si>
  <si>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</si>
  <si>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</si>
  <si>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</si>
  <si>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</si>
  <si>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</si>
  <si>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</si>
  <si>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</si>
  <si>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</si>
  <si>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</si>
  <si>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</si>
  <si>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</si>
  <si>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</si>
  <si>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</si>
  <si>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</si>
  <si>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</si>
  <si>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</si>
  <si>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</si>
  <si>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</si>
  <si>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</si>
  <si>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</si>
  <si>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</si>
  <si>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</si>
  <si>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</si>
  <si>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</si>
  <si>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</si>
  <si>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</si>
  <si>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</si>
  <si>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</si>
  <si>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</si>
  <si>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</si>
  <si>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</si>
  <si>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</si>
  <si>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</si>
  <si>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</si>
  <si>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</si>
  <si>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</si>
  <si>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</si>
  <si>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</si>
  <si>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</si>
  <si>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</si>
  <si>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</si>
  <si>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</si>
  <si>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</si>
  <si>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</si>
  <si>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</si>
  <si>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</si>
  <si>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</si>
  <si>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</si>
  <si>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</si>
  <si>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</si>
  <si>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</si>
  <si>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</si>
  <si>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</si>
  <si>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</si>
  <si>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</si>
  <si>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</si>
  <si>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</si>
  <si>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</si>
  <si>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</si>
  <si>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</si>
  <si>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</si>
  <si>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</si>
  <si>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</si>
  <si>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</si>
  <si>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</si>
  <si>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</si>
  <si>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</si>
  <si>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</si>
  <si>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</si>
  <si>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</si>
  <si>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</si>
  <si>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</si>
  <si>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</si>
  <si>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</si>
  <si>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</si>
  <si>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</si>
  <si>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</si>
  <si>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</si>
  <si>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</si>
  <si>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</si>
  <si>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</si>
  <si>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</si>
  <si>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</si>
  <si>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</si>
  <si>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</si>
  <si>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</si>
  <si>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</si>
  <si>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</si>
  <si>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</si>
  <si>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</si>
  <si>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</si>
  <si>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</si>
  <si>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</si>
  <si>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</si>
  <si>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</si>
  <si>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</si>
  <si>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</si>
  <si>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</si>
  <si>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</si>
  <si>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</si>
  <si>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</si>
  <si>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</si>
  <si>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</si>
  <si>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</si>
  <si>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</si>
  <si>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</si>
  <si>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</si>
  <si>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</si>
  <si>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</si>
  <si>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</si>
  <si>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</si>
  <si>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</si>
  <si>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</si>
  <si>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</si>
  <si>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</si>
  <si>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</si>
  <si>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</si>
  <si>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</si>
  <si>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</si>
  <si>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</si>
  <si>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</si>
  <si>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</si>
  <si>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</si>
  <si>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</si>
  <si>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</si>
  <si>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</si>
  <si>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</si>
  <si>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</si>
  <si>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</si>
  <si>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</si>
  <si>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</si>
  <si>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</si>
  <si>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</si>
  <si>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</si>
  <si>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</si>
  <si>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</si>
  <si>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</si>
  <si>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</si>
  <si>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</si>
  <si>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</si>
  <si>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</si>
  <si>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</si>
  <si>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</si>
  <si>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</si>
  <si>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</si>
  <si>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</si>
  <si>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</si>
  <si>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</si>
  <si>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</si>
  <si>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</si>
  <si>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</si>
  <si>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</si>
  <si>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</si>
  <si>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</si>
  <si>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</si>
  <si>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</si>
  <si>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</si>
  <si>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</si>
  <si>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</si>
  <si>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</si>
  <si>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</si>
  <si>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</si>
  <si>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</si>
  <si>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</si>
  <si>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</si>
  <si>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</si>
  <si>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</si>
  <si>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</si>
  <si>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</si>
  <si>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</si>
  <si>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</si>
  <si>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</si>
  <si>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</si>
  <si>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</si>
  <si>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</si>
  <si>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</si>
  <si>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</si>
  <si>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</si>
  <si>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</si>
  <si>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</si>
  <si>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</si>
  <si>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</si>
  <si>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</si>
  <si>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</si>
  <si>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</si>
  <si>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</si>
  <si>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</si>
  <si>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</si>
  <si>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</si>
  <si>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</si>
  <si>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</si>
  <si>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</si>
  <si>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</si>
  <si>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</si>
  <si>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</si>
  <si>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</si>
  <si>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</si>
  <si>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</si>
  <si>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</si>
  <si>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</si>
  <si>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</si>
  <si>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</si>
  <si>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</si>
  <si>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</si>
  <si>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</si>
  <si>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</si>
  <si>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</si>
  <si>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</si>
  <si>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</si>
  <si>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</si>
  <si>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</si>
  <si>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</si>
  <si>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</si>
  <si>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</si>
  <si>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</si>
  <si>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</si>
  <si>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</si>
  <si>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</si>
  <si>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</si>
  <si>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</si>
  <si>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</si>
  <si>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</si>
  <si>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</si>
  <si>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</si>
  <si>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</si>
  <si>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</si>
  <si>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</si>
  <si>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</si>
  <si>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</si>
  <si>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</si>
  <si>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</si>
  <si>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</si>
  <si>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</si>
  <si>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</si>
  <si>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</si>
  <si>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</si>
  <si>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</si>
  <si>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</si>
  <si>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</si>
  <si>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</si>
  <si>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</si>
  <si>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</si>
  <si>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</si>
  <si>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</si>
  <si>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</si>
  <si>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</si>
  <si>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</si>
  <si>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</si>
  <si>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</si>
  <si>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</si>
  <si>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</si>
  <si>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</si>
  <si>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</si>
  <si>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</si>
  <si>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</si>
  <si>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</si>
  <si>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</si>
  <si>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</si>
  <si>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</si>
  <si>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</si>
  <si>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</si>
  <si>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</si>
  <si>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</si>
  <si>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</si>
  <si>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</si>
  <si>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</si>
  <si>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</si>
  <si>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</si>
  <si>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</si>
  <si>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</si>
  <si>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</si>
  <si>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</si>
  <si>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</si>
  <si>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</si>
  <si>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</si>
  <si>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</si>
  <si>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</si>
  <si>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</si>
  <si>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</si>
  <si>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</si>
  <si>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</si>
  <si>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</si>
  <si>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</si>
  <si>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</si>
  <si>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</si>
  <si>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</si>
  <si>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</si>
  <si>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</si>
  <si>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</si>
  <si>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</si>
  <si>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</si>
  <si>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</si>
  <si>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</si>
  <si>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</si>
  <si>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</si>
  <si>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</si>
  <si>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</si>
  <si>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</si>
  <si>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</si>
  <si>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</si>
  <si>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</si>
  <si>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</si>
  <si>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</si>
  <si>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</si>
  <si>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</si>
  <si>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</si>
  <si>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</si>
  <si>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</si>
  <si>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</si>
  <si>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</si>
  <si>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</si>
  <si>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</si>
  <si>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</si>
  <si>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</si>
  <si>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</si>
  <si>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</si>
  <si>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</si>
  <si>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</si>
  <si>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</si>
  <si>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</si>
  <si>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</si>
  <si>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</si>
  <si>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</si>
  <si>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</si>
  <si>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</si>
  <si>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</si>
  <si>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</si>
  <si>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</si>
  <si>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</si>
  <si>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</si>
  <si>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</si>
  <si>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</si>
  <si>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</si>
  <si>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</si>
  <si>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</si>
  <si>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</si>
  <si>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</si>
  <si>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</si>
  <si>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</si>
  <si>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</si>
  <si>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</si>
  <si>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</si>
  <si>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</si>
  <si>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</si>
  <si>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</si>
  <si>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</si>
  <si>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</si>
  <si>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</si>
  <si>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</si>
  <si>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</si>
  <si>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</si>
  <si>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</si>
  <si>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</si>
  <si>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</si>
  <si>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</si>
  <si>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</si>
  <si>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</si>
  <si>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</si>
  <si>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</si>
  <si>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</si>
  <si>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</si>
  <si>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</si>
  <si>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</si>
  <si>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</si>
  <si>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</si>
  <si>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</si>
  <si>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</si>
  <si>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</si>
  <si>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</si>
  <si>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</si>
  <si>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</si>
  <si>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</si>
  <si>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</si>
  <si>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</si>
  <si>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</si>
  <si>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</si>
  <si>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</si>
  <si>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</si>
  <si>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</si>
  <si>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</si>
  <si>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</si>
  <si>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</si>
  <si>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</si>
  <si>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</si>
  <si>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</si>
  <si>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</si>
  <si>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</si>
  <si>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</si>
  <si>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</si>
  <si>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</si>
  <si>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</si>
  <si>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</si>
  <si>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</si>
  <si>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</si>
  <si>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</si>
  <si>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</si>
  <si>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</si>
  <si>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</si>
  <si>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</si>
  <si>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</si>
  <si>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</si>
  <si>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</si>
  <si>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</si>
  <si>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</si>
  <si>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</si>
  <si>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</si>
  <si>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</si>
  <si>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</si>
  <si>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</si>
  <si>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</si>
  <si>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</si>
  <si>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</si>
  <si>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</si>
  <si>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</si>
  <si>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</si>
  <si>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</si>
  <si>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</si>
  <si>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</si>
  <si>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</si>
  <si>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</si>
  <si>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</si>
  <si>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</si>
  <si>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</si>
  <si>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</si>
  <si>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</si>
  <si>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</si>
  <si>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</si>
  <si>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</si>
  <si>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</si>
  <si>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</si>
  <si>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</si>
  <si>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</si>
  <si>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</si>
  <si>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</si>
  <si>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</si>
  <si>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</si>
  <si>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</si>
  <si>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</si>
  <si>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</si>
  <si>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</si>
  <si>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</si>
  <si>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</si>
  <si>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</si>
  <si>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</si>
  <si>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</si>
  <si>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</si>
  <si>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</si>
  <si>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</si>
  <si>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</si>
  <si>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</si>
  <si>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</si>
  <si>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</si>
  <si>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</si>
  <si>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</si>
  <si>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</si>
  <si>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</si>
  <si>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</si>
  <si>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</si>
  <si>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</si>
  <si>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</si>
  <si>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</si>
  <si>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</si>
  <si>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</si>
  <si>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</si>
  <si>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</si>
  <si>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</si>
  <si>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</si>
  <si>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</si>
  <si>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</si>
  <si>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</si>
  <si>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</si>
  <si>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</si>
  <si>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</si>
  <si>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</si>
  <si>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</si>
  <si>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</si>
  <si>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</si>
  <si>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</si>
  <si>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</si>
  <si>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</si>
  <si>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</si>
  <si>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</si>
  <si>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</si>
  <si>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</si>
  <si>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</si>
  <si>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</si>
  <si>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</si>
  <si>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</si>
  <si>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</si>
  <si>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</si>
  <si>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</si>
  <si>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</si>
  <si>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</si>
  <si>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</si>
  <si>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</si>
  <si>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</si>
  <si>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</si>
  <si>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</si>
  <si>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</si>
  <si>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</si>
  <si>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</si>
  <si>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</si>
  <si>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</si>
  <si>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</si>
  <si>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</si>
  <si>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</si>
  <si>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</si>
  <si>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</si>
  <si>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</si>
  <si>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</si>
  <si>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</si>
  <si>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</si>
  <si>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</si>
  <si>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</si>
  <si>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</si>
  <si>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</si>
  <si>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</si>
  <si>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</si>
  <si>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</si>
  <si>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</si>
  <si>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</si>
  <si>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</si>
  <si>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</si>
  <si>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</si>
  <si>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</si>
  <si>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</si>
  <si>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</si>
  <si>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</si>
  <si>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</si>
  <si>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</si>
  <si>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</si>
  <si>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</si>
  <si>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</si>
  <si>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</si>
  <si>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</si>
  <si>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</si>
  <si>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</si>
  <si>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</si>
  <si>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</si>
  <si>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</si>
  <si>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</si>
  <si>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</si>
  <si>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</si>
  <si>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</si>
  <si>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</si>
  <si>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</si>
  <si>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</si>
  <si>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</si>
  <si>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</si>
  <si>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</si>
  <si>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</si>
  <si>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</si>
  <si>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</si>
  <si>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</si>
  <si>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</si>
  <si>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</si>
  <si>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</si>
  <si>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</si>
  <si>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</si>
  <si>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</si>
  <si>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</si>
  <si>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</si>
  <si>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</si>
  <si>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</si>
  <si>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</si>
  <si>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</si>
  <si>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</si>
  <si>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</si>
  <si>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</si>
  <si>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</si>
  <si>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</si>
  <si>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</si>
  <si>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</si>
  <si>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</si>
  <si>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</si>
  <si>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</si>
  <si>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</si>
  <si>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</si>
  <si>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</si>
  <si>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</si>
  <si>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</si>
  <si>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</si>
  <si>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</si>
  <si>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</si>
  <si>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</si>
  <si>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</si>
  <si>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</si>
  <si>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</si>
  <si>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</si>
  <si>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</si>
  <si>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</si>
  <si>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</si>
  <si>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</si>
  <si>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</si>
  <si>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</si>
  <si>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</si>
  <si>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</si>
  <si>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</si>
  <si>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</si>
  <si>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</si>
  <si>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</si>
  <si>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</si>
  <si>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</si>
  <si>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</si>
  <si>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</si>
  <si>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</si>
  <si>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</si>
  <si>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</si>
  <si>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</si>
  <si>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</si>
  <si>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</si>
  <si>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</si>
  <si>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</si>
  <si>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</si>
  <si>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</si>
  <si>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</si>
  <si>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</si>
  <si>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</si>
  <si>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</si>
  <si>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</si>
  <si>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</si>
  <si>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</si>
  <si>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</si>
  <si>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</si>
  <si>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</si>
  <si>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</si>
  <si>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</si>
  <si>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</si>
  <si>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</si>
  <si>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</si>
  <si>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</si>
  <si>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</si>
  <si>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</si>
  <si>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</si>
  <si>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</si>
  <si>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</si>
  <si>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</si>
  <si>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</si>
  <si>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</si>
  <si>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</si>
  <si>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 - Pivoting data</t>
  </si>
  <si>
    <t>Count of Customer ID</t>
  </si>
  <si>
    <t>Grand Total</t>
  </si>
  <si>
    <t>How satisfied are our customers? - Chaging calculation mode</t>
  </si>
  <si>
    <t>Average of Satisfaction Rating</t>
  </si>
  <si>
    <t>Who are our top 10 customers? - In-column Filters</t>
  </si>
  <si>
    <t>Sum of Purchase Amount</t>
  </si>
  <si>
    <t>Top 10 customers for a specific representative? - doesnt answer the question</t>
  </si>
  <si>
    <t>Sum of Duration</t>
  </si>
  <si>
    <t>Top 10 customers for a specific representative? - Filter</t>
  </si>
  <si>
    <t>(All)</t>
  </si>
  <si>
    <t>Top 10 customers for a specific representative? - Slicer</t>
  </si>
  <si>
    <t>Call duration analysis - Grouping / bucketing</t>
  </si>
  <si>
    <t>How busy is our call centre in 2023?</t>
  </si>
  <si>
    <t>Day Name</t>
  </si>
  <si>
    <t>FILTER</t>
  </si>
  <si>
    <t>XLOOKUP</t>
  </si>
  <si>
    <t>all matches</t>
  </si>
  <si>
    <t>only the first match</t>
  </si>
  <si>
    <t>VLOOKUP with non existent id and no IFERROR</t>
  </si>
  <si>
    <t>Current PivotTable answers:
"Who are the overall top 10 customers by duration, and how is their duration distributed among representatives?" ✅
Not:
"Who are the top 10 customers for each representative?" ❌</t>
  </si>
  <si>
    <t>Duration2</t>
  </si>
  <si>
    <t>Group1</t>
  </si>
  <si>
    <t>Group2</t>
  </si>
  <si>
    <t>Group3</t>
  </si>
  <si>
    <t>Group4</t>
  </si>
  <si>
    <t>Group5</t>
  </si>
  <si>
    <t>Group6</t>
  </si>
  <si>
    <t>Group7</t>
  </si>
  <si>
    <t>Group8</t>
  </si>
  <si>
    <t>Group9</t>
  </si>
  <si>
    <t>Jan</t>
  </si>
  <si>
    <t>Feb</t>
  </si>
  <si>
    <t>Mar</t>
  </si>
  <si>
    <t>Apr</t>
  </si>
  <si>
    <t>May</t>
  </si>
  <si>
    <t>Jun</t>
  </si>
  <si>
    <t>Jul</t>
  </si>
  <si>
    <t>Aug</t>
  </si>
  <si>
    <t>Sep</t>
  </si>
  <si>
    <t>Oct</t>
  </si>
  <si>
    <t>Nov</t>
  </si>
  <si>
    <t>Dec</t>
  </si>
  <si>
    <t>Count of Call number</t>
  </si>
  <si>
    <t>Row Labels</t>
  </si>
  <si>
    <t>Two PT charts connected to one Slicer</t>
  </si>
  <si>
    <t>FY</t>
  </si>
  <si>
    <t>All depts in one cell, comma separated</t>
  </si>
  <si>
    <t>Employees&gt;100K-Functions</t>
  </si>
  <si>
    <t>FY Running Total</t>
  </si>
  <si>
    <t>YTD Sales Analysis Running Total</t>
  </si>
  <si>
    <t>YTD Sales Analysis per month</t>
  </si>
  <si>
    <t>Day of Week</t>
  </si>
  <si>
    <t>Sunday</t>
  </si>
  <si>
    <t>Monday</t>
  </si>
  <si>
    <t>Tuesday</t>
  </si>
  <si>
    <t>Wednesday</t>
  </si>
  <si>
    <t>Thursday</t>
  </si>
  <si>
    <t>Saturday</t>
  </si>
  <si>
    <t>Which days of week are the busiest?-Slicer</t>
  </si>
  <si>
    <t>Which days of week are the busiest?-Column-Row</t>
  </si>
  <si>
    <t>Column Labels</t>
  </si>
  <si>
    <t>Which days of week are the busiest?-Column-Row %-row tot.</t>
  </si>
  <si>
    <t>Which days of week are the busiest?-Column-Row %-col tot.</t>
  </si>
  <si>
    <t>Is there a link between call duration and satisfaction rating?</t>
  </si>
  <si>
    <t>Duration Bucket</t>
  </si>
  <si>
    <t>Rounded Rating</t>
  </si>
  <si>
    <t>10-30 Mins</t>
  </si>
  <si>
    <t>1-2 Hours</t>
  </si>
  <si>
    <t>30-60 Mins</t>
  </si>
  <si>
    <t>More than 2 Hours</t>
  </si>
  <si>
    <t>Under 10 Mins</t>
  </si>
  <si>
    <t>Average of Rounded Rating</t>
  </si>
  <si>
    <t>Is there a link between call duration and satisfaction rating? - %</t>
  </si>
  <si>
    <t>Should we hire extra people in any specific months?</t>
  </si>
  <si>
    <t>Time wasters: Which customers call most but buy least?</t>
  </si>
  <si>
    <t>Sum of Purchase per Minute</t>
  </si>
  <si>
    <t>Time wasters: Which customers call most but buy least?-Chart</t>
  </si>
  <si>
    <t>Rep training: Which rep(s) could use satisfaction training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</si>
</sst>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409]#,##0.00"/>
    <numFmt numFmtId="166" formatCode="&quot;$&quot;#,##0.00"/>
    <numFmt numFmtId="167" formatCode="0.0"/>
  </numFmts>
  <fonts count="12" x14ac:knownFonts="1">
    <font>
      <sz val="14"/>
      <color theme="1"/>
      <name val="Aptos Narrow"/>
      <family val="2"/>
      <scheme val="minor"/>
    </font>
    <font>
      <b/>
      <sz val="11"/>
      <color theme="1"/>
      <name val="Aptos Narrow"/>
      <family val="2"/>
      <scheme val="minor"/>
    </font>
    <font>
      <b/>
      <sz val="14"/>
      <color theme="1"/>
      <name val="Aptos Narrow"/>
      <family val="2"/>
      <scheme val="minor"/>
    </font>
    <font>
      <b/>
      <sz val="11"/>
      <color rgb="FF000000"/>
      <name val="Calibri"/>
      <family val="2"/>
    </font>
    <font>
      <sz val="11"/>
      <color rgb="FF000000"/>
      <name val="Calibri"/>
      <family val="2"/>
    </font>
    <font>
      <sz val="14"/>
      <color rgb="FF000000"/>
      <name val="Aptos Narrow"/>
      <family val="2"/>
      <scheme val="minor"/>
    </font>
    <font>
      <b/>
      <i/>
      <sz val="8"/>
      <color rgb="FF70AD47"/>
      <name val="Calibri"/>
      <family val="2"/>
    </font>
    <font>
      <sz val="11"/>
      <color rgb="FF808080"/>
      <name val="Calibri"/>
      <family val="2"/>
    </font>
    <font>
      <i/>
      <sz val="8"/>
      <color rgb="FF000000"/>
      <name val="Calibri"/>
      <family val="2"/>
    </font>
    <font>
      <sz val="11"/>
      <color rgb="FF000000"/>
      <name val="Calibri"/>
      <family val="2"/>
    </font>
    <font>
      <b/>
      <sz val="11"/>
      <color rgb="FF000000"/>
      <name val="Calibri"/>
      <family val="2"/>
    </font>
    <font>
      <sz val="14"/>
      <color theme="1"/>
      <name val="Calibri"/>
      <family val="2"/>
    </font>
  </fonts>
  <fills count="10">
    <fill>
      <patternFill patternType="none"/>
    </fill>
    <fill>
      <patternFill patternType="gray125"/>
    </fill>
    <fill>
      <patternFill patternType="solid">
        <fgColor theme="7" tint="0.59999389629810485"/>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9" tint="0.59999389629810485"/>
        <bgColor indexed="64"/>
      </patternFill>
    </fill>
    <fill>
      <patternFill patternType="solid">
        <fgColor rgb="FFE7E6E6"/>
        <bgColor indexed="64"/>
      </patternFill>
    </fill>
    <fill>
      <patternFill patternType="solid">
        <fgColor rgb="FFFFE699"/>
        <bgColor indexed="6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theme="4" tint="0.39997558519241921"/>
      </top>
      <bottom style="thin">
        <color theme="4" tint="0.39997558519241921"/>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97">
    <xf numFmtId="0" fontId="0" fillId="0" borderId="0" xfId="0"/>
    <xf numFmtId="0" fontId="1" fillId="2" borderId="0" xfId="0" applyFont="1" applyFill="1"/>
    <xf numFmtId="0" fontId="1" fillId="2" borderId="0" xfId="0" applyFont="1" applyFill="1" applyAlignment="1">
      <alignment horizontal="right"/>
    </xf>
    <xf numFmtId="0" fontId="1" fillId="2" borderId="0" xfId="0" applyFont="1" applyFill="1" applyAlignment="1">
      <alignment horizontal="center"/>
    </xf>
    <xf numFmtId="164" fontId="0" fillId="0" borderId="0" xfId="0" applyNumberFormat="1"/>
    <xf numFmtId="14" fontId="0" fillId="0" borderId="0" xfId="0" applyNumberFormat="1" applyAlignment="1">
      <alignment horizontal="right"/>
    </xf>
    <xf numFmtId="0" fontId="0" fillId="0" borderId="0" xfId="0" applyAlignment="1">
      <alignment horizontal="center"/>
    </xf>
    <xf numFmtId="165" fontId="0" fillId="0" borderId="0" xfId="0" applyNumberFormat="1"/>
    <xf numFmtId="1" fontId="0" fillId="0" borderId="1" xfId="0" applyNumberFormat="1" applyBorder="1"/>
    <xf numFmtId="49" fontId="0" fillId="0" borderId="1" xfId="0" applyNumberFormat="1" applyBorder="1"/>
    <xf numFmtId="1" fontId="0" fillId="0" borderId="3" xfId="0" applyNumberFormat="1" applyBorder="1"/>
    <xf numFmtId="0" fontId="2" fillId="0" borderId="5" xfId="0" applyFont="1" applyBorder="1"/>
    <xf numFmtId="0" fontId="2" fillId="0" borderId="6" xfId="0" applyFont="1" applyBorder="1"/>
    <xf numFmtId="0" fontId="2" fillId="0" borderId="7" xfId="0" applyFont="1" applyBorder="1"/>
    <xf numFmtId="1" fontId="0" fillId="0" borderId="8" xfId="0" applyNumberFormat="1" applyBorder="1"/>
    <xf numFmtId="49" fontId="0" fillId="0" borderId="9" xfId="0" applyNumberFormat="1" applyBorder="1"/>
    <xf numFmtId="1" fontId="0" fillId="0" borderId="9" xfId="0" applyNumberFormat="1" applyBorder="1"/>
    <xf numFmtId="9" fontId="0" fillId="0" borderId="4" xfId="0" applyNumberFormat="1" applyBorder="1"/>
    <xf numFmtId="9" fontId="0" fillId="0" borderId="10" xfId="0" applyNumberFormat="1" applyBorder="1"/>
    <xf numFmtId="14" fontId="0" fillId="0" borderId="0" xfId="0" applyNumberFormat="1"/>
    <xf numFmtId="2" fontId="0" fillId="0" borderId="0" xfId="0" applyNumberFormat="1"/>
    <xf numFmtId="166" fontId="0" fillId="0" borderId="0" xfId="0" applyNumberFormat="1"/>
    <xf numFmtId="1" fontId="0" fillId="0" borderId="0" xfId="0" applyNumberFormat="1"/>
    <xf numFmtId="49" fontId="0" fillId="0" borderId="0" xfId="0" applyNumberFormat="1"/>
    <xf numFmtId="167" fontId="0" fillId="0" borderId="0" xfId="0" applyNumberFormat="1"/>
    <xf numFmtId="49" fontId="0" fillId="4" borderId="11" xfId="0" applyNumberFormat="1" applyFill="1" applyBorder="1"/>
    <xf numFmtId="49" fontId="0" fillId="0" borderId="11" xfId="0" applyNumberFormat="1" applyBorder="1"/>
    <xf numFmtId="166" fontId="3" fillId="3" borderId="2" xfId="0" applyNumberFormat="1" applyFont="1" applyFill="1" applyBorder="1"/>
    <xf numFmtId="1" fontId="3" fillId="3" borderId="2" xfId="0" applyNumberFormat="1" applyFont="1" applyFill="1" applyBorder="1"/>
    <xf numFmtId="49" fontId="3" fillId="3" borderId="2" xfId="0" applyNumberFormat="1" applyFont="1" applyFill="1" applyBorder="1"/>
    <xf numFmtId="0" fontId="0" fillId="5" borderId="0" xfId="0" applyFill="1"/>
    <xf numFmtId="14" fontId="0" fillId="5" borderId="0" xfId="0" applyNumberFormat="1" applyFill="1"/>
    <xf numFmtId="0" fontId="3" fillId="0" borderId="0" xfId="0" applyFont="1"/>
    <xf numFmtId="0" fontId="4" fillId="0" borderId="0" xfId="0" applyFont="1"/>
    <xf numFmtId="0" fontId="0" fillId="6" borderId="0" xfId="0" applyFill="1"/>
    <xf numFmtId="0" fontId="5" fillId="6" borderId="0" xfId="0" applyFont="1" applyFill="1"/>
    <xf numFmtId="49" fontId="0" fillId="5" borderId="0" xfId="0" applyNumberFormat="1" applyFill="1"/>
    <xf numFmtId="0" fontId="4" fillId="3" borderId="1" xfId="0" applyFont="1" applyFill="1" applyBorder="1"/>
    <xf numFmtId="0" fontId="4" fillId="7" borderId="1" xfId="0" applyFont="1" applyFill="1" applyBorder="1"/>
    <xf numFmtId="0" fontId="4" fillId="0" borderId="1" xfId="0" applyFont="1" applyBorder="1"/>
    <xf numFmtId="164" fontId="4" fillId="0" borderId="1" xfId="0" applyNumberFormat="1" applyFont="1" applyBorder="1"/>
    <xf numFmtId="0" fontId="6" fillId="0" borderId="0" xfId="0" applyFont="1"/>
    <xf numFmtId="0" fontId="4" fillId="7" borderId="4" xfId="0" applyFont="1" applyFill="1" applyBorder="1"/>
    <xf numFmtId="0" fontId="4" fillId="7" borderId="12" xfId="0" applyFont="1" applyFill="1" applyBorder="1"/>
    <xf numFmtId="0" fontId="4" fillId="7" borderId="3" xfId="0" applyFont="1" applyFill="1" applyBorder="1"/>
    <xf numFmtId="0" fontId="3" fillId="8" borderId="2" xfId="0" applyFont="1" applyFill="1" applyBorder="1"/>
    <xf numFmtId="0" fontId="3" fillId="3" borderId="0" xfId="0" applyFont="1" applyFill="1"/>
    <xf numFmtId="0" fontId="4" fillId="3" borderId="0" xfId="0" applyFont="1" applyFill="1"/>
    <xf numFmtId="165" fontId="4" fillId="3" borderId="0" xfId="0" applyNumberFormat="1" applyFont="1" applyFill="1"/>
    <xf numFmtId="165" fontId="3" fillId="8" borderId="2" xfId="0" applyNumberFormat="1" applyFont="1" applyFill="1" applyBorder="1" applyAlignment="1">
      <alignment wrapText="1"/>
    </xf>
    <xf numFmtId="10" fontId="0" fillId="0" borderId="0" xfId="0" applyNumberFormat="1"/>
    <xf numFmtId="2" fontId="8" fillId="3" borderId="0" xfId="0" applyNumberFormat="1" applyFont="1" applyFill="1"/>
    <xf numFmtId="10" fontId="4" fillId="3" borderId="0" xfId="0" applyNumberFormat="1" applyFont="1" applyFill="1"/>
    <xf numFmtId="10" fontId="3" fillId="8" borderId="0" xfId="0" applyNumberFormat="1" applyFont="1" applyFill="1" applyAlignment="1">
      <alignment wrapText="1"/>
    </xf>
    <xf numFmtId="0" fontId="0" fillId="0" borderId="0" xfId="0" pivotButton="1"/>
    <xf numFmtId="0" fontId="3" fillId="8" borderId="2" xfId="0" applyFont="1" applyFill="1" applyBorder="1" applyAlignment="1">
      <alignment wrapText="1"/>
    </xf>
    <xf numFmtId="0" fontId="9" fillId="0" borderId="3" xfId="0" applyFont="1" applyBorder="1"/>
    <xf numFmtId="0" fontId="9" fillId="0" borderId="1" xfId="0" applyFont="1" applyBorder="1"/>
    <xf numFmtId="15" fontId="9" fillId="0" borderId="1" xfId="0" applyNumberFormat="1" applyFont="1" applyBorder="1"/>
    <xf numFmtId="0" fontId="9" fillId="0" borderId="4" xfId="0" applyFont="1" applyBorder="1"/>
    <xf numFmtId="0" fontId="9" fillId="0" borderId="8" xfId="0" applyFont="1" applyBorder="1"/>
    <xf numFmtId="0" fontId="9" fillId="0" borderId="9" xfId="0" applyFont="1" applyBorder="1"/>
    <xf numFmtId="15" fontId="9" fillId="0" borderId="9" xfId="0" applyNumberFormat="1" applyFont="1" applyBorder="1"/>
    <xf numFmtId="0" fontId="9" fillId="0" borderId="10" xfId="0" applyFont="1" applyBorder="1"/>
    <xf numFmtId="0" fontId="10" fillId="0" borderId="5" xfId="0" applyFont="1" applyBorder="1"/>
    <xf numFmtId="0" fontId="10" fillId="0" borderId="6" xfId="0" applyFont="1" applyBorder="1"/>
    <xf numFmtId="0" fontId="10" fillId="0" borderId="7" xfId="0" applyFont="1" applyBorder="1"/>
    <xf numFmtId="0" fontId="11" fillId="0" borderId="0" xfId="0" applyFont="1"/>
    <xf numFmtId="0" fontId="0" fillId="5" borderId="13" xfId="0" applyFill="1" applyBorder="1"/>
    <xf numFmtId="0" fontId="0" fillId="9" borderId="0" xfId="0" applyFill="1"/>
    <xf numFmtId="165" fontId="4" fillId="0" borderId="0" xfId="0" applyNumberFormat="1" applyFont="1"/>
    <xf numFmtId="165" fontId="4" fillId="7" borderId="1" xfId="0" applyNumberFormat="1" applyFont="1" applyFill="1" applyBorder="1"/>
    <xf numFmtId="0" fontId="4" fillId="5" borderId="0" xfId="0" applyFont="1" applyFill="1"/>
    <xf numFmtId="0" fontId="0" fillId="0" borderId="0" xfId="0" applyAlignment="1">
      <alignment horizontal="left"/>
    </xf>
    <xf numFmtId="0" fontId="9" fillId="0" borderId="6" xfId="0" applyFont="1" applyBorder="1"/>
    <xf numFmtId="0" fontId="4" fillId="0" borderId="13" xfId="0" applyFont="1" applyBorder="1"/>
    <xf numFmtId="0" fontId="4" fillId="3" borderId="13" xfId="0" applyFont="1" applyFill="1" applyBorder="1"/>
    <xf numFmtId="0" fontId="7" fillId="0" borderId="13" xfId="0" applyFont="1" applyBorder="1"/>
    <xf numFmtId="0" fontId="4" fillId="7" borderId="13" xfId="0" applyFont="1" applyFill="1" applyBorder="1"/>
    <xf numFmtId="0" fontId="0" fillId="0" borderId="13" xfId="0" applyBorder="1"/>
    <xf numFmtId="164" fontId="4" fillId="7" borderId="13" xfId="0" applyNumberFormat="1" applyFont="1" applyFill="1" applyBorder="1"/>
    <xf numFmtId="0" fontId="0" fillId="0" borderId="0" xfId="0" applyAlignment="1">
      <alignment horizontal="left" indent="1"/>
    </xf>
    <xf numFmtId="0" fontId="3" fillId="0" borderId="6" xfId="0" applyFont="1" applyBorder="1"/>
    <xf numFmtId="0" fontId="4" fillId="0" borderId="6" xfId="0" applyFont="1" applyBorder="1"/>
    <xf numFmtId="0" fontId="4" fillId="0" borderId="9" xfId="0" applyFont="1" applyBorder="1"/>
    <xf numFmtId="0" fontId="3" fillId="8" borderId="2" xfId="0" applyFont="1" applyFill="1" applyBorder="1" applyAlignment="1">
      <alignment wrapText="1"/>
    </xf>
    <xf numFmtId="1" fontId="10" fillId="0" borderId="6" xfId="0" applyNumberFormat="1" applyFont="1" applyBorder="1"/>
    <xf numFmtId="1" fontId="9" fillId="0" borderId="1" xfId="0" applyNumberFormat="1" applyFont="1" applyBorder="1"/>
    <xf numFmtId="1" fontId="9" fillId="0" borderId="9" xfId="0" applyNumberFormat="1" applyFont="1" applyBorder="1"/>
    <xf numFmtId="1" fontId="3" fillId="0" borderId="6" xfId="0" applyNumberFormat="1" applyFont="1" applyBorder="1"/>
    <xf numFmtId="1" fontId="4" fillId="0" borderId="6" xfId="0" applyNumberFormat="1" applyFont="1" applyBorder="1"/>
    <xf numFmtId="1" fontId="4" fillId="0" borderId="1" xfId="0" applyNumberFormat="1" applyFont="1" applyBorder="1"/>
    <xf numFmtId="1" fontId="4" fillId="0" borderId="9" xfId="0" applyNumberFormat="1" applyFont="1" applyBorder="1"/>
    <xf numFmtId="0" fontId="2" fillId="4" borderId="15" xfId="0" applyFont="1" applyFill="1" applyBorder="1"/>
    <xf numFmtId="0" fontId="0" fillId="0" borderId="0" xfId="0" applyNumberFormat="1"/>
    <xf numFmtId="0" fontId="2" fillId="4" borderId="14" xfId="0" applyFont="1" applyFill="1" applyBorder="1" applyAlignment="1">
      <alignment horizontal="left"/>
    </xf>
    <xf numFmtId="0" fontId="2" fillId="4" borderId="14" xfId="0" applyNumberFormat="1" applyFont="1" applyFill="1" applyBorder="1"/>
  </cellXfs>
  <cellStyles count="1">
    <cellStyle name="Normal" xfId="0" builtinId="0"/>
  </cellStyles>
  <dxfs count="61">
    <dxf>
      <numFmt numFmtId="30" formatCode="@"/>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rgb="FF000000"/>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color rgb="FF9C0006"/>
      </font>
    </dxf>
    <dxf>
      <font>
        <color rgb="FF9C0006"/>
      </font>
      <fill>
        <patternFill>
          <bgColor rgb="FFFFC7CE"/>
        </patternFill>
      </fill>
    </dxf>
    <dxf>
      <numFmt numFmtId="166" formatCode="&quot;$&quot;#,##0.00"/>
    </dxf>
    <dxf>
      <numFmt numFmtId="1" formatCode="0"/>
    </dxf>
    <dxf>
      <numFmt numFmtId="2" formatCode="0.00"/>
    </dxf>
    <dxf>
      <numFmt numFmtId="166" formatCode="&quot;$&quot;#,##0.00"/>
    </dxf>
    <dxf>
      <numFmt numFmtId="166" formatCode="&quot;$&quot;#,##0.00"/>
    </dxf>
    <dxf>
      <numFmt numFmtId="30" formatCode="@"/>
    </dxf>
    <dxf>
      <numFmt numFmtId="2" formatCode="0.00"/>
    </dxf>
    <dxf>
      <numFmt numFmtId="30" formatCode="@"/>
    </dxf>
    <dxf>
      <numFmt numFmtId="30" formatCode="@"/>
    </dxf>
    <dxf>
      <numFmt numFmtId="167" formatCode="0.0"/>
    </dxf>
    <dxf>
      <numFmt numFmtId="169" formatCode="m/d/yyyy"/>
    </dxf>
    <dxf>
      <numFmt numFmtId="30" formatCode="@"/>
    </dxf>
    <dxf>
      <numFmt numFmtId="166" formatCode="&quot;$&quot;#,##0.00"/>
    </dxf>
    <dxf>
      <numFmt numFmtId="30" formatCode="@"/>
    </dxf>
    <dxf>
      <numFmt numFmtId="30" formatCode="@"/>
    </dxf>
    <dxf>
      <numFmt numFmtId="30" formatCode="@"/>
    </dxf>
    <dxf>
      <numFmt numFmtId="30" formatCode="@"/>
    </dxf>
    <dxf>
      <numFmt numFmtId="30" formatCode="@"/>
    </dxf>
    <dxf>
      <numFmt numFmtId="14" formatCode="0.00%"/>
      <border diagonalUp="0" diagonalDown="0">
        <left style="thin">
          <color rgb="FF000000"/>
        </left>
        <right/>
        <top style="thin">
          <color rgb="FF000000"/>
        </top>
        <bottom style="thin">
          <color rgb="FF000000"/>
        </bottom>
        <vertical/>
        <horizontal/>
      </border>
    </dxf>
    <dxf>
      <numFmt numFmtId="1" formatCode="0"/>
      <border diagonalUp="0" diagonalDown="0">
        <left style="thin">
          <color rgb="FF000000"/>
        </left>
        <right style="thin">
          <color rgb="FF000000"/>
        </right>
        <top style="thin">
          <color rgb="FF000000"/>
        </top>
        <bottom style="thin">
          <color rgb="FF000000"/>
        </bottom>
        <vertical/>
        <horizontal/>
      </border>
    </dxf>
    <dxf>
      <numFmt numFmtId="1" formatCode="0"/>
      <border diagonalUp="0" diagonalDown="0">
        <left style="thin">
          <color rgb="FF000000"/>
        </left>
        <right style="thin">
          <color rgb="FF000000"/>
        </right>
        <top style="thin">
          <color rgb="FF000000"/>
        </top>
        <bottom style="thin">
          <color rgb="FF000000"/>
        </bottom>
        <vertical/>
        <horizontal/>
      </border>
    </dxf>
    <dxf>
      <numFmt numFmtId="1" formatCode="0"/>
      <border diagonalUp="0" diagonalDown="0">
        <left style="thin">
          <color rgb="FF000000"/>
        </left>
        <right style="thin">
          <color rgb="FF000000"/>
        </right>
        <top style="thin">
          <color rgb="FF000000"/>
        </top>
        <bottom style="thin">
          <color rgb="FF000000"/>
        </bottom>
        <vertical/>
        <horizontal/>
      </border>
    </dxf>
    <dxf>
      <numFmt numFmtId="1" formatCode="0"/>
      <border diagonalUp="0" diagonalDown="0">
        <left style="thin">
          <color rgb="FF000000"/>
        </left>
        <right style="thin">
          <color rgb="FF000000"/>
        </right>
        <top style="thin">
          <color rgb="FF000000"/>
        </top>
        <bottom style="thin">
          <color rgb="FF000000"/>
        </bottom>
        <vertical/>
        <horizontal/>
      </border>
    </dxf>
    <dxf>
      <numFmt numFmtId="30" formatCode="@"/>
      <border diagonalUp="0" diagonalDown="0">
        <left style="thin">
          <color rgb="FF000000"/>
        </left>
        <right style="thin">
          <color rgb="FF000000"/>
        </right>
        <top style="thin">
          <color rgb="FF000000"/>
        </top>
        <bottom style="thin">
          <color rgb="FF000000"/>
        </bottom>
        <vertical/>
        <horizontal/>
      </border>
    </dxf>
    <dxf>
      <numFmt numFmtId="1" formatCode="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4"/>
        <color theme="1"/>
        <name val="Aptos Narrow"/>
        <family val="2"/>
        <scheme val="minor"/>
      </font>
      <border diagonalUp="0" diagonalDown="0" outline="0">
        <left style="thin">
          <color rgb="FF000000"/>
        </left>
        <right style="thin">
          <color rgb="FF000000"/>
        </right>
        <top/>
        <bottom/>
      </border>
    </dxf>
    <dxf>
      <alignment horizontal="center" vertical="bottom" textRotation="0" wrapText="0" indent="0" justifyLastLine="0" shrinkToFit="0" readingOrder="0"/>
    </dxf>
    <dxf>
      <numFmt numFmtId="19" formatCode="dd/mm/yyyy"/>
      <alignment horizontal="right" vertical="bottom" textRotation="0" wrapText="0" indent="0" justifyLastLine="0" shrinkToFit="0" readingOrder="0"/>
    </dxf>
    <dxf>
      <numFmt numFmtId="165" formatCode="[$$-409]#,##0.00"/>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numFmt numFmtId="168" formatCode="dd\-mmm\-yy"/>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c:v>
          </c:tx>
          <c:spPr>
            <a:ln w="38100" cap="rnd">
              <a:noFill/>
              <a:round/>
            </a:ln>
            <a:effectLst/>
          </c:spPr>
          <c:marker>
            <c:symbol val="circle"/>
            <c:size val="5"/>
            <c:spPr>
              <a:solidFill>
                <a:schemeClr val="accent1"/>
              </a:solidFill>
              <a:ln w="9525">
                <a:solidFill>
                  <a:schemeClr val="accent1"/>
                </a:solidFill>
              </a:ln>
              <a:effectLst/>
            </c:spPr>
          </c:marker>
          <c:xVal>
            <c:numRef>
              <c:f>'Call Centre Data'!$C$2:$C$1001</c:f>
              <c:numCache>
                <c:formatCode>0</c:formatCode>
                <c:ptCount val="1000"/>
                <c:pt idx="0">
                  <c:v>116</c:v>
                </c:pt>
                <c:pt idx="1">
                  <c:v>119</c:v>
                </c:pt>
                <c:pt idx="2">
                  <c:v>68</c:v>
                </c:pt>
                <c:pt idx="3">
                  <c:v>119</c:v>
                </c:pt>
                <c:pt idx="4">
                  <c:v>128</c:v>
                </c:pt>
                <c:pt idx="5">
                  <c:v>49</c:v>
                </c:pt>
                <c:pt idx="6">
                  <c:v>84</c:v>
                </c:pt>
                <c:pt idx="7">
                  <c:v>103</c:v>
                </c:pt>
                <c:pt idx="8">
                  <c:v>31</c:v>
                </c:pt>
                <c:pt idx="9">
                  <c:v>44</c:v>
                </c:pt>
                <c:pt idx="10">
                  <c:v>102</c:v>
                </c:pt>
                <c:pt idx="11">
                  <c:v>135</c:v>
                </c:pt>
                <c:pt idx="12">
                  <c:v>98</c:v>
                </c:pt>
                <c:pt idx="13">
                  <c:v>139</c:v>
                </c:pt>
                <c:pt idx="14">
                  <c:v>48</c:v>
                </c:pt>
                <c:pt idx="15">
                  <c:v>176</c:v>
                </c:pt>
                <c:pt idx="16">
                  <c:v>99</c:v>
                </c:pt>
                <c:pt idx="17">
                  <c:v>28</c:v>
                </c:pt>
                <c:pt idx="18">
                  <c:v>54</c:v>
                </c:pt>
                <c:pt idx="19">
                  <c:v>48</c:v>
                </c:pt>
                <c:pt idx="20">
                  <c:v>128</c:v>
                </c:pt>
                <c:pt idx="21">
                  <c:v>38</c:v>
                </c:pt>
                <c:pt idx="22">
                  <c:v>67</c:v>
                </c:pt>
                <c:pt idx="23">
                  <c:v>58</c:v>
                </c:pt>
                <c:pt idx="24">
                  <c:v>54</c:v>
                </c:pt>
                <c:pt idx="25">
                  <c:v>28</c:v>
                </c:pt>
                <c:pt idx="26">
                  <c:v>73</c:v>
                </c:pt>
                <c:pt idx="27">
                  <c:v>81</c:v>
                </c:pt>
                <c:pt idx="28">
                  <c:v>31</c:v>
                </c:pt>
                <c:pt idx="29">
                  <c:v>155</c:v>
                </c:pt>
                <c:pt idx="30">
                  <c:v>80</c:v>
                </c:pt>
                <c:pt idx="31">
                  <c:v>82</c:v>
                </c:pt>
                <c:pt idx="32">
                  <c:v>29</c:v>
                </c:pt>
                <c:pt idx="33">
                  <c:v>160</c:v>
                </c:pt>
                <c:pt idx="34">
                  <c:v>105</c:v>
                </c:pt>
                <c:pt idx="35">
                  <c:v>75</c:v>
                </c:pt>
                <c:pt idx="36">
                  <c:v>94</c:v>
                </c:pt>
                <c:pt idx="37">
                  <c:v>90</c:v>
                </c:pt>
                <c:pt idx="38">
                  <c:v>81</c:v>
                </c:pt>
                <c:pt idx="39">
                  <c:v>106</c:v>
                </c:pt>
                <c:pt idx="40">
                  <c:v>74</c:v>
                </c:pt>
                <c:pt idx="41">
                  <c:v>105</c:v>
                </c:pt>
                <c:pt idx="42">
                  <c:v>89</c:v>
                </c:pt>
                <c:pt idx="43">
                  <c:v>132</c:v>
                </c:pt>
                <c:pt idx="44">
                  <c:v>105</c:v>
                </c:pt>
                <c:pt idx="45">
                  <c:v>13</c:v>
                </c:pt>
                <c:pt idx="46">
                  <c:v>131</c:v>
                </c:pt>
                <c:pt idx="47">
                  <c:v>104</c:v>
                </c:pt>
                <c:pt idx="48">
                  <c:v>90</c:v>
                </c:pt>
                <c:pt idx="49">
                  <c:v>37</c:v>
                </c:pt>
                <c:pt idx="50">
                  <c:v>149</c:v>
                </c:pt>
                <c:pt idx="51">
                  <c:v>100</c:v>
                </c:pt>
                <c:pt idx="52">
                  <c:v>79</c:v>
                </c:pt>
                <c:pt idx="53">
                  <c:v>157</c:v>
                </c:pt>
                <c:pt idx="54">
                  <c:v>59</c:v>
                </c:pt>
                <c:pt idx="55">
                  <c:v>83</c:v>
                </c:pt>
                <c:pt idx="56">
                  <c:v>58</c:v>
                </c:pt>
                <c:pt idx="57">
                  <c:v>118</c:v>
                </c:pt>
                <c:pt idx="58">
                  <c:v>63</c:v>
                </c:pt>
                <c:pt idx="59">
                  <c:v>95</c:v>
                </c:pt>
                <c:pt idx="60">
                  <c:v>74</c:v>
                </c:pt>
                <c:pt idx="61">
                  <c:v>130</c:v>
                </c:pt>
                <c:pt idx="62">
                  <c:v>110</c:v>
                </c:pt>
                <c:pt idx="63">
                  <c:v>71</c:v>
                </c:pt>
                <c:pt idx="64">
                  <c:v>147</c:v>
                </c:pt>
                <c:pt idx="65">
                  <c:v>69</c:v>
                </c:pt>
                <c:pt idx="66">
                  <c:v>50</c:v>
                </c:pt>
                <c:pt idx="67">
                  <c:v>124</c:v>
                </c:pt>
                <c:pt idx="68">
                  <c:v>81</c:v>
                </c:pt>
                <c:pt idx="69">
                  <c:v>141</c:v>
                </c:pt>
                <c:pt idx="70">
                  <c:v>168</c:v>
                </c:pt>
                <c:pt idx="71">
                  <c:v>101</c:v>
                </c:pt>
                <c:pt idx="72">
                  <c:v>67</c:v>
                </c:pt>
                <c:pt idx="73">
                  <c:v>114</c:v>
                </c:pt>
                <c:pt idx="74">
                  <c:v>42</c:v>
                </c:pt>
                <c:pt idx="75">
                  <c:v>69</c:v>
                </c:pt>
                <c:pt idx="76">
                  <c:v>145</c:v>
                </c:pt>
                <c:pt idx="77">
                  <c:v>43</c:v>
                </c:pt>
                <c:pt idx="78">
                  <c:v>62</c:v>
                </c:pt>
                <c:pt idx="79">
                  <c:v>79</c:v>
                </c:pt>
                <c:pt idx="80">
                  <c:v>45</c:v>
                </c:pt>
                <c:pt idx="81">
                  <c:v>137</c:v>
                </c:pt>
                <c:pt idx="82">
                  <c:v>109</c:v>
                </c:pt>
                <c:pt idx="83">
                  <c:v>78</c:v>
                </c:pt>
                <c:pt idx="84">
                  <c:v>137</c:v>
                </c:pt>
                <c:pt idx="85">
                  <c:v>99</c:v>
                </c:pt>
                <c:pt idx="86">
                  <c:v>100</c:v>
                </c:pt>
                <c:pt idx="87">
                  <c:v>47</c:v>
                </c:pt>
                <c:pt idx="88">
                  <c:v>87</c:v>
                </c:pt>
                <c:pt idx="89">
                  <c:v>143</c:v>
                </c:pt>
                <c:pt idx="90">
                  <c:v>84</c:v>
                </c:pt>
                <c:pt idx="91">
                  <c:v>55</c:v>
                </c:pt>
                <c:pt idx="92">
                  <c:v>135</c:v>
                </c:pt>
                <c:pt idx="93">
                  <c:v>152</c:v>
                </c:pt>
                <c:pt idx="94">
                  <c:v>132</c:v>
                </c:pt>
                <c:pt idx="95">
                  <c:v>60</c:v>
                </c:pt>
                <c:pt idx="96">
                  <c:v>95</c:v>
                </c:pt>
                <c:pt idx="97">
                  <c:v>96</c:v>
                </c:pt>
                <c:pt idx="98">
                  <c:v>45</c:v>
                </c:pt>
                <c:pt idx="99">
                  <c:v>132</c:v>
                </c:pt>
                <c:pt idx="100">
                  <c:v>95</c:v>
                </c:pt>
                <c:pt idx="101">
                  <c:v>131</c:v>
                </c:pt>
                <c:pt idx="102">
                  <c:v>67</c:v>
                </c:pt>
                <c:pt idx="103">
                  <c:v>111</c:v>
                </c:pt>
                <c:pt idx="104">
                  <c:v>78</c:v>
                </c:pt>
                <c:pt idx="105">
                  <c:v>28</c:v>
                </c:pt>
                <c:pt idx="106">
                  <c:v>127</c:v>
                </c:pt>
                <c:pt idx="107">
                  <c:v>137</c:v>
                </c:pt>
                <c:pt idx="108">
                  <c:v>76</c:v>
                </c:pt>
                <c:pt idx="109">
                  <c:v>80</c:v>
                </c:pt>
                <c:pt idx="110">
                  <c:v>95</c:v>
                </c:pt>
                <c:pt idx="111">
                  <c:v>30</c:v>
                </c:pt>
                <c:pt idx="112">
                  <c:v>19</c:v>
                </c:pt>
                <c:pt idx="113">
                  <c:v>38</c:v>
                </c:pt>
                <c:pt idx="114">
                  <c:v>55</c:v>
                </c:pt>
                <c:pt idx="115">
                  <c:v>27</c:v>
                </c:pt>
                <c:pt idx="116">
                  <c:v>32</c:v>
                </c:pt>
                <c:pt idx="117">
                  <c:v>116</c:v>
                </c:pt>
                <c:pt idx="118">
                  <c:v>99</c:v>
                </c:pt>
                <c:pt idx="119">
                  <c:v>75</c:v>
                </c:pt>
                <c:pt idx="120">
                  <c:v>57</c:v>
                </c:pt>
                <c:pt idx="121">
                  <c:v>155</c:v>
                </c:pt>
                <c:pt idx="122">
                  <c:v>68</c:v>
                </c:pt>
                <c:pt idx="123">
                  <c:v>95</c:v>
                </c:pt>
                <c:pt idx="124">
                  <c:v>65</c:v>
                </c:pt>
                <c:pt idx="125">
                  <c:v>114</c:v>
                </c:pt>
                <c:pt idx="126">
                  <c:v>155</c:v>
                </c:pt>
                <c:pt idx="127">
                  <c:v>114</c:v>
                </c:pt>
                <c:pt idx="128">
                  <c:v>130</c:v>
                </c:pt>
                <c:pt idx="129">
                  <c:v>89</c:v>
                </c:pt>
                <c:pt idx="130">
                  <c:v>61</c:v>
                </c:pt>
                <c:pt idx="131">
                  <c:v>154</c:v>
                </c:pt>
                <c:pt idx="132">
                  <c:v>115</c:v>
                </c:pt>
                <c:pt idx="133">
                  <c:v>138</c:v>
                </c:pt>
                <c:pt idx="134">
                  <c:v>153</c:v>
                </c:pt>
                <c:pt idx="135">
                  <c:v>61</c:v>
                </c:pt>
                <c:pt idx="136">
                  <c:v>62</c:v>
                </c:pt>
                <c:pt idx="137">
                  <c:v>151</c:v>
                </c:pt>
                <c:pt idx="138">
                  <c:v>102</c:v>
                </c:pt>
                <c:pt idx="139">
                  <c:v>64</c:v>
                </c:pt>
                <c:pt idx="140">
                  <c:v>6</c:v>
                </c:pt>
                <c:pt idx="141">
                  <c:v>129</c:v>
                </c:pt>
                <c:pt idx="142">
                  <c:v>42</c:v>
                </c:pt>
                <c:pt idx="143">
                  <c:v>71</c:v>
                </c:pt>
                <c:pt idx="144">
                  <c:v>53</c:v>
                </c:pt>
                <c:pt idx="145">
                  <c:v>155</c:v>
                </c:pt>
                <c:pt idx="146">
                  <c:v>90</c:v>
                </c:pt>
                <c:pt idx="147">
                  <c:v>166</c:v>
                </c:pt>
                <c:pt idx="148">
                  <c:v>89</c:v>
                </c:pt>
                <c:pt idx="149">
                  <c:v>152</c:v>
                </c:pt>
                <c:pt idx="150">
                  <c:v>137</c:v>
                </c:pt>
                <c:pt idx="151">
                  <c:v>43</c:v>
                </c:pt>
                <c:pt idx="152">
                  <c:v>114</c:v>
                </c:pt>
                <c:pt idx="153">
                  <c:v>103</c:v>
                </c:pt>
                <c:pt idx="154">
                  <c:v>98</c:v>
                </c:pt>
                <c:pt idx="155">
                  <c:v>106</c:v>
                </c:pt>
                <c:pt idx="156">
                  <c:v>96</c:v>
                </c:pt>
                <c:pt idx="157">
                  <c:v>70</c:v>
                </c:pt>
                <c:pt idx="158">
                  <c:v>86</c:v>
                </c:pt>
                <c:pt idx="159">
                  <c:v>64</c:v>
                </c:pt>
                <c:pt idx="160">
                  <c:v>113</c:v>
                </c:pt>
                <c:pt idx="161">
                  <c:v>21</c:v>
                </c:pt>
                <c:pt idx="162">
                  <c:v>107</c:v>
                </c:pt>
                <c:pt idx="163">
                  <c:v>131</c:v>
                </c:pt>
                <c:pt idx="164">
                  <c:v>11</c:v>
                </c:pt>
                <c:pt idx="165">
                  <c:v>86</c:v>
                </c:pt>
                <c:pt idx="166">
                  <c:v>28</c:v>
                </c:pt>
                <c:pt idx="167">
                  <c:v>139</c:v>
                </c:pt>
                <c:pt idx="168">
                  <c:v>82</c:v>
                </c:pt>
                <c:pt idx="169">
                  <c:v>101</c:v>
                </c:pt>
                <c:pt idx="170">
                  <c:v>75</c:v>
                </c:pt>
                <c:pt idx="171">
                  <c:v>40</c:v>
                </c:pt>
                <c:pt idx="172">
                  <c:v>86</c:v>
                </c:pt>
                <c:pt idx="173">
                  <c:v>131</c:v>
                </c:pt>
                <c:pt idx="174">
                  <c:v>67</c:v>
                </c:pt>
                <c:pt idx="175">
                  <c:v>71</c:v>
                </c:pt>
                <c:pt idx="176">
                  <c:v>113</c:v>
                </c:pt>
                <c:pt idx="177">
                  <c:v>53</c:v>
                </c:pt>
                <c:pt idx="178">
                  <c:v>153</c:v>
                </c:pt>
                <c:pt idx="179">
                  <c:v>73</c:v>
                </c:pt>
                <c:pt idx="180">
                  <c:v>62</c:v>
                </c:pt>
                <c:pt idx="181">
                  <c:v>115</c:v>
                </c:pt>
                <c:pt idx="182">
                  <c:v>69</c:v>
                </c:pt>
                <c:pt idx="183">
                  <c:v>103</c:v>
                </c:pt>
                <c:pt idx="184">
                  <c:v>75</c:v>
                </c:pt>
                <c:pt idx="185">
                  <c:v>92</c:v>
                </c:pt>
                <c:pt idx="186">
                  <c:v>41</c:v>
                </c:pt>
                <c:pt idx="187">
                  <c:v>134</c:v>
                </c:pt>
                <c:pt idx="188">
                  <c:v>80</c:v>
                </c:pt>
                <c:pt idx="189">
                  <c:v>103</c:v>
                </c:pt>
                <c:pt idx="190">
                  <c:v>20</c:v>
                </c:pt>
                <c:pt idx="191">
                  <c:v>75</c:v>
                </c:pt>
                <c:pt idx="192">
                  <c:v>80</c:v>
                </c:pt>
                <c:pt idx="193">
                  <c:v>85</c:v>
                </c:pt>
                <c:pt idx="194">
                  <c:v>155</c:v>
                </c:pt>
                <c:pt idx="195">
                  <c:v>63</c:v>
                </c:pt>
                <c:pt idx="196">
                  <c:v>105</c:v>
                </c:pt>
                <c:pt idx="197">
                  <c:v>71</c:v>
                </c:pt>
                <c:pt idx="198">
                  <c:v>100</c:v>
                </c:pt>
                <c:pt idx="199">
                  <c:v>93</c:v>
                </c:pt>
                <c:pt idx="200">
                  <c:v>84</c:v>
                </c:pt>
                <c:pt idx="201">
                  <c:v>56</c:v>
                </c:pt>
                <c:pt idx="202">
                  <c:v>63</c:v>
                </c:pt>
                <c:pt idx="203">
                  <c:v>83</c:v>
                </c:pt>
                <c:pt idx="204">
                  <c:v>134</c:v>
                </c:pt>
                <c:pt idx="205">
                  <c:v>73</c:v>
                </c:pt>
                <c:pt idx="206">
                  <c:v>6</c:v>
                </c:pt>
                <c:pt idx="207">
                  <c:v>46</c:v>
                </c:pt>
                <c:pt idx="208">
                  <c:v>121</c:v>
                </c:pt>
                <c:pt idx="209">
                  <c:v>61</c:v>
                </c:pt>
                <c:pt idx="210">
                  <c:v>144</c:v>
                </c:pt>
                <c:pt idx="211">
                  <c:v>145</c:v>
                </c:pt>
                <c:pt idx="212">
                  <c:v>85</c:v>
                </c:pt>
                <c:pt idx="213">
                  <c:v>13</c:v>
                </c:pt>
                <c:pt idx="214">
                  <c:v>142</c:v>
                </c:pt>
                <c:pt idx="215">
                  <c:v>28</c:v>
                </c:pt>
                <c:pt idx="216">
                  <c:v>119</c:v>
                </c:pt>
                <c:pt idx="217">
                  <c:v>65</c:v>
                </c:pt>
                <c:pt idx="218">
                  <c:v>68</c:v>
                </c:pt>
                <c:pt idx="219">
                  <c:v>72</c:v>
                </c:pt>
                <c:pt idx="220">
                  <c:v>63</c:v>
                </c:pt>
                <c:pt idx="221">
                  <c:v>139</c:v>
                </c:pt>
                <c:pt idx="222">
                  <c:v>59</c:v>
                </c:pt>
                <c:pt idx="223">
                  <c:v>138</c:v>
                </c:pt>
                <c:pt idx="224">
                  <c:v>47</c:v>
                </c:pt>
                <c:pt idx="225">
                  <c:v>74</c:v>
                </c:pt>
                <c:pt idx="226">
                  <c:v>65</c:v>
                </c:pt>
                <c:pt idx="227">
                  <c:v>123</c:v>
                </c:pt>
                <c:pt idx="228">
                  <c:v>90</c:v>
                </c:pt>
                <c:pt idx="229">
                  <c:v>127</c:v>
                </c:pt>
                <c:pt idx="230">
                  <c:v>60</c:v>
                </c:pt>
                <c:pt idx="231">
                  <c:v>94</c:v>
                </c:pt>
                <c:pt idx="232">
                  <c:v>54</c:v>
                </c:pt>
                <c:pt idx="233">
                  <c:v>104</c:v>
                </c:pt>
                <c:pt idx="234">
                  <c:v>100</c:v>
                </c:pt>
                <c:pt idx="235">
                  <c:v>84</c:v>
                </c:pt>
                <c:pt idx="236">
                  <c:v>92</c:v>
                </c:pt>
                <c:pt idx="237">
                  <c:v>64</c:v>
                </c:pt>
                <c:pt idx="238">
                  <c:v>89</c:v>
                </c:pt>
                <c:pt idx="239">
                  <c:v>40</c:v>
                </c:pt>
                <c:pt idx="240">
                  <c:v>75</c:v>
                </c:pt>
                <c:pt idx="241">
                  <c:v>106</c:v>
                </c:pt>
                <c:pt idx="242">
                  <c:v>58</c:v>
                </c:pt>
                <c:pt idx="243">
                  <c:v>84</c:v>
                </c:pt>
                <c:pt idx="244">
                  <c:v>140</c:v>
                </c:pt>
                <c:pt idx="245">
                  <c:v>67</c:v>
                </c:pt>
                <c:pt idx="246">
                  <c:v>126</c:v>
                </c:pt>
                <c:pt idx="247">
                  <c:v>89</c:v>
                </c:pt>
                <c:pt idx="248">
                  <c:v>56</c:v>
                </c:pt>
                <c:pt idx="249">
                  <c:v>48</c:v>
                </c:pt>
                <c:pt idx="250">
                  <c:v>55</c:v>
                </c:pt>
                <c:pt idx="251">
                  <c:v>88</c:v>
                </c:pt>
                <c:pt idx="252">
                  <c:v>102</c:v>
                </c:pt>
                <c:pt idx="253">
                  <c:v>155</c:v>
                </c:pt>
                <c:pt idx="254">
                  <c:v>63</c:v>
                </c:pt>
                <c:pt idx="255">
                  <c:v>59</c:v>
                </c:pt>
                <c:pt idx="256">
                  <c:v>144</c:v>
                </c:pt>
                <c:pt idx="257">
                  <c:v>113</c:v>
                </c:pt>
                <c:pt idx="258">
                  <c:v>154</c:v>
                </c:pt>
                <c:pt idx="259">
                  <c:v>58</c:v>
                </c:pt>
                <c:pt idx="260">
                  <c:v>63</c:v>
                </c:pt>
                <c:pt idx="261">
                  <c:v>59</c:v>
                </c:pt>
                <c:pt idx="262">
                  <c:v>129</c:v>
                </c:pt>
                <c:pt idx="263">
                  <c:v>101</c:v>
                </c:pt>
                <c:pt idx="264">
                  <c:v>154</c:v>
                </c:pt>
                <c:pt idx="265">
                  <c:v>131</c:v>
                </c:pt>
                <c:pt idx="266">
                  <c:v>111</c:v>
                </c:pt>
                <c:pt idx="267">
                  <c:v>142</c:v>
                </c:pt>
                <c:pt idx="268">
                  <c:v>93</c:v>
                </c:pt>
                <c:pt idx="269">
                  <c:v>125</c:v>
                </c:pt>
                <c:pt idx="270">
                  <c:v>76</c:v>
                </c:pt>
                <c:pt idx="271">
                  <c:v>69</c:v>
                </c:pt>
                <c:pt idx="272">
                  <c:v>149</c:v>
                </c:pt>
                <c:pt idx="273">
                  <c:v>57</c:v>
                </c:pt>
                <c:pt idx="274">
                  <c:v>113</c:v>
                </c:pt>
                <c:pt idx="275">
                  <c:v>160</c:v>
                </c:pt>
                <c:pt idx="276">
                  <c:v>158</c:v>
                </c:pt>
                <c:pt idx="277">
                  <c:v>77</c:v>
                </c:pt>
                <c:pt idx="278">
                  <c:v>118</c:v>
                </c:pt>
                <c:pt idx="279">
                  <c:v>75</c:v>
                </c:pt>
                <c:pt idx="280">
                  <c:v>103</c:v>
                </c:pt>
                <c:pt idx="281">
                  <c:v>116</c:v>
                </c:pt>
                <c:pt idx="282">
                  <c:v>61</c:v>
                </c:pt>
                <c:pt idx="283">
                  <c:v>126</c:v>
                </c:pt>
                <c:pt idx="284">
                  <c:v>141</c:v>
                </c:pt>
                <c:pt idx="285">
                  <c:v>95</c:v>
                </c:pt>
                <c:pt idx="286">
                  <c:v>39</c:v>
                </c:pt>
                <c:pt idx="287">
                  <c:v>127</c:v>
                </c:pt>
                <c:pt idx="288">
                  <c:v>78</c:v>
                </c:pt>
                <c:pt idx="289">
                  <c:v>40</c:v>
                </c:pt>
                <c:pt idx="290">
                  <c:v>56</c:v>
                </c:pt>
                <c:pt idx="291">
                  <c:v>59</c:v>
                </c:pt>
                <c:pt idx="292">
                  <c:v>30</c:v>
                </c:pt>
                <c:pt idx="293">
                  <c:v>63</c:v>
                </c:pt>
                <c:pt idx="294">
                  <c:v>56</c:v>
                </c:pt>
                <c:pt idx="295">
                  <c:v>95</c:v>
                </c:pt>
                <c:pt idx="296">
                  <c:v>128</c:v>
                </c:pt>
                <c:pt idx="297">
                  <c:v>49</c:v>
                </c:pt>
                <c:pt idx="298">
                  <c:v>89</c:v>
                </c:pt>
                <c:pt idx="299">
                  <c:v>87</c:v>
                </c:pt>
                <c:pt idx="300">
                  <c:v>60</c:v>
                </c:pt>
                <c:pt idx="301">
                  <c:v>42</c:v>
                </c:pt>
                <c:pt idx="302">
                  <c:v>99</c:v>
                </c:pt>
                <c:pt idx="303">
                  <c:v>20</c:v>
                </c:pt>
                <c:pt idx="304">
                  <c:v>65</c:v>
                </c:pt>
                <c:pt idx="305">
                  <c:v>71</c:v>
                </c:pt>
                <c:pt idx="306">
                  <c:v>95</c:v>
                </c:pt>
                <c:pt idx="307">
                  <c:v>81</c:v>
                </c:pt>
                <c:pt idx="308">
                  <c:v>137</c:v>
                </c:pt>
                <c:pt idx="309">
                  <c:v>40</c:v>
                </c:pt>
                <c:pt idx="310">
                  <c:v>111</c:v>
                </c:pt>
                <c:pt idx="311">
                  <c:v>106</c:v>
                </c:pt>
                <c:pt idx="312">
                  <c:v>133</c:v>
                </c:pt>
                <c:pt idx="313">
                  <c:v>38</c:v>
                </c:pt>
                <c:pt idx="314">
                  <c:v>130</c:v>
                </c:pt>
                <c:pt idx="315">
                  <c:v>23</c:v>
                </c:pt>
                <c:pt idx="316">
                  <c:v>124</c:v>
                </c:pt>
                <c:pt idx="317">
                  <c:v>107</c:v>
                </c:pt>
                <c:pt idx="318">
                  <c:v>60</c:v>
                </c:pt>
                <c:pt idx="319">
                  <c:v>158</c:v>
                </c:pt>
                <c:pt idx="320">
                  <c:v>110</c:v>
                </c:pt>
                <c:pt idx="321">
                  <c:v>70</c:v>
                </c:pt>
                <c:pt idx="322">
                  <c:v>150</c:v>
                </c:pt>
                <c:pt idx="323">
                  <c:v>36</c:v>
                </c:pt>
                <c:pt idx="324">
                  <c:v>74</c:v>
                </c:pt>
                <c:pt idx="325">
                  <c:v>75</c:v>
                </c:pt>
                <c:pt idx="326">
                  <c:v>70</c:v>
                </c:pt>
                <c:pt idx="327">
                  <c:v>23</c:v>
                </c:pt>
                <c:pt idx="328">
                  <c:v>104</c:v>
                </c:pt>
                <c:pt idx="329">
                  <c:v>95</c:v>
                </c:pt>
                <c:pt idx="330">
                  <c:v>49</c:v>
                </c:pt>
                <c:pt idx="331">
                  <c:v>8</c:v>
                </c:pt>
                <c:pt idx="332">
                  <c:v>157</c:v>
                </c:pt>
                <c:pt idx="333">
                  <c:v>74</c:v>
                </c:pt>
                <c:pt idx="334">
                  <c:v>72</c:v>
                </c:pt>
                <c:pt idx="335">
                  <c:v>79</c:v>
                </c:pt>
                <c:pt idx="336">
                  <c:v>23</c:v>
                </c:pt>
                <c:pt idx="337">
                  <c:v>69</c:v>
                </c:pt>
                <c:pt idx="338">
                  <c:v>64</c:v>
                </c:pt>
                <c:pt idx="339">
                  <c:v>47</c:v>
                </c:pt>
                <c:pt idx="340">
                  <c:v>55</c:v>
                </c:pt>
                <c:pt idx="341">
                  <c:v>104</c:v>
                </c:pt>
                <c:pt idx="342">
                  <c:v>116</c:v>
                </c:pt>
                <c:pt idx="343">
                  <c:v>99</c:v>
                </c:pt>
                <c:pt idx="344">
                  <c:v>84</c:v>
                </c:pt>
                <c:pt idx="345">
                  <c:v>159</c:v>
                </c:pt>
                <c:pt idx="346">
                  <c:v>25</c:v>
                </c:pt>
                <c:pt idx="347">
                  <c:v>53</c:v>
                </c:pt>
                <c:pt idx="348">
                  <c:v>89</c:v>
                </c:pt>
                <c:pt idx="349">
                  <c:v>73</c:v>
                </c:pt>
                <c:pt idx="350">
                  <c:v>50</c:v>
                </c:pt>
                <c:pt idx="351">
                  <c:v>98</c:v>
                </c:pt>
                <c:pt idx="352">
                  <c:v>114</c:v>
                </c:pt>
                <c:pt idx="353">
                  <c:v>67</c:v>
                </c:pt>
                <c:pt idx="354">
                  <c:v>91</c:v>
                </c:pt>
                <c:pt idx="355">
                  <c:v>67</c:v>
                </c:pt>
                <c:pt idx="356">
                  <c:v>139</c:v>
                </c:pt>
                <c:pt idx="357">
                  <c:v>102</c:v>
                </c:pt>
                <c:pt idx="358">
                  <c:v>108</c:v>
                </c:pt>
                <c:pt idx="359">
                  <c:v>66</c:v>
                </c:pt>
                <c:pt idx="360">
                  <c:v>85</c:v>
                </c:pt>
                <c:pt idx="361">
                  <c:v>55</c:v>
                </c:pt>
                <c:pt idx="362">
                  <c:v>17</c:v>
                </c:pt>
                <c:pt idx="363">
                  <c:v>128</c:v>
                </c:pt>
                <c:pt idx="364">
                  <c:v>45</c:v>
                </c:pt>
                <c:pt idx="365">
                  <c:v>41</c:v>
                </c:pt>
                <c:pt idx="366">
                  <c:v>49</c:v>
                </c:pt>
                <c:pt idx="367">
                  <c:v>21</c:v>
                </c:pt>
                <c:pt idx="368">
                  <c:v>133</c:v>
                </c:pt>
                <c:pt idx="369">
                  <c:v>135</c:v>
                </c:pt>
                <c:pt idx="370">
                  <c:v>69</c:v>
                </c:pt>
                <c:pt idx="371">
                  <c:v>110</c:v>
                </c:pt>
                <c:pt idx="372">
                  <c:v>64</c:v>
                </c:pt>
                <c:pt idx="373">
                  <c:v>105</c:v>
                </c:pt>
                <c:pt idx="374">
                  <c:v>165</c:v>
                </c:pt>
                <c:pt idx="375">
                  <c:v>125</c:v>
                </c:pt>
                <c:pt idx="376">
                  <c:v>88</c:v>
                </c:pt>
                <c:pt idx="377">
                  <c:v>6</c:v>
                </c:pt>
                <c:pt idx="378">
                  <c:v>69</c:v>
                </c:pt>
                <c:pt idx="379">
                  <c:v>107</c:v>
                </c:pt>
                <c:pt idx="380">
                  <c:v>90</c:v>
                </c:pt>
                <c:pt idx="381">
                  <c:v>120</c:v>
                </c:pt>
                <c:pt idx="382">
                  <c:v>47</c:v>
                </c:pt>
                <c:pt idx="383">
                  <c:v>60</c:v>
                </c:pt>
                <c:pt idx="384">
                  <c:v>64</c:v>
                </c:pt>
                <c:pt idx="385">
                  <c:v>62</c:v>
                </c:pt>
                <c:pt idx="386">
                  <c:v>88</c:v>
                </c:pt>
                <c:pt idx="387">
                  <c:v>116</c:v>
                </c:pt>
                <c:pt idx="388">
                  <c:v>82</c:v>
                </c:pt>
                <c:pt idx="389">
                  <c:v>99</c:v>
                </c:pt>
                <c:pt idx="390">
                  <c:v>55</c:v>
                </c:pt>
                <c:pt idx="391">
                  <c:v>61</c:v>
                </c:pt>
                <c:pt idx="392">
                  <c:v>36</c:v>
                </c:pt>
                <c:pt idx="393">
                  <c:v>123</c:v>
                </c:pt>
                <c:pt idx="394">
                  <c:v>24</c:v>
                </c:pt>
                <c:pt idx="395">
                  <c:v>43</c:v>
                </c:pt>
                <c:pt idx="396">
                  <c:v>95</c:v>
                </c:pt>
                <c:pt idx="397">
                  <c:v>53</c:v>
                </c:pt>
                <c:pt idx="398">
                  <c:v>113</c:v>
                </c:pt>
                <c:pt idx="399">
                  <c:v>89</c:v>
                </c:pt>
                <c:pt idx="400">
                  <c:v>84</c:v>
                </c:pt>
                <c:pt idx="401">
                  <c:v>130</c:v>
                </c:pt>
                <c:pt idx="402">
                  <c:v>163</c:v>
                </c:pt>
                <c:pt idx="403">
                  <c:v>127</c:v>
                </c:pt>
                <c:pt idx="404">
                  <c:v>50</c:v>
                </c:pt>
                <c:pt idx="405">
                  <c:v>88</c:v>
                </c:pt>
                <c:pt idx="406">
                  <c:v>139</c:v>
                </c:pt>
                <c:pt idx="407">
                  <c:v>111</c:v>
                </c:pt>
                <c:pt idx="408">
                  <c:v>115</c:v>
                </c:pt>
                <c:pt idx="409">
                  <c:v>26</c:v>
                </c:pt>
                <c:pt idx="410">
                  <c:v>131</c:v>
                </c:pt>
                <c:pt idx="411">
                  <c:v>27</c:v>
                </c:pt>
                <c:pt idx="412">
                  <c:v>75</c:v>
                </c:pt>
                <c:pt idx="413">
                  <c:v>123</c:v>
                </c:pt>
                <c:pt idx="414">
                  <c:v>129</c:v>
                </c:pt>
                <c:pt idx="415">
                  <c:v>124</c:v>
                </c:pt>
                <c:pt idx="416">
                  <c:v>108</c:v>
                </c:pt>
                <c:pt idx="417">
                  <c:v>15</c:v>
                </c:pt>
                <c:pt idx="418">
                  <c:v>66</c:v>
                </c:pt>
                <c:pt idx="419">
                  <c:v>126</c:v>
                </c:pt>
                <c:pt idx="420">
                  <c:v>26</c:v>
                </c:pt>
                <c:pt idx="421">
                  <c:v>105</c:v>
                </c:pt>
                <c:pt idx="422">
                  <c:v>31</c:v>
                </c:pt>
                <c:pt idx="423">
                  <c:v>109</c:v>
                </c:pt>
                <c:pt idx="424">
                  <c:v>113</c:v>
                </c:pt>
                <c:pt idx="425">
                  <c:v>101</c:v>
                </c:pt>
                <c:pt idx="426">
                  <c:v>156</c:v>
                </c:pt>
                <c:pt idx="427">
                  <c:v>145</c:v>
                </c:pt>
                <c:pt idx="428">
                  <c:v>36</c:v>
                </c:pt>
                <c:pt idx="429">
                  <c:v>135</c:v>
                </c:pt>
                <c:pt idx="430">
                  <c:v>81</c:v>
                </c:pt>
                <c:pt idx="431">
                  <c:v>81</c:v>
                </c:pt>
                <c:pt idx="432">
                  <c:v>93</c:v>
                </c:pt>
                <c:pt idx="433">
                  <c:v>14</c:v>
                </c:pt>
                <c:pt idx="434">
                  <c:v>95</c:v>
                </c:pt>
                <c:pt idx="435">
                  <c:v>81</c:v>
                </c:pt>
                <c:pt idx="436">
                  <c:v>60</c:v>
                </c:pt>
                <c:pt idx="437">
                  <c:v>137</c:v>
                </c:pt>
                <c:pt idx="438">
                  <c:v>112</c:v>
                </c:pt>
                <c:pt idx="439">
                  <c:v>76</c:v>
                </c:pt>
                <c:pt idx="440">
                  <c:v>73</c:v>
                </c:pt>
                <c:pt idx="441">
                  <c:v>119</c:v>
                </c:pt>
                <c:pt idx="442">
                  <c:v>135</c:v>
                </c:pt>
                <c:pt idx="443">
                  <c:v>41</c:v>
                </c:pt>
                <c:pt idx="444">
                  <c:v>35</c:v>
                </c:pt>
                <c:pt idx="445">
                  <c:v>96</c:v>
                </c:pt>
                <c:pt idx="446">
                  <c:v>61</c:v>
                </c:pt>
                <c:pt idx="447">
                  <c:v>91</c:v>
                </c:pt>
                <c:pt idx="448">
                  <c:v>30</c:v>
                </c:pt>
                <c:pt idx="449">
                  <c:v>111</c:v>
                </c:pt>
                <c:pt idx="450">
                  <c:v>81</c:v>
                </c:pt>
                <c:pt idx="451">
                  <c:v>40</c:v>
                </c:pt>
                <c:pt idx="452">
                  <c:v>143</c:v>
                </c:pt>
                <c:pt idx="453">
                  <c:v>70</c:v>
                </c:pt>
                <c:pt idx="454">
                  <c:v>137</c:v>
                </c:pt>
                <c:pt idx="455">
                  <c:v>52</c:v>
                </c:pt>
                <c:pt idx="456">
                  <c:v>31</c:v>
                </c:pt>
                <c:pt idx="457">
                  <c:v>114</c:v>
                </c:pt>
                <c:pt idx="458">
                  <c:v>73</c:v>
                </c:pt>
                <c:pt idx="459">
                  <c:v>25</c:v>
                </c:pt>
                <c:pt idx="460">
                  <c:v>44</c:v>
                </c:pt>
                <c:pt idx="461">
                  <c:v>34</c:v>
                </c:pt>
                <c:pt idx="462">
                  <c:v>89</c:v>
                </c:pt>
                <c:pt idx="463">
                  <c:v>54</c:v>
                </c:pt>
                <c:pt idx="464">
                  <c:v>25</c:v>
                </c:pt>
                <c:pt idx="465">
                  <c:v>91</c:v>
                </c:pt>
                <c:pt idx="466">
                  <c:v>144</c:v>
                </c:pt>
                <c:pt idx="467">
                  <c:v>81</c:v>
                </c:pt>
                <c:pt idx="468">
                  <c:v>92</c:v>
                </c:pt>
                <c:pt idx="469">
                  <c:v>115</c:v>
                </c:pt>
                <c:pt idx="470">
                  <c:v>56</c:v>
                </c:pt>
                <c:pt idx="471">
                  <c:v>154</c:v>
                </c:pt>
                <c:pt idx="472">
                  <c:v>51</c:v>
                </c:pt>
                <c:pt idx="473">
                  <c:v>21</c:v>
                </c:pt>
                <c:pt idx="474">
                  <c:v>80</c:v>
                </c:pt>
                <c:pt idx="475">
                  <c:v>139</c:v>
                </c:pt>
                <c:pt idx="476">
                  <c:v>50</c:v>
                </c:pt>
                <c:pt idx="477">
                  <c:v>88</c:v>
                </c:pt>
                <c:pt idx="478">
                  <c:v>19</c:v>
                </c:pt>
                <c:pt idx="479">
                  <c:v>104</c:v>
                </c:pt>
                <c:pt idx="480">
                  <c:v>67</c:v>
                </c:pt>
                <c:pt idx="481">
                  <c:v>107</c:v>
                </c:pt>
                <c:pt idx="482">
                  <c:v>93</c:v>
                </c:pt>
                <c:pt idx="483">
                  <c:v>117</c:v>
                </c:pt>
                <c:pt idx="484">
                  <c:v>76</c:v>
                </c:pt>
                <c:pt idx="485">
                  <c:v>64</c:v>
                </c:pt>
                <c:pt idx="486">
                  <c:v>33</c:v>
                </c:pt>
                <c:pt idx="487">
                  <c:v>115</c:v>
                </c:pt>
                <c:pt idx="488">
                  <c:v>155</c:v>
                </c:pt>
                <c:pt idx="489">
                  <c:v>117</c:v>
                </c:pt>
                <c:pt idx="490">
                  <c:v>63</c:v>
                </c:pt>
                <c:pt idx="491">
                  <c:v>59</c:v>
                </c:pt>
                <c:pt idx="492">
                  <c:v>133</c:v>
                </c:pt>
                <c:pt idx="493">
                  <c:v>101</c:v>
                </c:pt>
                <c:pt idx="494">
                  <c:v>151</c:v>
                </c:pt>
                <c:pt idx="495">
                  <c:v>146</c:v>
                </c:pt>
                <c:pt idx="496">
                  <c:v>148</c:v>
                </c:pt>
                <c:pt idx="497">
                  <c:v>81</c:v>
                </c:pt>
                <c:pt idx="498">
                  <c:v>115</c:v>
                </c:pt>
                <c:pt idx="499">
                  <c:v>117</c:v>
                </c:pt>
                <c:pt idx="500">
                  <c:v>110</c:v>
                </c:pt>
                <c:pt idx="501">
                  <c:v>103</c:v>
                </c:pt>
                <c:pt idx="502">
                  <c:v>45</c:v>
                </c:pt>
                <c:pt idx="503">
                  <c:v>110</c:v>
                </c:pt>
                <c:pt idx="504">
                  <c:v>43</c:v>
                </c:pt>
                <c:pt idx="505">
                  <c:v>104</c:v>
                </c:pt>
                <c:pt idx="506">
                  <c:v>101</c:v>
                </c:pt>
                <c:pt idx="507">
                  <c:v>55</c:v>
                </c:pt>
                <c:pt idx="508">
                  <c:v>40</c:v>
                </c:pt>
                <c:pt idx="509">
                  <c:v>122</c:v>
                </c:pt>
                <c:pt idx="510">
                  <c:v>98</c:v>
                </c:pt>
                <c:pt idx="511">
                  <c:v>110</c:v>
                </c:pt>
                <c:pt idx="512">
                  <c:v>62</c:v>
                </c:pt>
                <c:pt idx="513">
                  <c:v>134</c:v>
                </c:pt>
                <c:pt idx="514">
                  <c:v>94</c:v>
                </c:pt>
                <c:pt idx="515">
                  <c:v>63</c:v>
                </c:pt>
                <c:pt idx="516">
                  <c:v>95</c:v>
                </c:pt>
                <c:pt idx="517">
                  <c:v>106</c:v>
                </c:pt>
                <c:pt idx="518">
                  <c:v>94</c:v>
                </c:pt>
                <c:pt idx="519">
                  <c:v>51</c:v>
                </c:pt>
                <c:pt idx="520">
                  <c:v>39</c:v>
                </c:pt>
                <c:pt idx="521">
                  <c:v>111</c:v>
                </c:pt>
                <c:pt idx="522">
                  <c:v>141</c:v>
                </c:pt>
                <c:pt idx="523">
                  <c:v>147</c:v>
                </c:pt>
                <c:pt idx="524">
                  <c:v>49</c:v>
                </c:pt>
                <c:pt idx="525">
                  <c:v>75</c:v>
                </c:pt>
                <c:pt idx="526">
                  <c:v>48</c:v>
                </c:pt>
                <c:pt idx="527">
                  <c:v>48</c:v>
                </c:pt>
                <c:pt idx="528">
                  <c:v>138</c:v>
                </c:pt>
                <c:pt idx="529">
                  <c:v>144</c:v>
                </c:pt>
                <c:pt idx="530">
                  <c:v>119</c:v>
                </c:pt>
                <c:pt idx="531">
                  <c:v>101</c:v>
                </c:pt>
                <c:pt idx="532">
                  <c:v>59</c:v>
                </c:pt>
                <c:pt idx="533">
                  <c:v>125</c:v>
                </c:pt>
                <c:pt idx="534">
                  <c:v>147</c:v>
                </c:pt>
                <c:pt idx="535">
                  <c:v>76</c:v>
                </c:pt>
                <c:pt idx="536">
                  <c:v>99</c:v>
                </c:pt>
                <c:pt idx="537">
                  <c:v>111</c:v>
                </c:pt>
                <c:pt idx="538">
                  <c:v>147</c:v>
                </c:pt>
                <c:pt idx="539">
                  <c:v>141</c:v>
                </c:pt>
                <c:pt idx="540">
                  <c:v>71</c:v>
                </c:pt>
                <c:pt idx="541">
                  <c:v>121</c:v>
                </c:pt>
                <c:pt idx="542">
                  <c:v>60</c:v>
                </c:pt>
                <c:pt idx="543">
                  <c:v>158</c:v>
                </c:pt>
                <c:pt idx="544">
                  <c:v>159</c:v>
                </c:pt>
                <c:pt idx="545">
                  <c:v>70</c:v>
                </c:pt>
                <c:pt idx="546">
                  <c:v>78</c:v>
                </c:pt>
                <c:pt idx="547">
                  <c:v>103</c:v>
                </c:pt>
                <c:pt idx="548">
                  <c:v>108</c:v>
                </c:pt>
                <c:pt idx="549">
                  <c:v>44</c:v>
                </c:pt>
                <c:pt idx="550">
                  <c:v>127</c:v>
                </c:pt>
                <c:pt idx="551">
                  <c:v>132</c:v>
                </c:pt>
                <c:pt idx="552">
                  <c:v>106</c:v>
                </c:pt>
                <c:pt idx="553">
                  <c:v>107</c:v>
                </c:pt>
                <c:pt idx="554">
                  <c:v>85</c:v>
                </c:pt>
                <c:pt idx="555">
                  <c:v>49</c:v>
                </c:pt>
                <c:pt idx="556">
                  <c:v>117</c:v>
                </c:pt>
                <c:pt idx="557">
                  <c:v>136</c:v>
                </c:pt>
                <c:pt idx="558">
                  <c:v>130</c:v>
                </c:pt>
                <c:pt idx="559">
                  <c:v>73</c:v>
                </c:pt>
                <c:pt idx="560">
                  <c:v>80</c:v>
                </c:pt>
                <c:pt idx="561">
                  <c:v>44</c:v>
                </c:pt>
                <c:pt idx="562">
                  <c:v>102</c:v>
                </c:pt>
                <c:pt idx="563">
                  <c:v>74</c:v>
                </c:pt>
                <c:pt idx="564">
                  <c:v>52</c:v>
                </c:pt>
                <c:pt idx="565">
                  <c:v>74</c:v>
                </c:pt>
                <c:pt idx="566">
                  <c:v>96</c:v>
                </c:pt>
                <c:pt idx="567">
                  <c:v>104</c:v>
                </c:pt>
                <c:pt idx="568">
                  <c:v>123</c:v>
                </c:pt>
                <c:pt idx="569">
                  <c:v>100</c:v>
                </c:pt>
                <c:pt idx="570">
                  <c:v>35</c:v>
                </c:pt>
                <c:pt idx="571">
                  <c:v>123</c:v>
                </c:pt>
                <c:pt idx="572">
                  <c:v>133</c:v>
                </c:pt>
                <c:pt idx="573">
                  <c:v>126</c:v>
                </c:pt>
                <c:pt idx="574">
                  <c:v>39</c:v>
                </c:pt>
                <c:pt idx="575">
                  <c:v>31</c:v>
                </c:pt>
                <c:pt idx="576">
                  <c:v>25</c:v>
                </c:pt>
                <c:pt idx="577">
                  <c:v>132</c:v>
                </c:pt>
                <c:pt idx="578">
                  <c:v>63</c:v>
                </c:pt>
                <c:pt idx="579">
                  <c:v>135</c:v>
                </c:pt>
                <c:pt idx="580">
                  <c:v>101</c:v>
                </c:pt>
                <c:pt idx="581">
                  <c:v>80</c:v>
                </c:pt>
                <c:pt idx="582">
                  <c:v>28</c:v>
                </c:pt>
                <c:pt idx="583">
                  <c:v>102</c:v>
                </c:pt>
                <c:pt idx="584">
                  <c:v>60</c:v>
                </c:pt>
                <c:pt idx="585">
                  <c:v>103</c:v>
                </c:pt>
                <c:pt idx="586">
                  <c:v>90</c:v>
                </c:pt>
                <c:pt idx="587">
                  <c:v>88</c:v>
                </c:pt>
                <c:pt idx="588">
                  <c:v>37</c:v>
                </c:pt>
                <c:pt idx="589">
                  <c:v>142</c:v>
                </c:pt>
                <c:pt idx="590">
                  <c:v>153</c:v>
                </c:pt>
                <c:pt idx="591">
                  <c:v>128</c:v>
                </c:pt>
                <c:pt idx="592">
                  <c:v>110</c:v>
                </c:pt>
                <c:pt idx="593">
                  <c:v>139</c:v>
                </c:pt>
                <c:pt idx="594">
                  <c:v>109</c:v>
                </c:pt>
                <c:pt idx="595">
                  <c:v>57</c:v>
                </c:pt>
                <c:pt idx="596">
                  <c:v>68</c:v>
                </c:pt>
                <c:pt idx="597">
                  <c:v>128</c:v>
                </c:pt>
                <c:pt idx="598">
                  <c:v>102</c:v>
                </c:pt>
                <c:pt idx="599">
                  <c:v>52</c:v>
                </c:pt>
                <c:pt idx="600">
                  <c:v>55</c:v>
                </c:pt>
                <c:pt idx="601">
                  <c:v>107</c:v>
                </c:pt>
                <c:pt idx="602">
                  <c:v>88</c:v>
                </c:pt>
                <c:pt idx="603">
                  <c:v>49</c:v>
                </c:pt>
                <c:pt idx="604">
                  <c:v>72</c:v>
                </c:pt>
                <c:pt idx="605">
                  <c:v>50</c:v>
                </c:pt>
                <c:pt idx="606">
                  <c:v>52</c:v>
                </c:pt>
                <c:pt idx="607">
                  <c:v>85</c:v>
                </c:pt>
                <c:pt idx="608">
                  <c:v>98</c:v>
                </c:pt>
                <c:pt idx="609">
                  <c:v>52</c:v>
                </c:pt>
                <c:pt idx="610">
                  <c:v>154</c:v>
                </c:pt>
                <c:pt idx="611">
                  <c:v>131</c:v>
                </c:pt>
                <c:pt idx="612">
                  <c:v>73</c:v>
                </c:pt>
                <c:pt idx="613">
                  <c:v>45</c:v>
                </c:pt>
                <c:pt idx="614">
                  <c:v>114</c:v>
                </c:pt>
                <c:pt idx="615">
                  <c:v>69</c:v>
                </c:pt>
                <c:pt idx="616">
                  <c:v>33</c:v>
                </c:pt>
                <c:pt idx="617">
                  <c:v>31</c:v>
                </c:pt>
                <c:pt idx="618">
                  <c:v>168</c:v>
                </c:pt>
                <c:pt idx="619">
                  <c:v>111</c:v>
                </c:pt>
                <c:pt idx="620">
                  <c:v>80</c:v>
                </c:pt>
                <c:pt idx="621">
                  <c:v>37</c:v>
                </c:pt>
                <c:pt idx="622">
                  <c:v>137</c:v>
                </c:pt>
                <c:pt idx="623">
                  <c:v>123</c:v>
                </c:pt>
                <c:pt idx="624">
                  <c:v>105</c:v>
                </c:pt>
                <c:pt idx="625">
                  <c:v>76</c:v>
                </c:pt>
                <c:pt idx="626">
                  <c:v>144</c:v>
                </c:pt>
                <c:pt idx="627">
                  <c:v>109</c:v>
                </c:pt>
                <c:pt idx="628">
                  <c:v>172</c:v>
                </c:pt>
                <c:pt idx="629">
                  <c:v>56</c:v>
                </c:pt>
                <c:pt idx="630">
                  <c:v>121</c:v>
                </c:pt>
                <c:pt idx="631">
                  <c:v>41</c:v>
                </c:pt>
                <c:pt idx="632">
                  <c:v>60</c:v>
                </c:pt>
                <c:pt idx="633">
                  <c:v>144</c:v>
                </c:pt>
                <c:pt idx="634">
                  <c:v>67</c:v>
                </c:pt>
                <c:pt idx="635">
                  <c:v>162</c:v>
                </c:pt>
                <c:pt idx="636">
                  <c:v>87</c:v>
                </c:pt>
                <c:pt idx="637">
                  <c:v>10</c:v>
                </c:pt>
                <c:pt idx="638">
                  <c:v>138</c:v>
                </c:pt>
                <c:pt idx="639">
                  <c:v>31</c:v>
                </c:pt>
                <c:pt idx="640">
                  <c:v>75</c:v>
                </c:pt>
                <c:pt idx="641">
                  <c:v>65</c:v>
                </c:pt>
                <c:pt idx="642">
                  <c:v>106</c:v>
                </c:pt>
                <c:pt idx="643">
                  <c:v>107</c:v>
                </c:pt>
                <c:pt idx="644">
                  <c:v>78</c:v>
                </c:pt>
                <c:pt idx="645">
                  <c:v>122</c:v>
                </c:pt>
                <c:pt idx="646">
                  <c:v>58</c:v>
                </c:pt>
                <c:pt idx="647">
                  <c:v>33</c:v>
                </c:pt>
                <c:pt idx="648">
                  <c:v>164</c:v>
                </c:pt>
                <c:pt idx="649">
                  <c:v>163</c:v>
                </c:pt>
                <c:pt idx="650">
                  <c:v>71</c:v>
                </c:pt>
                <c:pt idx="651">
                  <c:v>103</c:v>
                </c:pt>
                <c:pt idx="652">
                  <c:v>69</c:v>
                </c:pt>
                <c:pt idx="653">
                  <c:v>111</c:v>
                </c:pt>
                <c:pt idx="654">
                  <c:v>97</c:v>
                </c:pt>
                <c:pt idx="655">
                  <c:v>144</c:v>
                </c:pt>
                <c:pt idx="656">
                  <c:v>56</c:v>
                </c:pt>
                <c:pt idx="657">
                  <c:v>132</c:v>
                </c:pt>
                <c:pt idx="658">
                  <c:v>72</c:v>
                </c:pt>
                <c:pt idx="659">
                  <c:v>18</c:v>
                </c:pt>
                <c:pt idx="660">
                  <c:v>115</c:v>
                </c:pt>
                <c:pt idx="661">
                  <c:v>124</c:v>
                </c:pt>
                <c:pt idx="662">
                  <c:v>130</c:v>
                </c:pt>
                <c:pt idx="663">
                  <c:v>120</c:v>
                </c:pt>
                <c:pt idx="664">
                  <c:v>75</c:v>
                </c:pt>
                <c:pt idx="665">
                  <c:v>63</c:v>
                </c:pt>
                <c:pt idx="666">
                  <c:v>74</c:v>
                </c:pt>
                <c:pt idx="667">
                  <c:v>134</c:v>
                </c:pt>
                <c:pt idx="668">
                  <c:v>103</c:v>
                </c:pt>
                <c:pt idx="669">
                  <c:v>155</c:v>
                </c:pt>
                <c:pt idx="670">
                  <c:v>128</c:v>
                </c:pt>
                <c:pt idx="671">
                  <c:v>89</c:v>
                </c:pt>
                <c:pt idx="672">
                  <c:v>81</c:v>
                </c:pt>
                <c:pt idx="673">
                  <c:v>66</c:v>
                </c:pt>
                <c:pt idx="674">
                  <c:v>61</c:v>
                </c:pt>
                <c:pt idx="675">
                  <c:v>128</c:v>
                </c:pt>
                <c:pt idx="676">
                  <c:v>30</c:v>
                </c:pt>
                <c:pt idx="677">
                  <c:v>63</c:v>
                </c:pt>
                <c:pt idx="678">
                  <c:v>64</c:v>
                </c:pt>
                <c:pt idx="679">
                  <c:v>151</c:v>
                </c:pt>
                <c:pt idx="680">
                  <c:v>116</c:v>
                </c:pt>
                <c:pt idx="681">
                  <c:v>111</c:v>
                </c:pt>
                <c:pt idx="682">
                  <c:v>15</c:v>
                </c:pt>
                <c:pt idx="683">
                  <c:v>18</c:v>
                </c:pt>
                <c:pt idx="684">
                  <c:v>146</c:v>
                </c:pt>
                <c:pt idx="685">
                  <c:v>73</c:v>
                </c:pt>
                <c:pt idx="686">
                  <c:v>108</c:v>
                </c:pt>
                <c:pt idx="687">
                  <c:v>52</c:v>
                </c:pt>
                <c:pt idx="688">
                  <c:v>165</c:v>
                </c:pt>
                <c:pt idx="689">
                  <c:v>104</c:v>
                </c:pt>
                <c:pt idx="690">
                  <c:v>131</c:v>
                </c:pt>
                <c:pt idx="691">
                  <c:v>80</c:v>
                </c:pt>
                <c:pt idx="692">
                  <c:v>49</c:v>
                </c:pt>
                <c:pt idx="693">
                  <c:v>73</c:v>
                </c:pt>
                <c:pt idx="694">
                  <c:v>117</c:v>
                </c:pt>
                <c:pt idx="695">
                  <c:v>38</c:v>
                </c:pt>
                <c:pt idx="696">
                  <c:v>109</c:v>
                </c:pt>
                <c:pt idx="697">
                  <c:v>70</c:v>
                </c:pt>
                <c:pt idx="698">
                  <c:v>51</c:v>
                </c:pt>
                <c:pt idx="699">
                  <c:v>100</c:v>
                </c:pt>
                <c:pt idx="700">
                  <c:v>124</c:v>
                </c:pt>
                <c:pt idx="701">
                  <c:v>143</c:v>
                </c:pt>
                <c:pt idx="702">
                  <c:v>96</c:v>
                </c:pt>
                <c:pt idx="703">
                  <c:v>84</c:v>
                </c:pt>
                <c:pt idx="704">
                  <c:v>111</c:v>
                </c:pt>
                <c:pt idx="705">
                  <c:v>103</c:v>
                </c:pt>
                <c:pt idx="706">
                  <c:v>61</c:v>
                </c:pt>
                <c:pt idx="707">
                  <c:v>113</c:v>
                </c:pt>
                <c:pt idx="708">
                  <c:v>96</c:v>
                </c:pt>
                <c:pt idx="709">
                  <c:v>131</c:v>
                </c:pt>
                <c:pt idx="710">
                  <c:v>52</c:v>
                </c:pt>
                <c:pt idx="711">
                  <c:v>100</c:v>
                </c:pt>
                <c:pt idx="712">
                  <c:v>58</c:v>
                </c:pt>
                <c:pt idx="713">
                  <c:v>144</c:v>
                </c:pt>
                <c:pt idx="714">
                  <c:v>53</c:v>
                </c:pt>
                <c:pt idx="715">
                  <c:v>97</c:v>
                </c:pt>
                <c:pt idx="716">
                  <c:v>64</c:v>
                </c:pt>
                <c:pt idx="717">
                  <c:v>106</c:v>
                </c:pt>
                <c:pt idx="718">
                  <c:v>36</c:v>
                </c:pt>
                <c:pt idx="719">
                  <c:v>74</c:v>
                </c:pt>
                <c:pt idx="720">
                  <c:v>143</c:v>
                </c:pt>
                <c:pt idx="721">
                  <c:v>94</c:v>
                </c:pt>
                <c:pt idx="722">
                  <c:v>124</c:v>
                </c:pt>
                <c:pt idx="723">
                  <c:v>156</c:v>
                </c:pt>
                <c:pt idx="724">
                  <c:v>107</c:v>
                </c:pt>
                <c:pt idx="725">
                  <c:v>58</c:v>
                </c:pt>
                <c:pt idx="726">
                  <c:v>66</c:v>
                </c:pt>
                <c:pt idx="727">
                  <c:v>75</c:v>
                </c:pt>
                <c:pt idx="728">
                  <c:v>8</c:v>
                </c:pt>
                <c:pt idx="729">
                  <c:v>76</c:v>
                </c:pt>
                <c:pt idx="730">
                  <c:v>110</c:v>
                </c:pt>
                <c:pt idx="731">
                  <c:v>50</c:v>
                </c:pt>
                <c:pt idx="732">
                  <c:v>78</c:v>
                </c:pt>
                <c:pt idx="733">
                  <c:v>59</c:v>
                </c:pt>
                <c:pt idx="734">
                  <c:v>126</c:v>
                </c:pt>
                <c:pt idx="735">
                  <c:v>43</c:v>
                </c:pt>
                <c:pt idx="736">
                  <c:v>79</c:v>
                </c:pt>
                <c:pt idx="737">
                  <c:v>71</c:v>
                </c:pt>
                <c:pt idx="738">
                  <c:v>94</c:v>
                </c:pt>
                <c:pt idx="739">
                  <c:v>108</c:v>
                </c:pt>
                <c:pt idx="740">
                  <c:v>76</c:v>
                </c:pt>
                <c:pt idx="741">
                  <c:v>136</c:v>
                </c:pt>
                <c:pt idx="742">
                  <c:v>129</c:v>
                </c:pt>
                <c:pt idx="743">
                  <c:v>120</c:v>
                </c:pt>
                <c:pt idx="744">
                  <c:v>108</c:v>
                </c:pt>
                <c:pt idx="745">
                  <c:v>79</c:v>
                </c:pt>
                <c:pt idx="746">
                  <c:v>45</c:v>
                </c:pt>
                <c:pt idx="747">
                  <c:v>96</c:v>
                </c:pt>
                <c:pt idx="748">
                  <c:v>81</c:v>
                </c:pt>
                <c:pt idx="749">
                  <c:v>95</c:v>
                </c:pt>
                <c:pt idx="750">
                  <c:v>159</c:v>
                </c:pt>
                <c:pt idx="751">
                  <c:v>109</c:v>
                </c:pt>
                <c:pt idx="752">
                  <c:v>107</c:v>
                </c:pt>
                <c:pt idx="753">
                  <c:v>67</c:v>
                </c:pt>
                <c:pt idx="754">
                  <c:v>96</c:v>
                </c:pt>
                <c:pt idx="755">
                  <c:v>142</c:v>
                </c:pt>
                <c:pt idx="756">
                  <c:v>71</c:v>
                </c:pt>
                <c:pt idx="757">
                  <c:v>152</c:v>
                </c:pt>
                <c:pt idx="758">
                  <c:v>108</c:v>
                </c:pt>
                <c:pt idx="759">
                  <c:v>156</c:v>
                </c:pt>
                <c:pt idx="760">
                  <c:v>126</c:v>
                </c:pt>
                <c:pt idx="761">
                  <c:v>135</c:v>
                </c:pt>
                <c:pt idx="762">
                  <c:v>110</c:v>
                </c:pt>
                <c:pt idx="763">
                  <c:v>64</c:v>
                </c:pt>
                <c:pt idx="764">
                  <c:v>127</c:v>
                </c:pt>
                <c:pt idx="765">
                  <c:v>124</c:v>
                </c:pt>
                <c:pt idx="766">
                  <c:v>125</c:v>
                </c:pt>
                <c:pt idx="767">
                  <c:v>70</c:v>
                </c:pt>
                <c:pt idx="768">
                  <c:v>93</c:v>
                </c:pt>
                <c:pt idx="769">
                  <c:v>120</c:v>
                </c:pt>
                <c:pt idx="770">
                  <c:v>96</c:v>
                </c:pt>
                <c:pt idx="771">
                  <c:v>67</c:v>
                </c:pt>
                <c:pt idx="772">
                  <c:v>119</c:v>
                </c:pt>
                <c:pt idx="773">
                  <c:v>61</c:v>
                </c:pt>
                <c:pt idx="774">
                  <c:v>29</c:v>
                </c:pt>
                <c:pt idx="775">
                  <c:v>134</c:v>
                </c:pt>
                <c:pt idx="776">
                  <c:v>113</c:v>
                </c:pt>
                <c:pt idx="777">
                  <c:v>12</c:v>
                </c:pt>
                <c:pt idx="778">
                  <c:v>78</c:v>
                </c:pt>
                <c:pt idx="779">
                  <c:v>82</c:v>
                </c:pt>
                <c:pt idx="780">
                  <c:v>149</c:v>
                </c:pt>
                <c:pt idx="781">
                  <c:v>56</c:v>
                </c:pt>
                <c:pt idx="782">
                  <c:v>80</c:v>
                </c:pt>
                <c:pt idx="783">
                  <c:v>131</c:v>
                </c:pt>
                <c:pt idx="784">
                  <c:v>109</c:v>
                </c:pt>
                <c:pt idx="785">
                  <c:v>142</c:v>
                </c:pt>
                <c:pt idx="786">
                  <c:v>114</c:v>
                </c:pt>
                <c:pt idx="787">
                  <c:v>93</c:v>
                </c:pt>
                <c:pt idx="788">
                  <c:v>43</c:v>
                </c:pt>
                <c:pt idx="789">
                  <c:v>78</c:v>
                </c:pt>
                <c:pt idx="790">
                  <c:v>89</c:v>
                </c:pt>
                <c:pt idx="791">
                  <c:v>82</c:v>
                </c:pt>
                <c:pt idx="792">
                  <c:v>86</c:v>
                </c:pt>
                <c:pt idx="793">
                  <c:v>57</c:v>
                </c:pt>
                <c:pt idx="794">
                  <c:v>103</c:v>
                </c:pt>
                <c:pt idx="795">
                  <c:v>138</c:v>
                </c:pt>
                <c:pt idx="796">
                  <c:v>88</c:v>
                </c:pt>
                <c:pt idx="797">
                  <c:v>118</c:v>
                </c:pt>
                <c:pt idx="798">
                  <c:v>4</c:v>
                </c:pt>
                <c:pt idx="799">
                  <c:v>78</c:v>
                </c:pt>
                <c:pt idx="800">
                  <c:v>69</c:v>
                </c:pt>
                <c:pt idx="801">
                  <c:v>90</c:v>
                </c:pt>
                <c:pt idx="802">
                  <c:v>134</c:v>
                </c:pt>
                <c:pt idx="803">
                  <c:v>65</c:v>
                </c:pt>
                <c:pt idx="804">
                  <c:v>54</c:v>
                </c:pt>
                <c:pt idx="805">
                  <c:v>90</c:v>
                </c:pt>
                <c:pt idx="806">
                  <c:v>66</c:v>
                </c:pt>
                <c:pt idx="807">
                  <c:v>150</c:v>
                </c:pt>
                <c:pt idx="808">
                  <c:v>18</c:v>
                </c:pt>
                <c:pt idx="809">
                  <c:v>87</c:v>
                </c:pt>
                <c:pt idx="810">
                  <c:v>94</c:v>
                </c:pt>
                <c:pt idx="811">
                  <c:v>56</c:v>
                </c:pt>
                <c:pt idx="812">
                  <c:v>41</c:v>
                </c:pt>
                <c:pt idx="813">
                  <c:v>119</c:v>
                </c:pt>
                <c:pt idx="814">
                  <c:v>108</c:v>
                </c:pt>
                <c:pt idx="815">
                  <c:v>63</c:v>
                </c:pt>
                <c:pt idx="816">
                  <c:v>59</c:v>
                </c:pt>
                <c:pt idx="817">
                  <c:v>90</c:v>
                </c:pt>
                <c:pt idx="818">
                  <c:v>55</c:v>
                </c:pt>
                <c:pt idx="819">
                  <c:v>84</c:v>
                </c:pt>
                <c:pt idx="820">
                  <c:v>150</c:v>
                </c:pt>
                <c:pt idx="821">
                  <c:v>69</c:v>
                </c:pt>
                <c:pt idx="822">
                  <c:v>120</c:v>
                </c:pt>
                <c:pt idx="823">
                  <c:v>126</c:v>
                </c:pt>
                <c:pt idx="824">
                  <c:v>120</c:v>
                </c:pt>
                <c:pt idx="825">
                  <c:v>139</c:v>
                </c:pt>
                <c:pt idx="826">
                  <c:v>124</c:v>
                </c:pt>
                <c:pt idx="827">
                  <c:v>108</c:v>
                </c:pt>
                <c:pt idx="828">
                  <c:v>132</c:v>
                </c:pt>
                <c:pt idx="829">
                  <c:v>67</c:v>
                </c:pt>
                <c:pt idx="830">
                  <c:v>125</c:v>
                </c:pt>
                <c:pt idx="831">
                  <c:v>23</c:v>
                </c:pt>
                <c:pt idx="832">
                  <c:v>131</c:v>
                </c:pt>
                <c:pt idx="833">
                  <c:v>56</c:v>
                </c:pt>
                <c:pt idx="834">
                  <c:v>70</c:v>
                </c:pt>
                <c:pt idx="835">
                  <c:v>55</c:v>
                </c:pt>
                <c:pt idx="836">
                  <c:v>77</c:v>
                </c:pt>
                <c:pt idx="837">
                  <c:v>133</c:v>
                </c:pt>
                <c:pt idx="838">
                  <c:v>77</c:v>
                </c:pt>
                <c:pt idx="839">
                  <c:v>103</c:v>
                </c:pt>
                <c:pt idx="840">
                  <c:v>32</c:v>
                </c:pt>
                <c:pt idx="841">
                  <c:v>30</c:v>
                </c:pt>
                <c:pt idx="842">
                  <c:v>87</c:v>
                </c:pt>
                <c:pt idx="843">
                  <c:v>137</c:v>
                </c:pt>
                <c:pt idx="844">
                  <c:v>96</c:v>
                </c:pt>
                <c:pt idx="845">
                  <c:v>155</c:v>
                </c:pt>
                <c:pt idx="846">
                  <c:v>173</c:v>
                </c:pt>
                <c:pt idx="847">
                  <c:v>127</c:v>
                </c:pt>
                <c:pt idx="848">
                  <c:v>117</c:v>
                </c:pt>
                <c:pt idx="849">
                  <c:v>133</c:v>
                </c:pt>
                <c:pt idx="850">
                  <c:v>166</c:v>
                </c:pt>
                <c:pt idx="851">
                  <c:v>50</c:v>
                </c:pt>
                <c:pt idx="852">
                  <c:v>43</c:v>
                </c:pt>
                <c:pt idx="853">
                  <c:v>124</c:v>
                </c:pt>
                <c:pt idx="854">
                  <c:v>94</c:v>
                </c:pt>
                <c:pt idx="855">
                  <c:v>126</c:v>
                </c:pt>
                <c:pt idx="856">
                  <c:v>105</c:v>
                </c:pt>
                <c:pt idx="857">
                  <c:v>60</c:v>
                </c:pt>
                <c:pt idx="858">
                  <c:v>72</c:v>
                </c:pt>
                <c:pt idx="859">
                  <c:v>40</c:v>
                </c:pt>
                <c:pt idx="860">
                  <c:v>54</c:v>
                </c:pt>
                <c:pt idx="861">
                  <c:v>81</c:v>
                </c:pt>
                <c:pt idx="862">
                  <c:v>76</c:v>
                </c:pt>
                <c:pt idx="863">
                  <c:v>37</c:v>
                </c:pt>
                <c:pt idx="864">
                  <c:v>96</c:v>
                </c:pt>
                <c:pt idx="865">
                  <c:v>19</c:v>
                </c:pt>
                <c:pt idx="866">
                  <c:v>72</c:v>
                </c:pt>
                <c:pt idx="867">
                  <c:v>73</c:v>
                </c:pt>
                <c:pt idx="868">
                  <c:v>87</c:v>
                </c:pt>
                <c:pt idx="869">
                  <c:v>68</c:v>
                </c:pt>
                <c:pt idx="870">
                  <c:v>101</c:v>
                </c:pt>
                <c:pt idx="871">
                  <c:v>107</c:v>
                </c:pt>
                <c:pt idx="872">
                  <c:v>109</c:v>
                </c:pt>
                <c:pt idx="873">
                  <c:v>171</c:v>
                </c:pt>
                <c:pt idx="874">
                  <c:v>21</c:v>
                </c:pt>
                <c:pt idx="875">
                  <c:v>94</c:v>
                </c:pt>
                <c:pt idx="876">
                  <c:v>97</c:v>
                </c:pt>
                <c:pt idx="877">
                  <c:v>72</c:v>
                </c:pt>
                <c:pt idx="878">
                  <c:v>143</c:v>
                </c:pt>
                <c:pt idx="879">
                  <c:v>64</c:v>
                </c:pt>
                <c:pt idx="880">
                  <c:v>69</c:v>
                </c:pt>
                <c:pt idx="881">
                  <c:v>18</c:v>
                </c:pt>
                <c:pt idx="882">
                  <c:v>100</c:v>
                </c:pt>
                <c:pt idx="883">
                  <c:v>110</c:v>
                </c:pt>
                <c:pt idx="884">
                  <c:v>41</c:v>
                </c:pt>
                <c:pt idx="885">
                  <c:v>147</c:v>
                </c:pt>
                <c:pt idx="886">
                  <c:v>31</c:v>
                </c:pt>
                <c:pt idx="887">
                  <c:v>142</c:v>
                </c:pt>
                <c:pt idx="888">
                  <c:v>61</c:v>
                </c:pt>
                <c:pt idx="889">
                  <c:v>86</c:v>
                </c:pt>
                <c:pt idx="890">
                  <c:v>165</c:v>
                </c:pt>
                <c:pt idx="891">
                  <c:v>62</c:v>
                </c:pt>
                <c:pt idx="892">
                  <c:v>103</c:v>
                </c:pt>
                <c:pt idx="893">
                  <c:v>56</c:v>
                </c:pt>
                <c:pt idx="894">
                  <c:v>114</c:v>
                </c:pt>
                <c:pt idx="895">
                  <c:v>112</c:v>
                </c:pt>
                <c:pt idx="896">
                  <c:v>52</c:v>
                </c:pt>
                <c:pt idx="897">
                  <c:v>105</c:v>
                </c:pt>
                <c:pt idx="898">
                  <c:v>91</c:v>
                </c:pt>
                <c:pt idx="899">
                  <c:v>74</c:v>
                </c:pt>
                <c:pt idx="900">
                  <c:v>30</c:v>
                </c:pt>
                <c:pt idx="901">
                  <c:v>56</c:v>
                </c:pt>
                <c:pt idx="902">
                  <c:v>151</c:v>
                </c:pt>
                <c:pt idx="903">
                  <c:v>108</c:v>
                </c:pt>
                <c:pt idx="904">
                  <c:v>124</c:v>
                </c:pt>
                <c:pt idx="905">
                  <c:v>110</c:v>
                </c:pt>
                <c:pt idx="906">
                  <c:v>89</c:v>
                </c:pt>
                <c:pt idx="907">
                  <c:v>95</c:v>
                </c:pt>
                <c:pt idx="908">
                  <c:v>84</c:v>
                </c:pt>
                <c:pt idx="909">
                  <c:v>89</c:v>
                </c:pt>
                <c:pt idx="910">
                  <c:v>146</c:v>
                </c:pt>
                <c:pt idx="911">
                  <c:v>62</c:v>
                </c:pt>
                <c:pt idx="912">
                  <c:v>82</c:v>
                </c:pt>
                <c:pt idx="913">
                  <c:v>91</c:v>
                </c:pt>
                <c:pt idx="914">
                  <c:v>39</c:v>
                </c:pt>
                <c:pt idx="915">
                  <c:v>149</c:v>
                </c:pt>
                <c:pt idx="916">
                  <c:v>138</c:v>
                </c:pt>
                <c:pt idx="917">
                  <c:v>113</c:v>
                </c:pt>
                <c:pt idx="918">
                  <c:v>88</c:v>
                </c:pt>
                <c:pt idx="919">
                  <c:v>64</c:v>
                </c:pt>
                <c:pt idx="920">
                  <c:v>53</c:v>
                </c:pt>
                <c:pt idx="921">
                  <c:v>63</c:v>
                </c:pt>
                <c:pt idx="922">
                  <c:v>54</c:v>
                </c:pt>
                <c:pt idx="923">
                  <c:v>54</c:v>
                </c:pt>
                <c:pt idx="924">
                  <c:v>71</c:v>
                </c:pt>
                <c:pt idx="925">
                  <c:v>93</c:v>
                </c:pt>
                <c:pt idx="926">
                  <c:v>96</c:v>
                </c:pt>
                <c:pt idx="927">
                  <c:v>31</c:v>
                </c:pt>
                <c:pt idx="928">
                  <c:v>107</c:v>
                </c:pt>
                <c:pt idx="929">
                  <c:v>50</c:v>
                </c:pt>
                <c:pt idx="930">
                  <c:v>69</c:v>
                </c:pt>
                <c:pt idx="931">
                  <c:v>26</c:v>
                </c:pt>
                <c:pt idx="932">
                  <c:v>158</c:v>
                </c:pt>
                <c:pt idx="933">
                  <c:v>99</c:v>
                </c:pt>
                <c:pt idx="934">
                  <c:v>78</c:v>
                </c:pt>
                <c:pt idx="935">
                  <c:v>102</c:v>
                </c:pt>
                <c:pt idx="936">
                  <c:v>158</c:v>
                </c:pt>
                <c:pt idx="937">
                  <c:v>56</c:v>
                </c:pt>
                <c:pt idx="938">
                  <c:v>17</c:v>
                </c:pt>
                <c:pt idx="939">
                  <c:v>104</c:v>
                </c:pt>
                <c:pt idx="940">
                  <c:v>96</c:v>
                </c:pt>
                <c:pt idx="941">
                  <c:v>83</c:v>
                </c:pt>
                <c:pt idx="942">
                  <c:v>80</c:v>
                </c:pt>
                <c:pt idx="943">
                  <c:v>152</c:v>
                </c:pt>
                <c:pt idx="944">
                  <c:v>34</c:v>
                </c:pt>
                <c:pt idx="945">
                  <c:v>2</c:v>
                </c:pt>
                <c:pt idx="946">
                  <c:v>140</c:v>
                </c:pt>
                <c:pt idx="947">
                  <c:v>126</c:v>
                </c:pt>
                <c:pt idx="948">
                  <c:v>79</c:v>
                </c:pt>
                <c:pt idx="949">
                  <c:v>133</c:v>
                </c:pt>
                <c:pt idx="950">
                  <c:v>97</c:v>
                </c:pt>
                <c:pt idx="951">
                  <c:v>102</c:v>
                </c:pt>
                <c:pt idx="952">
                  <c:v>62</c:v>
                </c:pt>
                <c:pt idx="953">
                  <c:v>149</c:v>
                </c:pt>
                <c:pt idx="954">
                  <c:v>133</c:v>
                </c:pt>
                <c:pt idx="955">
                  <c:v>51</c:v>
                </c:pt>
                <c:pt idx="956">
                  <c:v>110</c:v>
                </c:pt>
                <c:pt idx="957">
                  <c:v>38</c:v>
                </c:pt>
                <c:pt idx="958">
                  <c:v>78</c:v>
                </c:pt>
                <c:pt idx="959">
                  <c:v>25</c:v>
                </c:pt>
                <c:pt idx="960">
                  <c:v>50</c:v>
                </c:pt>
                <c:pt idx="961">
                  <c:v>103</c:v>
                </c:pt>
                <c:pt idx="962">
                  <c:v>63</c:v>
                </c:pt>
                <c:pt idx="963">
                  <c:v>96</c:v>
                </c:pt>
                <c:pt idx="964">
                  <c:v>94</c:v>
                </c:pt>
                <c:pt idx="965">
                  <c:v>46</c:v>
                </c:pt>
                <c:pt idx="966">
                  <c:v>127</c:v>
                </c:pt>
                <c:pt idx="967">
                  <c:v>96</c:v>
                </c:pt>
                <c:pt idx="968">
                  <c:v>151</c:v>
                </c:pt>
                <c:pt idx="969">
                  <c:v>158</c:v>
                </c:pt>
                <c:pt idx="970">
                  <c:v>45</c:v>
                </c:pt>
                <c:pt idx="971">
                  <c:v>141</c:v>
                </c:pt>
                <c:pt idx="972">
                  <c:v>147</c:v>
                </c:pt>
                <c:pt idx="973">
                  <c:v>126</c:v>
                </c:pt>
                <c:pt idx="974">
                  <c:v>126</c:v>
                </c:pt>
                <c:pt idx="975">
                  <c:v>32</c:v>
                </c:pt>
                <c:pt idx="976">
                  <c:v>84</c:v>
                </c:pt>
                <c:pt idx="977">
                  <c:v>120</c:v>
                </c:pt>
                <c:pt idx="978">
                  <c:v>93</c:v>
                </c:pt>
                <c:pt idx="979">
                  <c:v>76</c:v>
                </c:pt>
                <c:pt idx="980">
                  <c:v>89</c:v>
                </c:pt>
                <c:pt idx="981">
                  <c:v>91</c:v>
                </c:pt>
                <c:pt idx="982">
                  <c:v>7</c:v>
                </c:pt>
                <c:pt idx="983">
                  <c:v>140</c:v>
                </c:pt>
                <c:pt idx="984">
                  <c:v>58</c:v>
                </c:pt>
                <c:pt idx="985">
                  <c:v>90</c:v>
                </c:pt>
                <c:pt idx="986">
                  <c:v>106</c:v>
                </c:pt>
                <c:pt idx="987">
                  <c:v>72</c:v>
                </c:pt>
                <c:pt idx="988">
                  <c:v>124</c:v>
                </c:pt>
                <c:pt idx="989">
                  <c:v>86</c:v>
                </c:pt>
                <c:pt idx="990">
                  <c:v>164</c:v>
                </c:pt>
                <c:pt idx="991">
                  <c:v>40</c:v>
                </c:pt>
                <c:pt idx="992">
                  <c:v>76</c:v>
                </c:pt>
                <c:pt idx="993">
                  <c:v>95</c:v>
                </c:pt>
                <c:pt idx="994">
                  <c:v>113</c:v>
                </c:pt>
                <c:pt idx="995">
                  <c:v>81</c:v>
                </c:pt>
                <c:pt idx="996">
                  <c:v>127</c:v>
                </c:pt>
                <c:pt idx="997">
                  <c:v>146</c:v>
                </c:pt>
                <c:pt idx="998">
                  <c:v>123</c:v>
                </c:pt>
                <c:pt idx="999">
                  <c:v>114</c:v>
                </c:pt>
              </c:numCache>
            </c:numRef>
          </c:xVal>
          <c:yVal>
            <c:numRef>
              <c:f>'Call Centre Data'!$G$2:$G$1001</c:f>
              <c:numCache>
                <c:formatCode>General</c:formatCode>
                <c:ptCount val="1000"/>
                <c:pt idx="0">
                  <c:v>4.9000000000000004</c:v>
                </c:pt>
                <c:pt idx="1">
                  <c:v>2.9</c:v>
                </c:pt>
                <c:pt idx="2">
                  <c:v>4.7</c:v>
                </c:pt>
                <c:pt idx="3">
                  <c:v>2.9</c:v>
                </c:pt>
                <c:pt idx="4">
                  <c:v>2.8</c:v>
                </c:pt>
                <c:pt idx="5">
                  <c:v>4.8</c:v>
                </c:pt>
                <c:pt idx="6">
                  <c:v>4.7</c:v>
                </c:pt>
                <c:pt idx="7">
                  <c:v>4.4000000000000004</c:v>
                </c:pt>
                <c:pt idx="8">
                  <c:v>3.6</c:v>
                </c:pt>
                <c:pt idx="9">
                  <c:v>2.9</c:v>
                </c:pt>
                <c:pt idx="10">
                  <c:v>4.9000000000000004</c:v>
                </c:pt>
                <c:pt idx="11">
                  <c:v>3.4</c:v>
                </c:pt>
                <c:pt idx="12">
                  <c:v>3.5</c:v>
                </c:pt>
                <c:pt idx="13">
                  <c:v>4</c:v>
                </c:pt>
                <c:pt idx="14">
                  <c:v>4.9000000000000004</c:v>
                </c:pt>
                <c:pt idx="15">
                  <c:v>4.8</c:v>
                </c:pt>
                <c:pt idx="16">
                  <c:v>3.9</c:v>
                </c:pt>
                <c:pt idx="17">
                  <c:v>3.8</c:v>
                </c:pt>
                <c:pt idx="18">
                  <c:v>4.3</c:v>
                </c:pt>
                <c:pt idx="19">
                  <c:v>4.4000000000000004</c:v>
                </c:pt>
                <c:pt idx="20">
                  <c:v>5</c:v>
                </c:pt>
                <c:pt idx="21">
                  <c:v>4.9000000000000004</c:v>
                </c:pt>
                <c:pt idx="22">
                  <c:v>4.5</c:v>
                </c:pt>
                <c:pt idx="23">
                  <c:v>2.1</c:v>
                </c:pt>
                <c:pt idx="24">
                  <c:v>3.3</c:v>
                </c:pt>
                <c:pt idx="25">
                  <c:v>4.0999999999999996</c:v>
                </c:pt>
                <c:pt idx="26">
                  <c:v>4.2</c:v>
                </c:pt>
                <c:pt idx="27">
                  <c:v>4.5999999999999996</c:v>
                </c:pt>
                <c:pt idx="28">
                  <c:v>2.9</c:v>
                </c:pt>
                <c:pt idx="29">
                  <c:v>4.8</c:v>
                </c:pt>
                <c:pt idx="30">
                  <c:v>4.2</c:v>
                </c:pt>
                <c:pt idx="31">
                  <c:v>3.7</c:v>
                </c:pt>
                <c:pt idx="32">
                  <c:v>5</c:v>
                </c:pt>
                <c:pt idx="33">
                  <c:v>5</c:v>
                </c:pt>
                <c:pt idx="34">
                  <c:v>4.8</c:v>
                </c:pt>
                <c:pt idx="35">
                  <c:v>2.4</c:v>
                </c:pt>
                <c:pt idx="36">
                  <c:v>3.1</c:v>
                </c:pt>
                <c:pt idx="37">
                  <c:v>3.2</c:v>
                </c:pt>
                <c:pt idx="38">
                  <c:v>2.4</c:v>
                </c:pt>
                <c:pt idx="39">
                  <c:v>5</c:v>
                </c:pt>
                <c:pt idx="40">
                  <c:v>4.7</c:v>
                </c:pt>
                <c:pt idx="41">
                  <c:v>4.7</c:v>
                </c:pt>
                <c:pt idx="42">
                  <c:v>4.0999999999999996</c:v>
                </c:pt>
                <c:pt idx="43">
                  <c:v>4.0999999999999996</c:v>
                </c:pt>
                <c:pt idx="44">
                  <c:v>3.6</c:v>
                </c:pt>
                <c:pt idx="45">
                  <c:v>4.4000000000000004</c:v>
                </c:pt>
                <c:pt idx="46">
                  <c:v>4.4000000000000004</c:v>
                </c:pt>
                <c:pt idx="47">
                  <c:v>4</c:v>
                </c:pt>
                <c:pt idx="48">
                  <c:v>3.8</c:v>
                </c:pt>
                <c:pt idx="49">
                  <c:v>3.6</c:v>
                </c:pt>
                <c:pt idx="50">
                  <c:v>4.3</c:v>
                </c:pt>
                <c:pt idx="51">
                  <c:v>3.8</c:v>
                </c:pt>
                <c:pt idx="52">
                  <c:v>4.5</c:v>
                </c:pt>
                <c:pt idx="53">
                  <c:v>4.5</c:v>
                </c:pt>
                <c:pt idx="54">
                  <c:v>4.5999999999999996</c:v>
                </c:pt>
                <c:pt idx="55">
                  <c:v>4.5</c:v>
                </c:pt>
                <c:pt idx="56">
                  <c:v>3.3</c:v>
                </c:pt>
                <c:pt idx="57">
                  <c:v>2.2999999999999998</c:v>
                </c:pt>
                <c:pt idx="58">
                  <c:v>4.3</c:v>
                </c:pt>
                <c:pt idx="59">
                  <c:v>4.5999999999999996</c:v>
                </c:pt>
                <c:pt idx="60">
                  <c:v>4</c:v>
                </c:pt>
                <c:pt idx="61">
                  <c:v>2.5</c:v>
                </c:pt>
                <c:pt idx="62">
                  <c:v>5</c:v>
                </c:pt>
                <c:pt idx="63">
                  <c:v>3.8</c:v>
                </c:pt>
                <c:pt idx="64">
                  <c:v>4.4000000000000004</c:v>
                </c:pt>
                <c:pt idx="65">
                  <c:v>3.8</c:v>
                </c:pt>
                <c:pt idx="66">
                  <c:v>2</c:v>
                </c:pt>
                <c:pt idx="67">
                  <c:v>4.0999999999999996</c:v>
                </c:pt>
                <c:pt idx="68">
                  <c:v>2.6</c:v>
                </c:pt>
                <c:pt idx="69">
                  <c:v>0</c:v>
                </c:pt>
                <c:pt idx="70">
                  <c:v>3.9</c:v>
                </c:pt>
                <c:pt idx="71">
                  <c:v>4.8</c:v>
                </c:pt>
                <c:pt idx="72">
                  <c:v>2.6</c:v>
                </c:pt>
                <c:pt idx="73">
                  <c:v>2.6</c:v>
                </c:pt>
                <c:pt idx="74">
                  <c:v>3.6</c:v>
                </c:pt>
                <c:pt idx="75">
                  <c:v>3.3</c:v>
                </c:pt>
                <c:pt idx="76">
                  <c:v>1.9</c:v>
                </c:pt>
                <c:pt idx="77">
                  <c:v>4.9000000000000004</c:v>
                </c:pt>
                <c:pt idx="78">
                  <c:v>3.6</c:v>
                </c:pt>
                <c:pt idx="79">
                  <c:v>4.5</c:v>
                </c:pt>
                <c:pt idx="80">
                  <c:v>3.7</c:v>
                </c:pt>
                <c:pt idx="81">
                  <c:v>4.8</c:v>
                </c:pt>
                <c:pt idx="82">
                  <c:v>3.3</c:v>
                </c:pt>
                <c:pt idx="83">
                  <c:v>3.1</c:v>
                </c:pt>
                <c:pt idx="84">
                  <c:v>4.0999999999999996</c:v>
                </c:pt>
                <c:pt idx="85">
                  <c:v>4.9000000000000004</c:v>
                </c:pt>
                <c:pt idx="86">
                  <c:v>4</c:v>
                </c:pt>
                <c:pt idx="87">
                  <c:v>2.1</c:v>
                </c:pt>
                <c:pt idx="88">
                  <c:v>4.5</c:v>
                </c:pt>
                <c:pt idx="89">
                  <c:v>4.9000000000000004</c:v>
                </c:pt>
                <c:pt idx="90">
                  <c:v>4.0999999999999996</c:v>
                </c:pt>
                <c:pt idx="91">
                  <c:v>4.5</c:v>
                </c:pt>
                <c:pt idx="92">
                  <c:v>4.8</c:v>
                </c:pt>
                <c:pt idx="93">
                  <c:v>4.5999999999999996</c:v>
                </c:pt>
                <c:pt idx="94">
                  <c:v>4.5999999999999996</c:v>
                </c:pt>
                <c:pt idx="95">
                  <c:v>4.3</c:v>
                </c:pt>
                <c:pt idx="96">
                  <c:v>5</c:v>
                </c:pt>
                <c:pt idx="97">
                  <c:v>4</c:v>
                </c:pt>
                <c:pt idx="98">
                  <c:v>4.5999999999999996</c:v>
                </c:pt>
                <c:pt idx="99">
                  <c:v>4.5</c:v>
                </c:pt>
                <c:pt idx="100">
                  <c:v>4.5999999999999996</c:v>
                </c:pt>
                <c:pt idx="101">
                  <c:v>2.6</c:v>
                </c:pt>
                <c:pt idx="102">
                  <c:v>4.3</c:v>
                </c:pt>
                <c:pt idx="103">
                  <c:v>3.9</c:v>
                </c:pt>
                <c:pt idx="104">
                  <c:v>5</c:v>
                </c:pt>
                <c:pt idx="105">
                  <c:v>3.5</c:v>
                </c:pt>
                <c:pt idx="106">
                  <c:v>4.7</c:v>
                </c:pt>
                <c:pt idx="107">
                  <c:v>2.9</c:v>
                </c:pt>
                <c:pt idx="108">
                  <c:v>3.4</c:v>
                </c:pt>
                <c:pt idx="109">
                  <c:v>3.2</c:v>
                </c:pt>
                <c:pt idx="110">
                  <c:v>4.8</c:v>
                </c:pt>
                <c:pt idx="111">
                  <c:v>3.6</c:v>
                </c:pt>
                <c:pt idx="112">
                  <c:v>4.9000000000000004</c:v>
                </c:pt>
                <c:pt idx="113">
                  <c:v>4.8</c:v>
                </c:pt>
                <c:pt idx="114">
                  <c:v>3.6</c:v>
                </c:pt>
                <c:pt idx="115">
                  <c:v>3.9</c:v>
                </c:pt>
                <c:pt idx="116">
                  <c:v>1.9</c:v>
                </c:pt>
                <c:pt idx="117">
                  <c:v>3.6</c:v>
                </c:pt>
                <c:pt idx="118">
                  <c:v>4.0999999999999996</c:v>
                </c:pt>
                <c:pt idx="119">
                  <c:v>4.2</c:v>
                </c:pt>
                <c:pt idx="120">
                  <c:v>4.3</c:v>
                </c:pt>
                <c:pt idx="121">
                  <c:v>2.2000000000000002</c:v>
                </c:pt>
                <c:pt idx="122">
                  <c:v>3.3</c:v>
                </c:pt>
                <c:pt idx="123">
                  <c:v>4.8</c:v>
                </c:pt>
                <c:pt idx="124">
                  <c:v>4</c:v>
                </c:pt>
                <c:pt idx="125">
                  <c:v>1.1000000000000001</c:v>
                </c:pt>
                <c:pt idx="126">
                  <c:v>3.9</c:v>
                </c:pt>
                <c:pt idx="127">
                  <c:v>1.8</c:v>
                </c:pt>
                <c:pt idx="128">
                  <c:v>1</c:v>
                </c:pt>
                <c:pt idx="129">
                  <c:v>4.3</c:v>
                </c:pt>
                <c:pt idx="130">
                  <c:v>3.4</c:v>
                </c:pt>
                <c:pt idx="131">
                  <c:v>3.4</c:v>
                </c:pt>
                <c:pt idx="132">
                  <c:v>4.0999999999999996</c:v>
                </c:pt>
                <c:pt idx="133">
                  <c:v>4.8</c:v>
                </c:pt>
                <c:pt idx="134">
                  <c:v>2</c:v>
                </c:pt>
                <c:pt idx="135">
                  <c:v>4.5999999999999996</c:v>
                </c:pt>
                <c:pt idx="136">
                  <c:v>2.6</c:v>
                </c:pt>
                <c:pt idx="137">
                  <c:v>4.9000000000000004</c:v>
                </c:pt>
                <c:pt idx="138">
                  <c:v>2.7</c:v>
                </c:pt>
                <c:pt idx="139">
                  <c:v>4.0999999999999996</c:v>
                </c:pt>
                <c:pt idx="140">
                  <c:v>4.4000000000000004</c:v>
                </c:pt>
                <c:pt idx="141">
                  <c:v>4.8</c:v>
                </c:pt>
                <c:pt idx="142">
                  <c:v>3</c:v>
                </c:pt>
                <c:pt idx="143">
                  <c:v>3.1</c:v>
                </c:pt>
                <c:pt idx="144">
                  <c:v>2.6</c:v>
                </c:pt>
                <c:pt idx="145">
                  <c:v>4.5999999999999996</c:v>
                </c:pt>
                <c:pt idx="146">
                  <c:v>3.7</c:v>
                </c:pt>
                <c:pt idx="147">
                  <c:v>3.8</c:v>
                </c:pt>
                <c:pt idx="148">
                  <c:v>3.6</c:v>
                </c:pt>
                <c:pt idx="149">
                  <c:v>4.4000000000000004</c:v>
                </c:pt>
                <c:pt idx="150">
                  <c:v>3.2</c:v>
                </c:pt>
                <c:pt idx="151">
                  <c:v>4.7</c:v>
                </c:pt>
                <c:pt idx="152">
                  <c:v>4.8</c:v>
                </c:pt>
                <c:pt idx="153">
                  <c:v>2.7</c:v>
                </c:pt>
                <c:pt idx="154">
                  <c:v>3.8</c:v>
                </c:pt>
                <c:pt idx="155">
                  <c:v>4.3</c:v>
                </c:pt>
                <c:pt idx="156">
                  <c:v>5</c:v>
                </c:pt>
                <c:pt idx="157">
                  <c:v>4.8</c:v>
                </c:pt>
                <c:pt idx="158">
                  <c:v>4.9000000000000004</c:v>
                </c:pt>
                <c:pt idx="159">
                  <c:v>4.0999999999999996</c:v>
                </c:pt>
                <c:pt idx="160">
                  <c:v>4.4000000000000004</c:v>
                </c:pt>
                <c:pt idx="161">
                  <c:v>3.4</c:v>
                </c:pt>
                <c:pt idx="162">
                  <c:v>4</c:v>
                </c:pt>
                <c:pt idx="163">
                  <c:v>2.4</c:v>
                </c:pt>
                <c:pt idx="164">
                  <c:v>2.1</c:v>
                </c:pt>
                <c:pt idx="165">
                  <c:v>3</c:v>
                </c:pt>
                <c:pt idx="166">
                  <c:v>3.2</c:v>
                </c:pt>
                <c:pt idx="167">
                  <c:v>3.4</c:v>
                </c:pt>
                <c:pt idx="168">
                  <c:v>2.7</c:v>
                </c:pt>
                <c:pt idx="169">
                  <c:v>5</c:v>
                </c:pt>
                <c:pt idx="170">
                  <c:v>3.4</c:v>
                </c:pt>
                <c:pt idx="171">
                  <c:v>4.7</c:v>
                </c:pt>
                <c:pt idx="172">
                  <c:v>4.5</c:v>
                </c:pt>
                <c:pt idx="173">
                  <c:v>4.0999999999999996</c:v>
                </c:pt>
                <c:pt idx="174">
                  <c:v>5</c:v>
                </c:pt>
                <c:pt idx="175">
                  <c:v>4.7</c:v>
                </c:pt>
                <c:pt idx="176">
                  <c:v>4.2</c:v>
                </c:pt>
                <c:pt idx="177">
                  <c:v>3.9</c:v>
                </c:pt>
                <c:pt idx="178">
                  <c:v>3</c:v>
                </c:pt>
                <c:pt idx="179">
                  <c:v>3.6</c:v>
                </c:pt>
                <c:pt idx="180">
                  <c:v>0.7</c:v>
                </c:pt>
                <c:pt idx="181">
                  <c:v>4.7</c:v>
                </c:pt>
                <c:pt idx="182">
                  <c:v>4.5</c:v>
                </c:pt>
                <c:pt idx="183">
                  <c:v>4.3</c:v>
                </c:pt>
                <c:pt idx="184">
                  <c:v>3.4</c:v>
                </c:pt>
                <c:pt idx="185">
                  <c:v>3.6</c:v>
                </c:pt>
                <c:pt idx="186">
                  <c:v>4</c:v>
                </c:pt>
                <c:pt idx="187">
                  <c:v>4.5</c:v>
                </c:pt>
                <c:pt idx="188">
                  <c:v>3</c:v>
                </c:pt>
                <c:pt idx="189">
                  <c:v>3</c:v>
                </c:pt>
                <c:pt idx="190">
                  <c:v>1.6</c:v>
                </c:pt>
                <c:pt idx="191">
                  <c:v>3</c:v>
                </c:pt>
                <c:pt idx="192">
                  <c:v>3.7</c:v>
                </c:pt>
                <c:pt idx="193">
                  <c:v>4.9000000000000004</c:v>
                </c:pt>
                <c:pt idx="194">
                  <c:v>3.4</c:v>
                </c:pt>
                <c:pt idx="195">
                  <c:v>5</c:v>
                </c:pt>
                <c:pt idx="196">
                  <c:v>5</c:v>
                </c:pt>
                <c:pt idx="197">
                  <c:v>4</c:v>
                </c:pt>
                <c:pt idx="198">
                  <c:v>3.6</c:v>
                </c:pt>
                <c:pt idx="199">
                  <c:v>3.7</c:v>
                </c:pt>
                <c:pt idx="200">
                  <c:v>4.2</c:v>
                </c:pt>
                <c:pt idx="201">
                  <c:v>2.1</c:v>
                </c:pt>
                <c:pt idx="202">
                  <c:v>4</c:v>
                </c:pt>
                <c:pt idx="203">
                  <c:v>4.2</c:v>
                </c:pt>
                <c:pt idx="204">
                  <c:v>3.1</c:v>
                </c:pt>
                <c:pt idx="205">
                  <c:v>4.8</c:v>
                </c:pt>
                <c:pt idx="206">
                  <c:v>4.7</c:v>
                </c:pt>
                <c:pt idx="207">
                  <c:v>3.3</c:v>
                </c:pt>
                <c:pt idx="208">
                  <c:v>3.7</c:v>
                </c:pt>
                <c:pt idx="209">
                  <c:v>4.9000000000000004</c:v>
                </c:pt>
                <c:pt idx="210">
                  <c:v>3.5</c:v>
                </c:pt>
                <c:pt idx="211">
                  <c:v>4.4000000000000004</c:v>
                </c:pt>
                <c:pt idx="212">
                  <c:v>2.8</c:v>
                </c:pt>
                <c:pt idx="213">
                  <c:v>4.0999999999999996</c:v>
                </c:pt>
                <c:pt idx="214">
                  <c:v>3.5</c:v>
                </c:pt>
                <c:pt idx="215">
                  <c:v>3.8</c:v>
                </c:pt>
                <c:pt idx="216">
                  <c:v>3.9</c:v>
                </c:pt>
                <c:pt idx="217">
                  <c:v>2.5</c:v>
                </c:pt>
                <c:pt idx="218">
                  <c:v>4.9000000000000004</c:v>
                </c:pt>
                <c:pt idx="219">
                  <c:v>3.4</c:v>
                </c:pt>
                <c:pt idx="220">
                  <c:v>3.3</c:v>
                </c:pt>
                <c:pt idx="221">
                  <c:v>4.7</c:v>
                </c:pt>
                <c:pt idx="222">
                  <c:v>4</c:v>
                </c:pt>
                <c:pt idx="223">
                  <c:v>3.8</c:v>
                </c:pt>
                <c:pt idx="224">
                  <c:v>3.1</c:v>
                </c:pt>
                <c:pt idx="225">
                  <c:v>4.8</c:v>
                </c:pt>
                <c:pt idx="226">
                  <c:v>2.7</c:v>
                </c:pt>
                <c:pt idx="227">
                  <c:v>3.6</c:v>
                </c:pt>
                <c:pt idx="228">
                  <c:v>4.7</c:v>
                </c:pt>
                <c:pt idx="229">
                  <c:v>4.4000000000000004</c:v>
                </c:pt>
                <c:pt idx="230">
                  <c:v>4.3</c:v>
                </c:pt>
                <c:pt idx="231">
                  <c:v>4.9000000000000004</c:v>
                </c:pt>
                <c:pt idx="232">
                  <c:v>4.8</c:v>
                </c:pt>
                <c:pt idx="233">
                  <c:v>3.2</c:v>
                </c:pt>
                <c:pt idx="234">
                  <c:v>3.4</c:v>
                </c:pt>
                <c:pt idx="235">
                  <c:v>3.5</c:v>
                </c:pt>
                <c:pt idx="236">
                  <c:v>4.9000000000000004</c:v>
                </c:pt>
                <c:pt idx="237">
                  <c:v>4.0999999999999996</c:v>
                </c:pt>
                <c:pt idx="238">
                  <c:v>4.9000000000000004</c:v>
                </c:pt>
                <c:pt idx="239">
                  <c:v>4.3</c:v>
                </c:pt>
                <c:pt idx="240">
                  <c:v>4.0999999999999996</c:v>
                </c:pt>
                <c:pt idx="241">
                  <c:v>4.4000000000000004</c:v>
                </c:pt>
                <c:pt idx="242">
                  <c:v>4.5</c:v>
                </c:pt>
                <c:pt idx="243">
                  <c:v>3.5</c:v>
                </c:pt>
                <c:pt idx="244">
                  <c:v>4.4000000000000004</c:v>
                </c:pt>
                <c:pt idx="245">
                  <c:v>3.5</c:v>
                </c:pt>
                <c:pt idx="246">
                  <c:v>3.8</c:v>
                </c:pt>
                <c:pt idx="247">
                  <c:v>3.3</c:v>
                </c:pt>
                <c:pt idx="248">
                  <c:v>4.4000000000000004</c:v>
                </c:pt>
                <c:pt idx="249">
                  <c:v>3.9</c:v>
                </c:pt>
                <c:pt idx="250">
                  <c:v>2.7</c:v>
                </c:pt>
                <c:pt idx="251">
                  <c:v>2.9</c:v>
                </c:pt>
                <c:pt idx="252">
                  <c:v>4</c:v>
                </c:pt>
                <c:pt idx="253">
                  <c:v>4.4000000000000004</c:v>
                </c:pt>
                <c:pt idx="254">
                  <c:v>5</c:v>
                </c:pt>
                <c:pt idx="255">
                  <c:v>4.0999999999999996</c:v>
                </c:pt>
                <c:pt idx="256">
                  <c:v>4.4000000000000004</c:v>
                </c:pt>
                <c:pt idx="257">
                  <c:v>4.0999999999999996</c:v>
                </c:pt>
                <c:pt idx="258">
                  <c:v>4.5</c:v>
                </c:pt>
                <c:pt idx="259">
                  <c:v>4.2</c:v>
                </c:pt>
                <c:pt idx="260">
                  <c:v>4.5999999999999996</c:v>
                </c:pt>
                <c:pt idx="261">
                  <c:v>4.5</c:v>
                </c:pt>
                <c:pt idx="262">
                  <c:v>4.0999999999999996</c:v>
                </c:pt>
                <c:pt idx="263">
                  <c:v>4.8</c:v>
                </c:pt>
                <c:pt idx="264">
                  <c:v>3.1</c:v>
                </c:pt>
                <c:pt idx="265">
                  <c:v>4.9000000000000004</c:v>
                </c:pt>
                <c:pt idx="266">
                  <c:v>4.0999999999999996</c:v>
                </c:pt>
                <c:pt idx="267">
                  <c:v>4.4000000000000004</c:v>
                </c:pt>
                <c:pt idx="268">
                  <c:v>4.4000000000000004</c:v>
                </c:pt>
                <c:pt idx="269">
                  <c:v>3</c:v>
                </c:pt>
                <c:pt idx="270">
                  <c:v>4.4000000000000004</c:v>
                </c:pt>
                <c:pt idx="271">
                  <c:v>3.7</c:v>
                </c:pt>
                <c:pt idx="272">
                  <c:v>3.9</c:v>
                </c:pt>
                <c:pt idx="273">
                  <c:v>3.5</c:v>
                </c:pt>
                <c:pt idx="274">
                  <c:v>3.5</c:v>
                </c:pt>
                <c:pt idx="275">
                  <c:v>3.4</c:v>
                </c:pt>
                <c:pt idx="276">
                  <c:v>4.5</c:v>
                </c:pt>
                <c:pt idx="277">
                  <c:v>4.2</c:v>
                </c:pt>
                <c:pt idx="278">
                  <c:v>5</c:v>
                </c:pt>
                <c:pt idx="279">
                  <c:v>4.7</c:v>
                </c:pt>
                <c:pt idx="280">
                  <c:v>2.8</c:v>
                </c:pt>
                <c:pt idx="281">
                  <c:v>3.4</c:v>
                </c:pt>
                <c:pt idx="282">
                  <c:v>1.8</c:v>
                </c:pt>
                <c:pt idx="283">
                  <c:v>4.2</c:v>
                </c:pt>
                <c:pt idx="284">
                  <c:v>4.4000000000000004</c:v>
                </c:pt>
                <c:pt idx="285">
                  <c:v>2.7</c:v>
                </c:pt>
                <c:pt idx="286">
                  <c:v>5</c:v>
                </c:pt>
                <c:pt idx="287">
                  <c:v>3.9</c:v>
                </c:pt>
                <c:pt idx="288">
                  <c:v>3.8</c:v>
                </c:pt>
                <c:pt idx="289">
                  <c:v>4.5999999999999996</c:v>
                </c:pt>
                <c:pt idx="290">
                  <c:v>4.5999999999999996</c:v>
                </c:pt>
                <c:pt idx="291">
                  <c:v>4.5</c:v>
                </c:pt>
                <c:pt idx="292">
                  <c:v>4.2</c:v>
                </c:pt>
                <c:pt idx="293">
                  <c:v>4.5</c:v>
                </c:pt>
                <c:pt idx="294">
                  <c:v>4.0999999999999996</c:v>
                </c:pt>
                <c:pt idx="295">
                  <c:v>3.3</c:v>
                </c:pt>
                <c:pt idx="296">
                  <c:v>3.8</c:v>
                </c:pt>
                <c:pt idx="297">
                  <c:v>3</c:v>
                </c:pt>
                <c:pt idx="298">
                  <c:v>4.5999999999999996</c:v>
                </c:pt>
                <c:pt idx="299">
                  <c:v>2.9</c:v>
                </c:pt>
                <c:pt idx="300">
                  <c:v>3.2</c:v>
                </c:pt>
                <c:pt idx="301">
                  <c:v>1.5</c:v>
                </c:pt>
                <c:pt idx="302">
                  <c:v>4</c:v>
                </c:pt>
                <c:pt idx="303">
                  <c:v>3.6</c:v>
                </c:pt>
                <c:pt idx="304">
                  <c:v>3.7</c:v>
                </c:pt>
                <c:pt idx="305">
                  <c:v>4.8</c:v>
                </c:pt>
                <c:pt idx="306">
                  <c:v>1.2</c:v>
                </c:pt>
                <c:pt idx="307">
                  <c:v>4.7</c:v>
                </c:pt>
                <c:pt idx="308">
                  <c:v>4.7</c:v>
                </c:pt>
                <c:pt idx="309">
                  <c:v>4.5</c:v>
                </c:pt>
                <c:pt idx="310">
                  <c:v>3.5</c:v>
                </c:pt>
                <c:pt idx="311">
                  <c:v>4.0999999999999996</c:v>
                </c:pt>
                <c:pt idx="312">
                  <c:v>4.4000000000000004</c:v>
                </c:pt>
                <c:pt idx="313">
                  <c:v>3.6</c:v>
                </c:pt>
                <c:pt idx="314">
                  <c:v>4.0999999999999996</c:v>
                </c:pt>
                <c:pt idx="315">
                  <c:v>4.8</c:v>
                </c:pt>
                <c:pt idx="316">
                  <c:v>3.9</c:v>
                </c:pt>
                <c:pt idx="317">
                  <c:v>3.8</c:v>
                </c:pt>
                <c:pt idx="318">
                  <c:v>3.9</c:v>
                </c:pt>
                <c:pt idx="319">
                  <c:v>4.0999999999999996</c:v>
                </c:pt>
                <c:pt idx="320">
                  <c:v>2.2000000000000002</c:v>
                </c:pt>
                <c:pt idx="321">
                  <c:v>5</c:v>
                </c:pt>
                <c:pt idx="322">
                  <c:v>3.8</c:v>
                </c:pt>
                <c:pt idx="323">
                  <c:v>4.5999999999999996</c:v>
                </c:pt>
                <c:pt idx="324">
                  <c:v>4</c:v>
                </c:pt>
                <c:pt idx="325">
                  <c:v>2.8</c:v>
                </c:pt>
                <c:pt idx="326">
                  <c:v>4.4000000000000004</c:v>
                </c:pt>
                <c:pt idx="327">
                  <c:v>2.4</c:v>
                </c:pt>
                <c:pt idx="328">
                  <c:v>4</c:v>
                </c:pt>
                <c:pt idx="329">
                  <c:v>4.4000000000000004</c:v>
                </c:pt>
                <c:pt idx="330">
                  <c:v>2.9</c:v>
                </c:pt>
                <c:pt idx="331">
                  <c:v>4.8</c:v>
                </c:pt>
                <c:pt idx="332">
                  <c:v>3.7</c:v>
                </c:pt>
                <c:pt idx="333">
                  <c:v>4.8</c:v>
                </c:pt>
                <c:pt idx="334">
                  <c:v>3.2</c:v>
                </c:pt>
                <c:pt idx="335">
                  <c:v>4.9000000000000004</c:v>
                </c:pt>
                <c:pt idx="336">
                  <c:v>2.2000000000000002</c:v>
                </c:pt>
                <c:pt idx="337">
                  <c:v>5</c:v>
                </c:pt>
                <c:pt idx="338">
                  <c:v>3.3</c:v>
                </c:pt>
                <c:pt idx="339">
                  <c:v>3.7</c:v>
                </c:pt>
                <c:pt idx="340">
                  <c:v>3.7</c:v>
                </c:pt>
                <c:pt idx="341">
                  <c:v>3.6</c:v>
                </c:pt>
                <c:pt idx="342">
                  <c:v>4.7</c:v>
                </c:pt>
                <c:pt idx="343">
                  <c:v>3.1</c:v>
                </c:pt>
                <c:pt idx="344">
                  <c:v>3.3</c:v>
                </c:pt>
                <c:pt idx="345">
                  <c:v>4.5</c:v>
                </c:pt>
                <c:pt idx="346">
                  <c:v>3.9</c:v>
                </c:pt>
                <c:pt idx="347">
                  <c:v>4.9000000000000004</c:v>
                </c:pt>
                <c:pt idx="348">
                  <c:v>4.8</c:v>
                </c:pt>
                <c:pt idx="349">
                  <c:v>3.6</c:v>
                </c:pt>
                <c:pt idx="350">
                  <c:v>3.5</c:v>
                </c:pt>
                <c:pt idx="351">
                  <c:v>3.8</c:v>
                </c:pt>
                <c:pt idx="352">
                  <c:v>4.4000000000000004</c:v>
                </c:pt>
                <c:pt idx="353">
                  <c:v>3</c:v>
                </c:pt>
                <c:pt idx="354">
                  <c:v>4.5</c:v>
                </c:pt>
                <c:pt idx="355">
                  <c:v>4.5</c:v>
                </c:pt>
                <c:pt idx="356">
                  <c:v>4</c:v>
                </c:pt>
                <c:pt idx="357">
                  <c:v>3.8</c:v>
                </c:pt>
                <c:pt idx="358">
                  <c:v>3.3</c:v>
                </c:pt>
                <c:pt idx="359">
                  <c:v>4.3</c:v>
                </c:pt>
                <c:pt idx="360">
                  <c:v>4.2</c:v>
                </c:pt>
                <c:pt idx="361">
                  <c:v>4.3</c:v>
                </c:pt>
                <c:pt idx="362">
                  <c:v>4.5999999999999996</c:v>
                </c:pt>
                <c:pt idx="363">
                  <c:v>3</c:v>
                </c:pt>
                <c:pt idx="364">
                  <c:v>2.7</c:v>
                </c:pt>
                <c:pt idx="365">
                  <c:v>3.1</c:v>
                </c:pt>
                <c:pt idx="366">
                  <c:v>2.6</c:v>
                </c:pt>
                <c:pt idx="367">
                  <c:v>4.5999999999999996</c:v>
                </c:pt>
                <c:pt idx="368">
                  <c:v>4</c:v>
                </c:pt>
                <c:pt idx="369">
                  <c:v>4.5</c:v>
                </c:pt>
                <c:pt idx="370">
                  <c:v>1.9</c:v>
                </c:pt>
                <c:pt idx="371">
                  <c:v>2.6</c:v>
                </c:pt>
                <c:pt idx="372">
                  <c:v>4.3</c:v>
                </c:pt>
                <c:pt idx="373">
                  <c:v>4.4000000000000004</c:v>
                </c:pt>
                <c:pt idx="374">
                  <c:v>4.3</c:v>
                </c:pt>
                <c:pt idx="375">
                  <c:v>4.5</c:v>
                </c:pt>
                <c:pt idx="376">
                  <c:v>4.2</c:v>
                </c:pt>
                <c:pt idx="377">
                  <c:v>3.9</c:v>
                </c:pt>
                <c:pt idx="378">
                  <c:v>3.6</c:v>
                </c:pt>
                <c:pt idx="379">
                  <c:v>3.8</c:v>
                </c:pt>
                <c:pt idx="380">
                  <c:v>4.9000000000000004</c:v>
                </c:pt>
                <c:pt idx="381">
                  <c:v>4</c:v>
                </c:pt>
                <c:pt idx="382">
                  <c:v>4.0999999999999996</c:v>
                </c:pt>
                <c:pt idx="383">
                  <c:v>4.8</c:v>
                </c:pt>
                <c:pt idx="384">
                  <c:v>2.2999999999999998</c:v>
                </c:pt>
                <c:pt idx="385">
                  <c:v>4.4000000000000004</c:v>
                </c:pt>
                <c:pt idx="386">
                  <c:v>3.8</c:v>
                </c:pt>
                <c:pt idx="387">
                  <c:v>5</c:v>
                </c:pt>
                <c:pt idx="388">
                  <c:v>3.3</c:v>
                </c:pt>
                <c:pt idx="389">
                  <c:v>5</c:v>
                </c:pt>
                <c:pt idx="390">
                  <c:v>2.2999999999999998</c:v>
                </c:pt>
                <c:pt idx="391">
                  <c:v>4.8</c:v>
                </c:pt>
                <c:pt idx="392">
                  <c:v>3.7</c:v>
                </c:pt>
                <c:pt idx="393">
                  <c:v>4.2</c:v>
                </c:pt>
                <c:pt idx="394">
                  <c:v>4.8</c:v>
                </c:pt>
                <c:pt idx="395">
                  <c:v>4.7</c:v>
                </c:pt>
                <c:pt idx="396">
                  <c:v>3.9</c:v>
                </c:pt>
                <c:pt idx="397">
                  <c:v>4.3</c:v>
                </c:pt>
                <c:pt idx="398">
                  <c:v>4</c:v>
                </c:pt>
                <c:pt idx="399">
                  <c:v>4</c:v>
                </c:pt>
                <c:pt idx="400">
                  <c:v>3.2</c:v>
                </c:pt>
                <c:pt idx="401">
                  <c:v>3.8</c:v>
                </c:pt>
                <c:pt idx="402">
                  <c:v>3.4</c:v>
                </c:pt>
                <c:pt idx="403">
                  <c:v>3.2</c:v>
                </c:pt>
                <c:pt idx="404">
                  <c:v>4.7</c:v>
                </c:pt>
                <c:pt idx="405">
                  <c:v>4</c:v>
                </c:pt>
                <c:pt idx="406">
                  <c:v>4.8</c:v>
                </c:pt>
                <c:pt idx="407">
                  <c:v>3.9</c:v>
                </c:pt>
                <c:pt idx="408">
                  <c:v>4.3</c:v>
                </c:pt>
                <c:pt idx="409">
                  <c:v>4.2</c:v>
                </c:pt>
                <c:pt idx="410">
                  <c:v>4.9000000000000004</c:v>
                </c:pt>
                <c:pt idx="411">
                  <c:v>4</c:v>
                </c:pt>
                <c:pt idx="412">
                  <c:v>4.9000000000000004</c:v>
                </c:pt>
                <c:pt idx="413">
                  <c:v>3.6</c:v>
                </c:pt>
                <c:pt idx="414">
                  <c:v>4.0999999999999996</c:v>
                </c:pt>
                <c:pt idx="415">
                  <c:v>4.9000000000000004</c:v>
                </c:pt>
                <c:pt idx="416">
                  <c:v>3.9</c:v>
                </c:pt>
                <c:pt idx="417">
                  <c:v>4.0999999999999996</c:v>
                </c:pt>
                <c:pt idx="418">
                  <c:v>3.8</c:v>
                </c:pt>
                <c:pt idx="419">
                  <c:v>4.8</c:v>
                </c:pt>
                <c:pt idx="420">
                  <c:v>4.7</c:v>
                </c:pt>
                <c:pt idx="421">
                  <c:v>4.2</c:v>
                </c:pt>
                <c:pt idx="422">
                  <c:v>3.2</c:v>
                </c:pt>
                <c:pt idx="423">
                  <c:v>3.4</c:v>
                </c:pt>
                <c:pt idx="424">
                  <c:v>4.5999999999999996</c:v>
                </c:pt>
                <c:pt idx="425">
                  <c:v>1.9</c:v>
                </c:pt>
                <c:pt idx="426">
                  <c:v>3.3</c:v>
                </c:pt>
                <c:pt idx="427">
                  <c:v>3.1</c:v>
                </c:pt>
                <c:pt idx="428">
                  <c:v>4.8</c:v>
                </c:pt>
                <c:pt idx="429">
                  <c:v>3.3</c:v>
                </c:pt>
                <c:pt idx="430">
                  <c:v>2.9</c:v>
                </c:pt>
                <c:pt idx="431">
                  <c:v>2.4</c:v>
                </c:pt>
                <c:pt idx="432">
                  <c:v>4.5999999999999996</c:v>
                </c:pt>
                <c:pt idx="433">
                  <c:v>4.8</c:v>
                </c:pt>
                <c:pt idx="434">
                  <c:v>4.8</c:v>
                </c:pt>
                <c:pt idx="435">
                  <c:v>3.6</c:v>
                </c:pt>
                <c:pt idx="436">
                  <c:v>4.8</c:v>
                </c:pt>
                <c:pt idx="437">
                  <c:v>4.2</c:v>
                </c:pt>
                <c:pt idx="438">
                  <c:v>2.6</c:v>
                </c:pt>
                <c:pt idx="439">
                  <c:v>3.7</c:v>
                </c:pt>
                <c:pt idx="440">
                  <c:v>4.8</c:v>
                </c:pt>
                <c:pt idx="441">
                  <c:v>4.7</c:v>
                </c:pt>
                <c:pt idx="442">
                  <c:v>4.0999999999999996</c:v>
                </c:pt>
                <c:pt idx="443">
                  <c:v>3.2</c:v>
                </c:pt>
                <c:pt idx="444">
                  <c:v>4.3</c:v>
                </c:pt>
                <c:pt idx="445">
                  <c:v>0.7</c:v>
                </c:pt>
                <c:pt idx="446">
                  <c:v>3.7</c:v>
                </c:pt>
                <c:pt idx="447">
                  <c:v>3.9</c:v>
                </c:pt>
                <c:pt idx="448">
                  <c:v>4.5</c:v>
                </c:pt>
                <c:pt idx="449">
                  <c:v>2.8</c:v>
                </c:pt>
                <c:pt idx="450">
                  <c:v>4.9000000000000004</c:v>
                </c:pt>
                <c:pt idx="451">
                  <c:v>4.2</c:v>
                </c:pt>
                <c:pt idx="452">
                  <c:v>4.4000000000000004</c:v>
                </c:pt>
                <c:pt idx="453">
                  <c:v>3.5</c:v>
                </c:pt>
                <c:pt idx="454">
                  <c:v>4.7</c:v>
                </c:pt>
                <c:pt idx="455">
                  <c:v>4.9000000000000004</c:v>
                </c:pt>
                <c:pt idx="456">
                  <c:v>4.5</c:v>
                </c:pt>
                <c:pt idx="457">
                  <c:v>4.9000000000000004</c:v>
                </c:pt>
                <c:pt idx="458">
                  <c:v>3.6</c:v>
                </c:pt>
                <c:pt idx="459">
                  <c:v>3.8</c:v>
                </c:pt>
                <c:pt idx="460">
                  <c:v>3.5</c:v>
                </c:pt>
                <c:pt idx="461">
                  <c:v>4.8</c:v>
                </c:pt>
                <c:pt idx="462">
                  <c:v>4.5</c:v>
                </c:pt>
                <c:pt idx="463">
                  <c:v>3.3</c:v>
                </c:pt>
                <c:pt idx="464">
                  <c:v>3.2</c:v>
                </c:pt>
                <c:pt idx="465">
                  <c:v>4.9000000000000004</c:v>
                </c:pt>
                <c:pt idx="466">
                  <c:v>4.8</c:v>
                </c:pt>
                <c:pt idx="467">
                  <c:v>1.3</c:v>
                </c:pt>
                <c:pt idx="468">
                  <c:v>3.1</c:v>
                </c:pt>
                <c:pt idx="469">
                  <c:v>3.4</c:v>
                </c:pt>
                <c:pt idx="470">
                  <c:v>4.5999999999999996</c:v>
                </c:pt>
                <c:pt idx="471">
                  <c:v>4.3</c:v>
                </c:pt>
                <c:pt idx="472">
                  <c:v>2.7</c:v>
                </c:pt>
                <c:pt idx="473">
                  <c:v>4.2</c:v>
                </c:pt>
                <c:pt idx="474">
                  <c:v>4.9000000000000004</c:v>
                </c:pt>
                <c:pt idx="475">
                  <c:v>3.2</c:v>
                </c:pt>
                <c:pt idx="476">
                  <c:v>4.7</c:v>
                </c:pt>
                <c:pt idx="477">
                  <c:v>4.3</c:v>
                </c:pt>
                <c:pt idx="478">
                  <c:v>4.3</c:v>
                </c:pt>
                <c:pt idx="479">
                  <c:v>3.7</c:v>
                </c:pt>
                <c:pt idx="480">
                  <c:v>4.7</c:v>
                </c:pt>
                <c:pt idx="481">
                  <c:v>4.9000000000000004</c:v>
                </c:pt>
                <c:pt idx="482">
                  <c:v>3.9</c:v>
                </c:pt>
                <c:pt idx="483">
                  <c:v>4.5</c:v>
                </c:pt>
                <c:pt idx="484">
                  <c:v>4.5999999999999996</c:v>
                </c:pt>
                <c:pt idx="485">
                  <c:v>3.3</c:v>
                </c:pt>
                <c:pt idx="486">
                  <c:v>3.8</c:v>
                </c:pt>
                <c:pt idx="487">
                  <c:v>4.7</c:v>
                </c:pt>
                <c:pt idx="488">
                  <c:v>4</c:v>
                </c:pt>
                <c:pt idx="489">
                  <c:v>4.7</c:v>
                </c:pt>
                <c:pt idx="490">
                  <c:v>2.5</c:v>
                </c:pt>
                <c:pt idx="491">
                  <c:v>3.6</c:v>
                </c:pt>
                <c:pt idx="492">
                  <c:v>3.7</c:v>
                </c:pt>
                <c:pt idx="493">
                  <c:v>3.9</c:v>
                </c:pt>
                <c:pt idx="494">
                  <c:v>3.7</c:v>
                </c:pt>
                <c:pt idx="495">
                  <c:v>4.3</c:v>
                </c:pt>
                <c:pt idx="496">
                  <c:v>2.9</c:v>
                </c:pt>
                <c:pt idx="497">
                  <c:v>4.3</c:v>
                </c:pt>
                <c:pt idx="498">
                  <c:v>4.9000000000000004</c:v>
                </c:pt>
                <c:pt idx="499">
                  <c:v>4</c:v>
                </c:pt>
                <c:pt idx="500">
                  <c:v>4</c:v>
                </c:pt>
                <c:pt idx="501">
                  <c:v>3.4</c:v>
                </c:pt>
                <c:pt idx="502">
                  <c:v>3.9</c:v>
                </c:pt>
                <c:pt idx="503">
                  <c:v>2.1</c:v>
                </c:pt>
                <c:pt idx="504">
                  <c:v>4.9000000000000004</c:v>
                </c:pt>
                <c:pt idx="505">
                  <c:v>3.4</c:v>
                </c:pt>
                <c:pt idx="506">
                  <c:v>5</c:v>
                </c:pt>
                <c:pt idx="507">
                  <c:v>4.5</c:v>
                </c:pt>
                <c:pt idx="508">
                  <c:v>2.6</c:v>
                </c:pt>
                <c:pt idx="509">
                  <c:v>4.2</c:v>
                </c:pt>
                <c:pt idx="510">
                  <c:v>4.5</c:v>
                </c:pt>
                <c:pt idx="511">
                  <c:v>4.4000000000000004</c:v>
                </c:pt>
                <c:pt idx="512">
                  <c:v>3.5</c:v>
                </c:pt>
                <c:pt idx="513">
                  <c:v>3</c:v>
                </c:pt>
                <c:pt idx="514">
                  <c:v>4.7</c:v>
                </c:pt>
                <c:pt idx="515">
                  <c:v>3</c:v>
                </c:pt>
                <c:pt idx="516">
                  <c:v>3.6</c:v>
                </c:pt>
                <c:pt idx="517">
                  <c:v>4.0999999999999996</c:v>
                </c:pt>
                <c:pt idx="518">
                  <c:v>3.7</c:v>
                </c:pt>
                <c:pt idx="519">
                  <c:v>4.5</c:v>
                </c:pt>
                <c:pt idx="520">
                  <c:v>4.5999999999999996</c:v>
                </c:pt>
                <c:pt idx="521">
                  <c:v>4.3</c:v>
                </c:pt>
                <c:pt idx="522">
                  <c:v>4.8</c:v>
                </c:pt>
                <c:pt idx="523">
                  <c:v>4.7</c:v>
                </c:pt>
                <c:pt idx="524">
                  <c:v>2.2000000000000002</c:v>
                </c:pt>
                <c:pt idx="525">
                  <c:v>4.4000000000000004</c:v>
                </c:pt>
                <c:pt idx="526">
                  <c:v>4.0999999999999996</c:v>
                </c:pt>
                <c:pt idx="527">
                  <c:v>4.0999999999999996</c:v>
                </c:pt>
                <c:pt idx="528">
                  <c:v>4.4000000000000004</c:v>
                </c:pt>
                <c:pt idx="529">
                  <c:v>3.7</c:v>
                </c:pt>
                <c:pt idx="530">
                  <c:v>3.8</c:v>
                </c:pt>
                <c:pt idx="531">
                  <c:v>4.3</c:v>
                </c:pt>
                <c:pt idx="532">
                  <c:v>3.5</c:v>
                </c:pt>
                <c:pt idx="533">
                  <c:v>4.0999999999999996</c:v>
                </c:pt>
                <c:pt idx="534">
                  <c:v>4.2</c:v>
                </c:pt>
                <c:pt idx="535">
                  <c:v>4.5</c:v>
                </c:pt>
                <c:pt idx="536">
                  <c:v>3.8</c:v>
                </c:pt>
                <c:pt idx="537">
                  <c:v>4.0999999999999996</c:v>
                </c:pt>
                <c:pt idx="538">
                  <c:v>4.4000000000000004</c:v>
                </c:pt>
                <c:pt idx="539">
                  <c:v>4.5999999999999996</c:v>
                </c:pt>
                <c:pt idx="540">
                  <c:v>3.4</c:v>
                </c:pt>
                <c:pt idx="541">
                  <c:v>4.5999999999999996</c:v>
                </c:pt>
                <c:pt idx="542">
                  <c:v>3.9</c:v>
                </c:pt>
                <c:pt idx="543">
                  <c:v>4</c:v>
                </c:pt>
                <c:pt idx="544">
                  <c:v>3.4</c:v>
                </c:pt>
                <c:pt idx="545">
                  <c:v>3.2</c:v>
                </c:pt>
                <c:pt idx="546">
                  <c:v>3.9</c:v>
                </c:pt>
                <c:pt idx="547">
                  <c:v>5</c:v>
                </c:pt>
                <c:pt idx="548">
                  <c:v>3.5</c:v>
                </c:pt>
                <c:pt idx="549">
                  <c:v>3.8</c:v>
                </c:pt>
                <c:pt idx="550">
                  <c:v>4.8</c:v>
                </c:pt>
                <c:pt idx="551">
                  <c:v>4.2</c:v>
                </c:pt>
                <c:pt idx="552">
                  <c:v>3.7</c:v>
                </c:pt>
                <c:pt idx="553">
                  <c:v>4.8</c:v>
                </c:pt>
                <c:pt idx="554">
                  <c:v>4.8</c:v>
                </c:pt>
                <c:pt idx="555">
                  <c:v>2.9</c:v>
                </c:pt>
                <c:pt idx="556">
                  <c:v>3.5</c:v>
                </c:pt>
                <c:pt idx="557">
                  <c:v>0.9</c:v>
                </c:pt>
                <c:pt idx="558">
                  <c:v>3.4</c:v>
                </c:pt>
                <c:pt idx="559">
                  <c:v>2.7</c:v>
                </c:pt>
                <c:pt idx="560">
                  <c:v>4.7</c:v>
                </c:pt>
                <c:pt idx="561">
                  <c:v>3</c:v>
                </c:pt>
                <c:pt idx="562">
                  <c:v>4.2</c:v>
                </c:pt>
                <c:pt idx="563">
                  <c:v>4.8</c:v>
                </c:pt>
                <c:pt idx="564">
                  <c:v>4.0999999999999996</c:v>
                </c:pt>
                <c:pt idx="565">
                  <c:v>2.7</c:v>
                </c:pt>
                <c:pt idx="566">
                  <c:v>2.9</c:v>
                </c:pt>
                <c:pt idx="567">
                  <c:v>5</c:v>
                </c:pt>
                <c:pt idx="568">
                  <c:v>4.5999999999999996</c:v>
                </c:pt>
                <c:pt idx="569">
                  <c:v>3</c:v>
                </c:pt>
                <c:pt idx="570">
                  <c:v>4.5999999999999996</c:v>
                </c:pt>
                <c:pt idx="571">
                  <c:v>4.5</c:v>
                </c:pt>
                <c:pt idx="572">
                  <c:v>3.7</c:v>
                </c:pt>
                <c:pt idx="573">
                  <c:v>2.4</c:v>
                </c:pt>
                <c:pt idx="574">
                  <c:v>4.3</c:v>
                </c:pt>
                <c:pt idx="575">
                  <c:v>3.9</c:v>
                </c:pt>
                <c:pt idx="576">
                  <c:v>4.5</c:v>
                </c:pt>
                <c:pt idx="577">
                  <c:v>5</c:v>
                </c:pt>
                <c:pt idx="578">
                  <c:v>1.6</c:v>
                </c:pt>
                <c:pt idx="579">
                  <c:v>4.3</c:v>
                </c:pt>
                <c:pt idx="580">
                  <c:v>3.5</c:v>
                </c:pt>
                <c:pt idx="581">
                  <c:v>3.1</c:v>
                </c:pt>
                <c:pt idx="582">
                  <c:v>2.9</c:v>
                </c:pt>
                <c:pt idx="583">
                  <c:v>3.2</c:v>
                </c:pt>
                <c:pt idx="584">
                  <c:v>3.2</c:v>
                </c:pt>
                <c:pt idx="585">
                  <c:v>4.5</c:v>
                </c:pt>
                <c:pt idx="586">
                  <c:v>3.9</c:v>
                </c:pt>
                <c:pt idx="587">
                  <c:v>4.2</c:v>
                </c:pt>
                <c:pt idx="588">
                  <c:v>1.8</c:v>
                </c:pt>
                <c:pt idx="589">
                  <c:v>4.2</c:v>
                </c:pt>
                <c:pt idx="590">
                  <c:v>3.1</c:v>
                </c:pt>
                <c:pt idx="591">
                  <c:v>4.3</c:v>
                </c:pt>
                <c:pt idx="592">
                  <c:v>4.4000000000000004</c:v>
                </c:pt>
                <c:pt idx="593">
                  <c:v>4.4000000000000004</c:v>
                </c:pt>
                <c:pt idx="594">
                  <c:v>2.4</c:v>
                </c:pt>
                <c:pt idx="595">
                  <c:v>3.5</c:v>
                </c:pt>
                <c:pt idx="596">
                  <c:v>3.1</c:v>
                </c:pt>
                <c:pt idx="597">
                  <c:v>2.2999999999999998</c:v>
                </c:pt>
                <c:pt idx="598">
                  <c:v>2.8</c:v>
                </c:pt>
                <c:pt idx="599">
                  <c:v>4.5</c:v>
                </c:pt>
                <c:pt idx="600">
                  <c:v>4.5</c:v>
                </c:pt>
                <c:pt idx="601">
                  <c:v>4.5</c:v>
                </c:pt>
                <c:pt idx="602">
                  <c:v>4.8</c:v>
                </c:pt>
                <c:pt idx="603">
                  <c:v>4.5999999999999996</c:v>
                </c:pt>
                <c:pt idx="604">
                  <c:v>4.5</c:v>
                </c:pt>
                <c:pt idx="605">
                  <c:v>5</c:v>
                </c:pt>
                <c:pt idx="606">
                  <c:v>4.8</c:v>
                </c:pt>
                <c:pt idx="607">
                  <c:v>3.5</c:v>
                </c:pt>
                <c:pt idx="608">
                  <c:v>3.4</c:v>
                </c:pt>
                <c:pt idx="609">
                  <c:v>3.3</c:v>
                </c:pt>
                <c:pt idx="610">
                  <c:v>4.9000000000000004</c:v>
                </c:pt>
                <c:pt idx="611">
                  <c:v>4.5</c:v>
                </c:pt>
                <c:pt idx="612">
                  <c:v>4.8</c:v>
                </c:pt>
                <c:pt idx="613">
                  <c:v>4.8</c:v>
                </c:pt>
                <c:pt idx="614">
                  <c:v>3.9</c:v>
                </c:pt>
                <c:pt idx="615">
                  <c:v>3.9</c:v>
                </c:pt>
                <c:pt idx="616">
                  <c:v>3.7</c:v>
                </c:pt>
                <c:pt idx="617">
                  <c:v>4.8</c:v>
                </c:pt>
                <c:pt idx="618">
                  <c:v>3.5</c:v>
                </c:pt>
                <c:pt idx="619">
                  <c:v>4.2</c:v>
                </c:pt>
                <c:pt idx="620">
                  <c:v>4.9000000000000004</c:v>
                </c:pt>
                <c:pt idx="621">
                  <c:v>4.5999999999999996</c:v>
                </c:pt>
                <c:pt idx="622">
                  <c:v>2.6</c:v>
                </c:pt>
                <c:pt idx="623">
                  <c:v>2.7</c:v>
                </c:pt>
                <c:pt idx="624">
                  <c:v>4.7</c:v>
                </c:pt>
                <c:pt idx="625">
                  <c:v>3.9</c:v>
                </c:pt>
                <c:pt idx="626">
                  <c:v>2.8</c:v>
                </c:pt>
                <c:pt idx="627">
                  <c:v>3.1</c:v>
                </c:pt>
                <c:pt idx="628">
                  <c:v>4.2</c:v>
                </c:pt>
                <c:pt idx="629">
                  <c:v>4.3</c:v>
                </c:pt>
                <c:pt idx="630">
                  <c:v>2.7</c:v>
                </c:pt>
                <c:pt idx="631">
                  <c:v>2.2999999999999998</c:v>
                </c:pt>
                <c:pt idx="632">
                  <c:v>2.2999999999999998</c:v>
                </c:pt>
                <c:pt idx="633">
                  <c:v>2.9</c:v>
                </c:pt>
                <c:pt idx="634">
                  <c:v>4.2</c:v>
                </c:pt>
                <c:pt idx="635">
                  <c:v>4.5999999999999996</c:v>
                </c:pt>
                <c:pt idx="636">
                  <c:v>4.5</c:v>
                </c:pt>
                <c:pt idx="637">
                  <c:v>3.7</c:v>
                </c:pt>
                <c:pt idx="638">
                  <c:v>4.0999999999999996</c:v>
                </c:pt>
                <c:pt idx="639">
                  <c:v>3.4</c:v>
                </c:pt>
                <c:pt idx="640">
                  <c:v>3.3</c:v>
                </c:pt>
                <c:pt idx="641">
                  <c:v>4.4000000000000004</c:v>
                </c:pt>
                <c:pt idx="642">
                  <c:v>4.2</c:v>
                </c:pt>
                <c:pt idx="643">
                  <c:v>3.4</c:v>
                </c:pt>
                <c:pt idx="644">
                  <c:v>4.4000000000000004</c:v>
                </c:pt>
                <c:pt idx="645">
                  <c:v>2.7</c:v>
                </c:pt>
                <c:pt idx="646">
                  <c:v>4.5</c:v>
                </c:pt>
                <c:pt idx="647">
                  <c:v>1.7</c:v>
                </c:pt>
                <c:pt idx="648">
                  <c:v>4.7</c:v>
                </c:pt>
                <c:pt idx="649">
                  <c:v>4.4000000000000004</c:v>
                </c:pt>
                <c:pt idx="650">
                  <c:v>3.5</c:v>
                </c:pt>
                <c:pt idx="651">
                  <c:v>4.7</c:v>
                </c:pt>
                <c:pt idx="652">
                  <c:v>4.3</c:v>
                </c:pt>
                <c:pt idx="653">
                  <c:v>4.0999999999999996</c:v>
                </c:pt>
                <c:pt idx="654">
                  <c:v>2.9</c:v>
                </c:pt>
                <c:pt idx="655">
                  <c:v>3.4</c:v>
                </c:pt>
                <c:pt idx="656">
                  <c:v>4.5999999999999996</c:v>
                </c:pt>
                <c:pt idx="657">
                  <c:v>4.9000000000000004</c:v>
                </c:pt>
                <c:pt idx="658">
                  <c:v>3.6</c:v>
                </c:pt>
                <c:pt idx="659">
                  <c:v>3.5</c:v>
                </c:pt>
                <c:pt idx="660">
                  <c:v>3.3</c:v>
                </c:pt>
                <c:pt idx="661">
                  <c:v>3.8</c:v>
                </c:pt>
                <c:pt idx="662">
                  <c:v>2.5</c:v>
                </c:pt>
                <c:pt idx="663">
                  <c:v>4.5999999999999996</c:v>
                </c:pt>
                <c:pt idx="664">
                  <c:v>4.7</c:v>
                </c:pt>
                <c:pt idx="665">
                  <c:v>3.6</c:v>
                </c:pt>
                <c:pt idx="666">
                  <c:v>4.3</c:v>
                </c:pt>
                <c:pt idx="667">
                  <c:v>4.7</c:v>
                </c:pt>
                <c:pt idx="668">
                  <c:v>4.9000000000000004</c:v>
                </c:pt>
                <c:pt idx="669">
                  <c:v>4.9000000000000004</c:v>
                </c:pt>
                <c:pt idx="670">
                  <c:v>1.9</c:v>
                </c:pt>
                <c:pt idx="671">
                  <c:v>4.5</c:v>
                </c:pt>
                <c:pt idx="672">
                  <c:v>4.9000000000000004</c:v>
                </c:pt>
                <c:pt idx="673">
                  <c:v>4.5</c:v>
                </c:pt>
                <c:pt idx="674">
                  <c:v>2.7</c:v>
                </c:pt>
                <c:pt idx="675">
                  <c:v>2.1</c:v>
                </c:pt>
                <c:pt idx="676">
                  <c:v>4.2</c:v>
                </c:pt>
                <c:pt idx="677">
                  <c:v>4.7</c:v>
                </c:pt>
                <c:pt idx="678">
                  <c:v>3.9</c:v>
                </c:pt>
                <c:pt idx="679">
                  <c:v>4.0999999999999996</c:v>
                </c:pt>
                <c:pt idx="680">
                  <c:v>3.8</c:v>
                </c:pt>
                <c:pt idx="681">
                  <c:v>1.8</c:v>
                </c:pt>
                <c:pt idx="682">
                  <c:v>4.0999999999999996</c:v>
                </c:pt>
                <c:pt idx="683">
                  <c:v>4.4000000000000004</c:v>
                </c:pt>
                <c:pt idx="684">
                  <c:v>4.0999999999999996</c:v>
                </c:pt>
                <c:pt idx="685">
                  <c:v>3.8</c:v>
                </c:pt>
                <c:pt idx="686">
                  <c:v>4.3</c:v>
                </c:pt>
                <c:pt idx="687">
                  <c:v>4.5</c:v>
                </c:pt>
                <c:pt idx="688">
                  <c:v>3.4</c:v>
                </c:pt>
                <c:pt idx="689">
                  <c:v>4.8</c:v>
                </c:pt>
                <c:pt idx="690">
                  <c:v>4.9000000000000004</c:v>
                </c:pt>
                <c:pt idx="691">
                  <c:v>4.7</c:v>
                </c:pt>
                <c:pt idx="692">
                  <c:v>3.3</c:v>
                </c:pt>
                <c:pt idx="693">
                  <c:v>2.8</c:v>
                </c:pt>
                <c:pt idx="694">
                  <c:v>4.0999999999999996</c:v>
                </c:pt>
                <c:pt idx="695">
                  <c:v>3.5</c:v>
                </c:pt>
                <c:pt idx="696">
                  <c:v>2.2999999999999998</c:v>
                </c:pt>
                <c:pt idx="697">
                  <c:v>4.0999999999999996</c:v>
                </c:pt>
                <c:pt idx="698">
                  <c:v>4.3</c:v>
                </c:pt>
                <c:pt idx="699">
                  <c:v>4.9000000000000004</c:v>
                </c:pt>
                <c:pt idx="700">
                  <c:v>4</c:v>
                </c:pt>
                <c:pt idx="701">
                  <c:v>4.7</c:v>
                </c:pt>
                <c:pt idx="702">
                  <c:v>3.4</c:v>
                </c:pt>
                <c:pt idx="703">
                  <c:v>4</c:v>
                </c:pt>
                <c:pt idx="704">
                  <c:v>4.5</c:v>
                </c:pt>
                <c:pt idx="705">
                  <c:v>4.5</c:v>
                </c:pt>
                <c:pt idx="706">
                  <c:v>4.9000000000000004</c:v>
                </c:pt>
                <c:pt idx="707">
                  <c:v>4.4000000000000004</c:v>
                </c:pt>
                <c:pt idx="708">
                  <c:v>2.9</c:v>
                </c:pt>
                <c:pt idx="709">
                  <c:v>4.4000000000000004</c:v>
                </c:pt>
                <c:pt idx="710">
                  <c:v>4.3</c:v>
                </c:pt>
                <c:pt idx="711">
                  <c:v>4.7</c:v>
                </c:pt>
                <c:pt idx="712">
                  <c:v>3.2</c:v>
                </c:pt>
                <c:pt idx="713">
                  <c:v>2.2999999999999998</c:v>
                </c:pt>
                <c:pt idx="714">
                  <c:v>3.6</c:v>
                </c:pt>
                <c:pt idx="715">
                  <c:v>4.5999999999999996</c:v>
                </c:pt>
                <c:pt idx="716">
                  <c:v>4</c:v>
                </c:pt>
                <c:pt idx="717">
                  <c:v>4.7</c:v>
                </c:pt>
                <c:pt idx="718">
                  <c:v>4.3</c:v>
                </c:pt>
                <c:pt idx="719">
                  <c:v>2.8</c:v>
                </c:pt>
                <c:pt idx="720">
                  <c:v>4</c:v>
                </c:pt>
                <c:pt idx="721">
                  <c:v>3.9</c:v>
                </c:pt>
                <c:pt idx="722">
                  <c:v>3.1</c:v>
                </c:pt>
                <c:pt idx="723">
                  <c:v>2.7</c:v>
                </c:pt>
                <c:pt idx="724">
                  <c:v>4.7</c:v>
                </c:pt>
                <c:pt idx="725">
                  <c:v>4.3</c:v>
                </c:pt>
                <c:pt idx="726">
                  <c:v>3.8</c:v>
                </c:pt>
                <c:pt idx="727">
                  <c:v>4.4000000000000004</c:v>
                </c:pt>
                <c:pt idx="728">
                  <c:v>3.9</c:v>
                </c:pt>
                <c:pt idx="729">
                  <c:v>4.9000000000000004</c:v>
                </c:pt>
                <c:pt idx="730">
                  <c:v>4.2</c:v>
                </c:pt>
                <c:pt idx="731">
                  <c:v>4</c:v>
                </c:pt>
                <c:pt idx="732">
                  <c:v>4.2</c:v>
                </c:pt>
                <c:pt idx="733">
                  <c:v>4.8</c:v>
                </c:pt>
                <c:pt idx="734">
                  <c:v>1.1000000000000001</c:v>
                </c:pt>
                <c:pt idx="735">
                  <c:v>4</c:v>
                </c:pt>
                <c:pt idx="736">
                  <c:v>4.8</c:v>
                </c:pt>
                <c:pt idx="737">
                  <c:v>4.2</c:v>
                </c:pt>
                <c:pt idx="738">
                  <c:v>4.5999999999999996</c:v>
                </c:pt>
                <c:pt idx="739">
                  <c:v>4</c:v>
                </c:pt>
                <c:pt idx="740">
                  <c:v>3.9</c:v>
                </c:pt>
                <c:pt idx="741">
                  <c:v>2.8</c:v>
                </c:pt>
                <c:pt idx="742">
                  <c:v>4.7</c:v>
                </c:pt>
                <c:pt idx="743">
                  <c:v>4.2</c:v>
                </c:pt>
                <c:pt idx="744">
                  <c:v>3.9</c:v>
                </c:pt>
                <c:pt idx="745">
                  <c:v>4.5999999999999996</c:v>
                </c:pt>
                <c:pt idx="746">
                  <c:v>4.3</c:v>
                </c:pt>
                <c:pt idx="747">
                  <c:v>3.6</c:v>
                </c:pt>
                <c:pt idx="748">
                  <c:v>4.9000000000000004</c:v>
                </c:pt>
                <c:pt idx="749">
                  <c:v>2.4</c:v>
                </c:pt>
                <c:pt idx="750">
                  <c:v>4.2</c:v>
                </c:pt>
                <c:pt idx="751">
                  <c:v>3.9</c:v>
                </c:pt>
                <c:pt idx="752">
                  <c:v>4.2</c:v>
                </c:pt>
                <c:pt idx="753">
                  <c:v>3.9</c:v>
                </c:pt>
                <c:pt idx="754">
                  <c:v>4.5</c:v>
                </c:pt>
                <c:pt idx="755">
                  <c:v>3.8</c:v>
                </c:pt>
                <c:pt idx="756">
                  <c:v>3.9</c:v>
                </c:pt>
                <c:pt idx="757">
                  <c:v>4.7</c:v>
                </c:pt>
                <c:pt idx="758">
                  <c:v>3.2</c:v>
                </c:pt>
                <c:pt idx="759">
                  <c:v>5</c:v>
                </c:pt>
                <c:pt idx="760">
                  <c:v>3.7</c:v>
                </c:pt>
                <c:pt idx="761">
                  <c:v>3.9</c:v>
                </c:pt>
                <c:pt idx="762">
                  <c:v>3.1</c:v>
                </c:pt>
                <c:pt idx="763">
                  <c:v>2</c:v>
                </c:pt>
                <c:pt idx="764">
                  <c:v>4.5999999999999996</c:v>
                </c:pt>
                <c:pt idx="765">
                  <c:v>3.7</c:v>
                </c:pt>
                <c:pt idx="766">
                  <c:v>4.4000000000000004</c:v>
                </c:pt>
                <c:pt idx="767">
                  <c:v>2.1</c:v>
                </c:pt>
                <c:pt idx="768">
                  <c:v>2.2000000000000002</c:v>
                </c:pt>
                <c:pt idx="769">
                  <c:v>3.4</c:v>
                </c:pt>
                <c:pt idx="770">
                  <c:v>2.7</c:v>
                </c:pt>
                <c:pt idx="771">
                  <c:v>3.7</c:v>
                </c:pt>
                <c:pt idx="772">
                  <c:v>3.1</c:v>
                </c:pt>
                <c:pt idx="773">
                  <c:v>4.0999999999999996</c:v>
                </c:pt>
                <c:pt idx="774">
                  <c:v>4.8</c:v>
                </c:pt>
                <c:pt idx="775">
                  <c:v>4</c:v>
                </c:pt>
                <c:pt idx="776">
                  <c:v>3</c:v>
                </c:pt>
                <c:pt idx="777">
                  <c:v>4.8</c:v>
                </c:pt>
                <c:pt idx="778">
                  <c:v>4.0999999999999996</c:v>
                </c:pt>
                <c:pt idx="779">
                  <c:v>4.2</c:v>
                </c:pt>
                <c:pt idx="780">
                  <c:v>3.3</c:v>
                </c:pt>
                <c:pt idx="781">
                  <c:v>4.7</c:v>
                </c:pt>
                <c:pt idx="782">
                  <c:v>3.7</c:v>
                </c:pt>
                <c:pt idx="783">
                  <c:v>4.7</c:v>
                </c:pt>
                <c:pt idx="784">
                  <c:v>4.5999999999999996</c:v>
                </c:pt>
                <c:pt idx="785">
                  <c:v>4.8</c:v>
                </c:pt>
                <c:pt idx="786">
                  <c:v>2</c:v>
                </c:pt>
                <c:pt idx="787">
                  <c:v>3.9</c:v>
                </c:pt>
                <c:pt idx="788">
                  <c:v>3</c:v>
                </c:pt>
                <c:pt idx="789">
                  <c:v>4.5999999999999996</c:v>
                </c:pt>
                <c:pt idx="790">
                  <c:v>3.8</c:v>
                </c:pt>
                <c:pt idx="791">
                  <c:v>4.4000000000000004</c:v>
                </c:pt>
                <c:pt idx="792">
                  <c:v>2.4</c:v>
                </c:pt>
                <c:pt idx="793">
                  <c:v>4.5</c:v>
                </c:pt>
                <c:pt idx="794">
                  <c:v>4.5</c:v>
                </c:pt>
                <c:pt idx="795">
                  <c:v>2.7</c:v>
                </c:pt>
                <c:pt idx="796">
                  <c:v>4.9000000000000004</c:v>
                </c:pt>
                <c:pt idx="797">
                  <c:v>3.7</c:v>
                </c:pt>
                <c:pt idx="798">
                  <c:v>3.9</c:v>
                </c:pt>
                <c:pt idx="799">
                  <c:v>3.5</c:v>
                </c:pt>
                <c:pt idx="800">
                  <c:v>2.7</c:v>
                </c:pt>
                <c:pt idx="801">
                  <c:v>3.9</c:v>
                </c:pt>
                <c:pt idx="802">
                  <c:v>3.4</c:v>
                </c:pt>
                <c:pt idx="803">
                  <c:v>5</c:v>
                </c:pt>
                <c:pt idx="804">
                  <c:v>4.4000000000000004</c:v>
                </c:pt>
                <c:pt idx="805">
                  <c:v>4.3</c:v>
                </c:pt>
                <c:pt idx="806">
                  <c:v>4.7</c:v>
                </c:pt>
                <c:pt idx="807">
                  <c:v>4.0999999999999996</c:v>
                </c:pt>
                <c:pt idx="808">
                  <c:v>4.8</c:v>
                </c:pt>
                <c:pt idx="809">
                  <c:v>4.2</c:v>
                </c:pt>
                <c:pt idx="810">
                  <c:v>3.4</c:v>
                </c:pt>
                <c:pt idx="811">
                  <c:v>3.3</c:v>
                </c:pt>
                <c:pt idx="812">
                  <c:v>3.8</c:v>
                </c:pt>
                <c:pt idx="813">
                  <c:v>3.9</c:v>
                </c:pt>
                <c:pt idx="814">
                  <c:v>2.5</c:v>
                </c:pt>
                <c:pt idx="815">
                  <c:v>4.9000000000000004</c:v>
                </c:pt>
                <c:pt idx="816">
                  <c:v>4.8</c:v>
                </c:pt>
                <c:pt idx="817">
                  <c:v>4.7</c:v>
                </c:pt>
                <c:pt idx="818">
                  <c:v>4.7</c:v>
                </c:pt>
                <c:pt idx="819">
                  <c:v>3.3</c:v>
                </c:pt>
                <c:pt idx="820">
                  <c:v>4.7</c:v>
                </c:pt>
                <c:pt idx="821">
                  <c:v>4.5</c:v>
                </c:pt>
                <c:pt idx="822">
                  <c:v>4.5999999999999996</c:v>
                </c:pt>
                <c:pt idx="823">
                  <c:v>4.8</c:v>
                </c:pt>
                <c:pt idx="824">
                  <c:v>4.3</c:v>
                </c:pt>
                <c:pt idx="825">
                  <c:v>4.7</c:v>
                </c:pt>
                <c:pt idx="826">
                  <c:v>4.8</c:v>
                </c:pt>
                <c:pt idx="827">
                  <c:v>4.7</c:v>
                </c:pt>
                <c:pt idx="828">
                  <c:v>4.3</c:v>
                </c:pt>
                <c:pt idx="829">
                  <c:v>3.8</c:v>
                </c:pt>
                <c:pt idx="830">
                  <c:v>4.5999999999999996</c:v>
                </c:pt>
                <c:pt idx="831">
                  <c:v>2.9</c:v>
                </c:pt>
                <c:pt idx="832">
                  <c:v>4.8</c:v>
                </c:pt>
                <c:pt idx="833">
                  <c:v>4.9000000000000004</c:v>
                </c:pt>
                <c:pt idx="834">
                  <c:v>3.4</c:v>
                </c:pt>
                <c:pt idx="835">
                  <c:v>4.3</c:v>
                </c:pt>
                <c:pt idx="836">
                  <c:v>3.9</c:v>
                </c:pt>
                <c:pt idx="837">
                  <c:v>3.9</c:v>
                </c:pt>
                <c:pt idx="838">
                  <c:v>1.5</c:v>
                </c:pt>
                <c:pt idx="839">
                  <c:v>3</c:v>
                </c:pt>
                <c:pt idx="840">
                  <c:v>4.2</c:v>
                </c:pt>
                <c:pt idx="841">
                  <c:v>3.7</c:v>
                </c:pt>
                <c:pt idx="842">
                  <c:v>4.2</c:v>
                </c:pt>
                <c:pt idx="843">
                  <c:v>4.4000000000000004</c:v>
                </c:pt>
                <c:pt idx="844">
                  <c:v>4</c:v>
                </c:pt>
                <c:pt idx="845">
                  <c:v>4.7</c:v>
                </c:pt>
                <c:pt idx="846">
                  <c:v>2.8</c:v>
                </c:pt>
                <c:pt idx="847">
                  <c:v>2.5</c:v>
                </c:pt>
                <c:pt idx="848">
                  <c:v>3.4</c:v>
                </c:pt>
                <c:pt idx="849">
                  <c:v>4.8</c:v>
                </c:pt>
                <c:pt idx="850">
                  <c:v>4.3</c:v>
                </c:pt>
                <c:pt idx="851">
                  <c:v>4.5</c:v>
                </c:pt>
                <c:pt idx="852">
                  <c:v>3.6</c:v>
                </c:pt>
                <c:pt idx="853">
                  <c:v>3.7</c:v>
                </c:pt>
                <c:pt idx="854">
                  <c:v>3.5</c:v>
                </c:pt>
                <c:pt idx="855">
                  <c:v>4.7</c:v>
                </c:pt>
                <c:pt idx="856">
                  <c:v>3.5</c:v>
                </c:pt>
                <c:pt idx="857">
                  <c:v>3.9</c:v>
                </c:pt>
                <c:pt idx="858">
                  <c:v>4.8</c:v>
                </c:pt>
                <c:pt idx="859">
                  <c:v>4</c:v>
                </c:pt>
                <c:pt idx="860">
                  <c:v>4.7</c:v>
                </c:pt>
                <c:pt idx="861">
                  <c:v>3.6</c:v>
                </c:pt>
                <c:pt idx="862">
                  <c:v>4.5</c:v>
                </c:pt>
                <c:pt idx="863">
                  <c:v>4</c:v>
                </c:pt>
                <c:pt idx="864">
                  <c:v>4.5</c:v>
                </c:pt>
                <c:pt idx="865">
                  <c:v>3.9</c:v>
                </c:pt>
                <c:pt idx="866">
                  <c:v>4.3</c:v>
                </c:pt>
                <c:pt idx="867">
                  <c:v>3.6</c:v>
                </c:pt>
                <c:pt idx="868">
                  <c:v>3.6</c:v>
                </c:pt>
                <c:pt idx="869">
                  <c:v>4</c:v>
                </c:pt>
                <c:pt idx="870">
                  <c:v>4.2</c:v>
                </c:pt>
                <c:pt idx="871">
                  <c:v>4.3</c:v>
                </c:pt>
                <c:pt idx="872">
                  <c:v>3.8</c:v>
                </c:pt>
                <c:pt idx="873">
                  <c:v>4.4000000000000004</c:v>
                </c:pt>
                <c:pt idx="874">
                  <c:v>4.7</c:v>
                </c:pt>
                <c:pt idx="875">
                  <c:v>3.6</c:v>
                </c:pt>
                <c:pt idx="876">
                  <c:v>2.2000000000000002</c:v>
                </c:pt>
                <c:pt idx="877">
                  <c:v>4.8</c:v>
                </c:pt>
                <c:pt idx="878">
                  <c:v>4.3</c:v>
                </c:pt>
                <c:pt idx="879">
                  <c:v>2.2000000000000002</c:v>
                </c:pt>
                <c:pt idx="880">
                  <c:v>4.8</c:v>
                </c:pt>
                <c:pt idx="881">
                  <c:v>2.6</c:v>
                </c:pt>
                <c:pt idx="882">
                  <c:v>2.6</c:v>
                </c:pt>
                <c:pt idx="883">
                  <c:v>3.4</c:v>
                </c:pt>
                <c:pt idx="884">
                  <c:v>3.7</c:v>
                </c:pt>
                <c:pt idx="885">
                  <c:v>2.1</c:v>
                </c:pt>
                <c:pt idx="886">
                  <c:v>3.6</c:v>
                </c:pt>
                <c:pt idx="887">
                  <c:v>3.8</c:v>
                </c:pt>
                <c:pt idx="888">
                  <c:v>3.1</c:v>
                </c:pt>
                <c:pt idx="889">
                  <c:v>4.4000000000000004</c:v>
                </c:pt>
                <c:pt idx="890">
                  <c:v>4.8</c:v>
                </c:pt>
                <c:pt idx="891">
                  <c:v>3.5</c:v>
                </c:pt>
                <c:pt idx="892">
                  <c:v>4.4000000000000004</c:v>
                </c:pt>
                <c:pt idx="893">
                  <c:v>3.8</c:v>
                </c:pt>
                <c:pt idx="894">
                  <c:v>3.8</c:v>
                </c:pt>
                <c:pt idx="895">
                  <c:v>4.5999999999999996</c:v>
                </c:pt>
                <c:pt idx="896">
                  <c:v>5</c:v>
                </c:pt>
                <c:pt idx="897">
                  <c:v>3.2</c:v>
                </c:pt>
                <c:pt idx="898">
                  <c:v>3.7</c:v>
                </c:pt>
                <c:pt idx="899">
                  <c:v>2.7</c:v>
                </c:pt>
                <c:pt idx="900">
                  <c:v>4</c:v>
                </c:pt>
                <c:pt idx="901">
                  <c:v>2.6</c:v>
                </c:pt>
                <c:pt idx="902">
                  <c:v>4.5999999999999996</c:v>
                </c:pt>
                <c:pt idx="903">
                  <c:v>2.7</c:v>
                </c:pt>
                <c:pt idx="904">
                  <c:v>3.5</c:v>
                </c:pt>
                <c:pt idx="905">
                  <c:v>3.6</c:v>
                </c:pt>
                <c:pt idx="906">
                  <c:v>4.9000000000000004</c:v>
                </c:pt>
                <c:pt idx="907">
                  <c:v>3.9</c:v>
                </c:pt>
                <c:pt idx="908">
                  <c:v>4.7</c:v>
                </c:pt>
                <c:pt idx="909">
                  <c:v>4.5</c:v>
                </c:pt>
                <c:pt idx="910">
                  <c:v>4.5</c:v>
                </c:pt>
                <c:pt idx="911">
                  <c:v>4.4000000000000004</c:v>
                </c:pt>
                <c:pt idx="912">
                  <c:v>4.0999999999999996</c:v>
                </c:pt>
                <c:pt idx="913">
                  <c:v>3.8</c:v>
                </c:pt>
                <c:pt idx="914">
                  <c:v>4.2</c:v>
                </c:pt>
                <c:pt idx="915">
                  <c:v>2.2000000000000002</c:v>
                </c:pt>
                <c:pt idx="916">
                  <c:v>3.9</c:v>
                </c:pt>
                <c:pt idx="917">
                  <c:v>3.9</c:v>
                </c:pt>
                <c:pt idx="918">
                  <c:v>4.0999999999999996</c:v>
                </c:pt>
                <c:pt idx="919">
                  <c:v>4.5999999999999996</c:v>
                </c:pt>
                <c:pt idx="920">
                  <c:v>4.0999999999999996</c:v>
                </c:pt>
                <c:pt idx="921">
                  <c:v>5</c:v>
                </c:pt>
                <c:pt idx="922">
                  <c:v>2.8</c:v>
                </c:pt>
                <c:pt idx="923">
                  <c:v>2.7</c:v>
                </c:pt>
                <c:pt idx="924">
                  <c:v>3.9</c:v>
                </c:pt>
                <c:pt idx="925">
                  <c:v>4.3</c:v>
                </c:pt>
                <c:pt idx="926">
                  <c:v>2.5</c:v>
                </c:pt>
                <c:pt idx="927">
                  <c:v>3.4</c:v>
                </c:pt>
                <c:pt idx="928">
                  <c:v>3.4</c:v>
                </c:pt>
                <c:pt idx="929">
                  <c:v>1.8</c:v>
                </c:pt>
                <c:pt idx="930">
                  <c:v>3.7</c:v>
                </c:pt>
                <c:pt idx="931">
                  <c:v>4.0999999999999996</c:v>
                </c:pt>
                <c:pt idx="932">
                  <c:v>3</c:v>
                </c:pt>
                <c:pt idx="933">
                  <c:v>3.9</c:v>
                </c:pt>
                <c:pt idx="934">
                  <c:v>4</c:v>
                </c:pt>
                <c:pt idx="935">
                  <c:v>4.5</c:v>
                </c:pt>
                <c:pt idx="936">
                  <c:v>4</c:v>
                </c:pt>
                <c:pt idx="937">
                  <c:v>4.3</c:v>
                </c:pt>
                <c:pt idx="938">
                  <c:v>4.8</c:v>
                </c:pt>
                <c:pt idx="939">
                  <c:v>4.7</c:v>
                </c:pt>
                <c:pt idx="940">
                  <c:v>5</c:v>
                </c:pt>
                <c:pt idx="941">
                  <c:v>1.5</c:v>
                </c:pt>
                <c:pt idx="942">
                  <c:v>4.0999999999999996</c:v>
                </c:pt>
                <c:pt idx="943">
                  <c:v>3.9</c:v>
                </c:pt>
                <c:pt idx="944">
                  <c:v>4.0999999999999996</c:v>
                </c:pt>
                <c:pt idx="945">
                  <c:v>2.8</c:v>
                </c:pt>
                <c:pt idx="946">
                  <c:v>4.5999999999999996</c:v>
                </c:pt>
                <c:pt idx="947">
                  <c:v>4.8</c:v>
                </c:pt>
                <c:pt idx="948">
                  <c:v>2.2999999999999998</c:v>
                </c:pt>
                <c:pt idx="949">
                  <c:v>2.6</c:v>
                </c:pt>
                <c:pt idx="950">
                  <c:v>4.8</c:v>
                </c:pt>
                <c:pt idx="951">
                  <c:v>3.7</c:v>
                </c:pt>
                <c:pt idx="952">
                  <c:v>4.2</c:v>
                </c:pt>
                <c:pt idx="953">
                  <c:v>3.3</c:v>
                </c:pt>
                <c:pt idx="954">
                  <c:v>4.3</c:v>
                </c:pt>
                <c:pt idx="955">
                  <c:v>3.7</c:v>
                </c:pt>
                <c:pt idx="956">
                  <c:v>3.7</c:v>
                </c:pt>
                <c:pt idx="957">
                  <c:v>3.1</c:v>
                </c:pt>
                <c:pt idx="958">
                  <c:v>2.4</c:v>
                </c:pt>
                <c:pt idx="959">
                  <c:v>3.5</c:v>
                </c:pt>
                <c:pt idx="960">
                  <c:v>4.3</c:v>
                </c:pt>
                <c:pt idx="961">
                  <c:v>3.4</c:v>
                </c:pt>
                <c:pt idx="962">
                  <c:v>3.7</c:v>
                </c:pt>
                <c:pt idx="963">
                  <c:v>4.8</c:v>
                </c:pt>
                <c:pt idx="964">
                  <c:v>3.3</c:v>
                </c:pt>
                <c:pt idx="965">
                  <c:v>4.2</c:v>
                </c:pt>
                <c:pt idx="966">
                  <c:v>2.6</c:v>
                </c:pt>
                <c:pt idx="967">
                  <c:v>4.9000000000000004</c:v>
                </c:pt>
                <c:pt idx="968">
                  <c:v>2</c:v>
                </c:pt>
                <c:pt idx="969">
                  <c:v>4.7</c:v>
                </c:pt>
                <c:pt idx="970">
                  <c:v>2.8</c:v>
                </c:pt>
                <c:pt idx="971">
                  <c:v>3.2</c:v>
                </c:pt>
                <c:pt idx="972">
                  <c:v>4.7</c:v>
                </c:pt>
                <c:pt idx="973">
                  <c:v>4.8</c:v>
                </c:pt>
                <c:pt idx="974">
                  <c:v>4.7</c:v>
                </c:pt>
                <c:pt idx="975">
                  <c:v>4</c:v>
                </c:pt>
                <c:pt idx="976">
                  <c:v>4.9000000000000004</c:v>
                </c:pt>
                <c:pt idx="977">
                  <c:v>3.7</c:v>
                </c:pt>
                <c:pt idx="978">
                  <c:v>4.5</c:v>
                </c:pt>
                <c:pt idx="979">
                  <c:v>2.1</c:v>
                </c:pt>
                <c:pt idx="980">
                  <c:v>2.8</c:v>
                </c:pt>
                <c:pt idx="981">
                  <c:v>4.0999999999999996</c:v>
                </c:pt>
                <c:pt idx="982">
                  <c:v>3.3</c:v>
                </c:pt>
                <c:pt idx="983">
                  <c:v>1.7</c:v>
                </c:pt>
                <c:pt idx="984">
                  <c:v>3.6</c:v>
                </c:pt>
                <c:pt idx="985">
                  <c:v>3.6</c:v>
                </c:pt>
                <c:pt idx="986">
                  <c:v>4.5999999999999996</c:v>
                </c:pt>
                <c:pt idx="987">
                  <c:v>4.8</c:v>
                </c:pt>
                <c:pt idx="988">
                  <c:v>4.5</c:v>
                </c:pt>
                <c:pt idx="989">
                  <c:v>4.5</c:v>
                </c:pt>
                <c:pt idx="990">
                  <c:v>4.5999999999999996</c:v>
                </c:pt>
                <c:pt idx="991">
                  <c:v>4.5999999999999996</c:v>
                </c:pt>
                <c:pt idx="992">
                  <c:v>3.5</c:v>
                </c:pt>
                <c:pt idx="993">
                  <c:v>2.9</c:v>
                </c:pt>
                <c:pt idx="994">
                  <c:v>4.7</c:v>
                </c:pt>
                <c:pt idx="995">
                  <c:v>3.9</c:v>
                </c:pt>
                <c:pt idx="996">
                  <c:v>3.8</c:v>
                </c:pt>
                <c:pt idx="997">
                  <c:v>2.2999999999999998</c:v>
                </c:pt>
                <c:pt idx="998">
                  <c:v>3.7</c:v>
                </c:pt>
                <c:pt idx="999">
                  <c:v>3.9</c:v>
                </c:pt>
              </c:numCache>
            </c:numRef>
          </c:yVal>
          <c:smooth val="0"/>
          <c:extLst>
            <c:ext xmlns:c16="http://schemas.microsoft.com/office/drawing/2014/chart" uri="{C3380CC4-5D6E-409C-BE32-E72D297353CC}">
              <c16:uniqueId val="{00000000-5B56-4752-87F5-FE7A5CD4A431}"/>
            </c:ext>
          </c:extLst>
        </c:ser>
        <c:dLbls>
          <c:showLegendKey val="0"/>
          <c:showVal val="0"/>
          <c:showCatName val="0"/>
          <c:showSerName val="0"/>
          <c:showPercent val="0"/>
          <c:showBubbleSize val="0"/>
        </c:dLbls>
        <c:axId val="1553630831"/>
        <c:axId val="1408343887"/>
      </c:scatterChart>
      <c:valAx>
        <c:axId val="15536308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43887"/>
        <c:crosses val="autoZero"/>
        <c:crossBetween val="midCat"/>
      </c:valAx>
      <c:valAx>
        <c:axId val="14083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6308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2</c:v>
          </c:tx>
          <c:spPr>
            <a:ln w="38100" cap="rnd">
              <a:noFill/>
              <a:round/>
            </a:ln>
            <a:effectLst/>
          </c:spPr>
          <c:marker>
            <c:symbol val="circle"/>
            <c:size val="5"/>
            <c:spPr>
              <a:solidFill>
                <a:schemeClr val="accent1"/>
              </a:solidFill>
              <a:ln w="9525">
                <a:solidFill>
                  <a:schemeClr val="accent1"/>
                </a:solidFill>
              </a:ln>
              <a:effectLst/>
            </c:spPr>
          </c:marker>
          <c:xVal>
            <c:numRef>
              <c:f>'Call Centre Data'!$C$2:$C$1001</c:f>
              <c:numCache>
                <c:formatCode>0</c:formatCode>
                <c:ptCount val="1000"/>
                <c:pt idx="0">
                  <c:v>116</c:v>
                </c:pt>
                <c:pt idx="1">
                  <c:v>119</c:v>
                </c:pt>
                <c:pt idx="2">
                  <c:v>68</c:v>
                </c:pt>
                <c:pt idx="3">
                  <c:v>119</c:v>
                </c:pt>
                <c:pt idx="4">
                  <c:v>128</c:v>
                </c:pt>
                <c:pt idx="5">
                  <c:v>49</c:v>
                </c:pt>
                <c:pt idx="6">
                  <c:v>84</c:v>
                </c:pt>
                <c:pt idx="7">
                  <c:v>103</c:v>
                </c:pt>
                <c:pt idx="8">
                  <c:v>31</c:v>
                </c:pt>
                <c:pt idx="9">
                  <c:v>44</c:v>
                </c:pt>
                <c:pt idx="10">
                  <c:v>102</c:v>
                </c:pt>
                <c:pt idx="11">
                  <c:v>135</c:v>
                </c:pt>
                <c:pt idx="12">
                  <c:v>98</c:v>
                </c:pt>
                <c:pt idx="13">
                  <c:v>139</c:v>
                </c:pt>
                <c:pt idx="14">
                  <c:v>48</c:v>
                </c:pt>
                <c:pt idx="15">
                  <c:v>176</c:v>
                </c:pt>
                <c:pt idx="16">
                  <c:v>99</c:v>
                </c:pt>
                <c:pt idx="17">
                  <c:v>28</c:v>
                </c:pt>
                <c:pt idx="18">
                  <c:v>54</c:v>
                </c:pt>
                <c:pt idx="19">
                  <c:v>48</c:v>
                </c:pt>
                <c:pt idx="20">
                  <c:v>128</c:v>
                </c:pt>
                <c:pt idx="21">
                  <c:v>38</c:v>
                </c:pt>
                <c:pt idx="22">
                  <c:v>67</c:v>
                </c:pt>
                <c:pt idx="23">
                  <c:v>58</c:v>
                </c:pt>
                <c:pt idx="24">
                  <c:v>54</c:v>
                </c:pt>
                <c:pt idx="25">
                  <c:v>28</c:v>
                </c:pt>
                <c:pt idx="26">
                  <c:v>73</c:v>
                </c:pt>
                <c:pt idx="27">
                  <c:v>81</c:v>
                </c:pt>
                <c:pt idx="28">
                  <c:v>31</c:v>
                </c:pt>
                <c:pt idx="29">
                  <c:v>155</c:v>
                </c:pt>
                <c:pt idx="30">
                  <c:v>80</c:v>
                </c:pt>
                <c:pt idx="31">
                  <c:v>82</c:v>
                </c:pt>
                <c:pt idx="32">
                  <c:v>29</c:v>
                </c:pt>
                <c:pt idx="33">
                  <c:v>160</c:v>
                </c:pt>
                <c:pt idx="34">
                  <c:v>105</c:v>
                </c:pt>
                <c:pt idx="35">
                  <c:v>75</c:v>
                </c:pt>
                <c:pt idx="36">
                  <c:v>94</c:v>
                </c:pt>
                <c:pt idx="37">
                  <c:v>90</c:v>
                </c:pt>
                <c:pt idx="38">
                  <c:v>81</c:v>
                </c:pt>
                <c:pt idx="39">
                  <c:v>106</c:v>
                </c:pt>
                <c:pt idx="40">
                  <c:v>74</c:v>
                </c:pt>
                <c:pt idx="41">
                  <c:v>105</c:v>
                </c:pt>
                <c:pt idx="42">
                  <c:v>89</c:v>
                </c:pt>
                <c:pt idx="43">
                  <c:v>132</c:v>
                </c:pt>
                <c:pt idx="44">
                  <c:v>105</c:v>
                </c:pt>
                <c:pt idx="45">
                  <c:v>13</c:v>
                </c:pt>
                <c:pt idx="46">
                  <c:v>131</c:v>
                </c:pt>
                <c:pt idx="47">
                  <c:v>104</c:v>
                </c:pt>
                <c:pt idx="48">
                  <c:v>90</c:v>
                </c:pt>
                <c:pt idx="49">
                  <c:v>37</c:v>
                </c:pt>
                <c:pt idx="50">
                  <c:v>149</c:v>
                </c:pt>
                <c:pt idx="51">
                  <c:v>100</c:v>
                </c:pt>
                <c:pt idx="52">
                  <c:v>79</c:v>
                </c:pt>
                <c:pt idx="53">
                  <c:v>157</c:v>
                </c:pt>
                <c:pt idx="54">
                  <c:v>59</c:v>
                </c:pt>
                <c:pt idx="55">
                  <c:v>83</c:v>
                </c:pt>
                <c:pt idx="56">
                  <c:v>58</c:v>
                </c:pt>
                <c:pt idx="57">
                  <c:v>118</c:v>
                </c:pt>
                <c:pt idx="58">
                  <c:v>63</c:v>
                </c:pt>
                <c:pt idx="59">
                  <c:v>95</c:v>
                </c:pt>
                <c:pt idx="60">
                  <c:v>74</c:v>
                </c:pt>
                <c:pt idx="61">
                  <c:v>130</c:v>
                </c:pt>
                <c:pt idx="62">
                  <c:v>110</c:v>
                </c:pt>
                <c:pt idx="63">
                  <c:v>71</c:v>
                </c:pt>
                <c:pt idx="64">
                  <c:v>147</c:v>
                </c:pt>
                <c:pt idx="65">
                  <c:v>69</c:v>
                </c:pt>
                <c:pt idx="66">
                  <c:v>50</c:v>
                </c:pt>
                <c:pt idx="67">
                  <c:v>124</c:v>
                </c:pt>
                <c:pt idx="68">
                  <c:v>81</c:v>
                </c:pt>
                <c:pt idx="69">
                  <c:v>141</c:v>
                </c:pt>
                <c:pt idx="70">
                  <c:v>168</c:v>
                </c:pt>
                <c:pt idx="71">
                  <c:v>101</c:v>
                </c:pt>
                <c:pt idx="72">
                  <c:v>67</c:v>
                </c:pt>
                <c:pt idx="73">
                  <c:v>114</c:v>
                </c:pt>
                <c:pt idx="74">
                  <c:v>42</c:v>
                </c:pt>
                <c:pt idx="75">
                  <c:v>69</c:v>
                </c:pt>
                <c:pt idx="76">
                  <c:v>145</c:v>
                </c:pt>
                <c:pt idx="77">
                  <c:v>43</c:v>
                </c:pt>
                <c:pt idx="78">
                  <c:v>62</c:v>
                </c:pt>
                <c:pt idx="79">
                  <c:v>79</c:v>
                </c:pt>
                <c:pt idx="80">
                  <c:v>45</c:v>
                </c:pt>
                <c:pt idx="81">
                  <c:v>137</c:v>
                </c:pt>
                <c:pt idx="82">
                  <c:v>109</c:v>
                </c:pt>
                <c:pt idx="83">
                  <c:v>78</c:v>
                </c:pt>
                <c:pt idx="84">
                  <c:v>137</c:v>
                </c:pt>
                <c:pt idx="85">
                  <c:v>99</c:v>
                </c:pt>
                <c:pt idx="86">
                  <c:v>100</c:v>
                </c:pt>
                <c:pt idx="87">
                  <c:v>47</c:v>
                </c:pt>
                <c:pt idx="88">
                  <c:v>87</c:v>
                </c:pt>
                <c:pt idx="89">
                  <c:v>143</c:v>
                </c:pt>
                <c:pt idx="90">
                  <c:v>84</c:v>
                </c:pt>
                <c:pt idx="91">
                  <c:v>55</c:v>
                </c:pt>
                <c:pt idx="92">
                  <c:v>135</c:v>
                </c:pt>
                <c:pt idx="93">
                  <c:v>152</c:v>
                </c:pt>
                <c:pt idx="94">
                  <c:v>132</c:v>
                </c:pt>
                <c:pt idx="95">
                  <c:v>60</c:v>
                </c:pt>
                <c:pt idx="96">
                  <c:v>95</c:v>
                </c:pt>
                <c:pt idx="97">
                  <c:v>96</c:v>
                </c:pt>
                <c:pt idx="98">
                  <c:v>45</c:v>
                </c:pt>
                <c:pt idx="99">
                  <c:v>132</c:v>
                </c:pt>
                <c:pt idx="100">
                  <c:v>95</c:v>
                </c:pt>
                <c:pt idx="101">
                  <c:v>131</c:v>
                </c:pt>
                <c:pt idx="102">
                  <c:v>67</c:v>
                </c:pt>
                <c:pt idx="103">
                  <c:v>111</c:v>
                </c:pt>
                <c:pt idx="104">
                  <c:v>78</c:v>
                </c:pt>
                <c:pt idx="105">
                  <c:v>28</c:v>
                </c:pt>
                <c:pt idx="106">
                  <c:v>127</c:v>
                </c:pt>
                <c:pt idx="107">
                  <c:v>137</c:v>
                </c:pt>
                <c:pt idx="108">
                  <c:v>76</c:v>
                </c:pt>
                <c:pt idx="109">
                  <c:v>80</c:v>
                </c:pt>
                <c:pt idx="110">
                  <c:v>95</c:v>
                </c:pt>
                <c:pt idx="111">
                  <c:v>30</c:v>
                </c:pt>
                <c:pt idx="112">
                  <c:v>19</c:v>
                </c:pt>
                <c:pt idx="113">
                  <c:v>38</c:v>
                </c:pt>
                <c:pt idx="114">
                  <c:v>55</c:v>
                </c:pt>
                <c:pt idx="115">
                  <c:v>27</c:v>
                </c:pt>
                <c:pt idx="116">
                  <c:v>32</c:v>
                </c:pt>
                <c:pt idx="117">
                  <c:v>116</c:v>
                </c:pt>
                <c:pt idx="118">
                  <c:v>99</c:v>
                </c:pt>
                <c:pt idx="119">
                  <c:v>75</c:v>
                </c:pt>
                <c:pt idx="120">
                  <c:v>57</c:v>
                </c:pt>
                <c:pt idx="121">
                  <c:v>155</c:v>
                </c:pt>
                <c:pt idx="122">
                  <c:v>68</c:v>
                </c:pt>
                <c:pt idx="123">
                  <c:v>95</c:v>
                </c:pt>
                <c:pt idx="124">
                  <c:v>65</c:v>
                </c:pt>
                <c:pt idx="125">
                  <c:v>114</c:v>
                </c:pt>
                <c:pt idx="126">
                  <c:v>155</c:v>
                </c:pt>
                <c:pt idx="127">
                  <c:v>114</c:v>
                </c:pt>
                <c:pt idx="128">
                  <c:v>130</c:v>
                </c:pt>
                <c:pt idx="129">
                  <c:v>89</c:v>
                </c:pt>
                <c:pt idx="130">
                  <c:v>61</c:v>
                </c:pt>
                <c:pt idx="131">
                  <c:v>154</c:v>
                </c:pt>
                <c:pt idx="132">
                  <c:v>115</c:v>
                </c:pt>
                <c:pt idx="133">
                  <c:v>138</c:v>
                </c:pt>
                <c:pt idx="134">
                  <c:v>153</c:v>
                </c:pt>
                <c:pt idx="135">
                  <c:v>61</c:v>
                </c:pt>
                <c:pt idx="136">
                  <c:v>62</c:v>
                </c:pt>
                <c:pt idx="137">
                  <c:v>151</c:v>
                </c:pt>
                <c:pt idx="138">
                  <c:v>102</c:v>
                </c:pt>
                <c:pt idx="139">
                  <c:v>64</c:v>
                </c:pt>
                <c:pt idx="140">
                  <c:v>6</c:v>
                </c:pt>
                <c:pt idx="141">
                  <c:v>129</c:v>
                </c:pt>
                <c:pt idx="142">
                  <c:v>42</c:v>
                </c:pt>
                <c:pt idx="143">
                  <c:v>71</c:v>
                </c:pt>
                <c:pt idx="144">
                  <c:v>53</c:v>
                </c:pt>
                <c:pt idx="145">
                  <c:v>155</c:v>
                </c:pt>
                <c:pt idx="146">
                  <c:v>90</c:v>
                </c:pt>
                <c:pt idx="147">
                  <c:v>166</c:v>
                </c:pt>
                <c:pt idx="148">
                  <c:v>89</c:v>
                </c:pt>
                <c:pt idx="149">
                  <c:v>152</c:v>
                </c:pt>
                <c:pt idx="150">
                  <c:v>137</c:v>
                </c:pt>
                <c:pt idx="151">
                  <c:v>43</c:v>
                </c:pt>
                <c:pt idx="152">
                  <c:v>114</c:v>
                </c:pt>
                <c:pt idx="153">
                  <c:v>103</c:v>
                </c:pt>
                <c:pt idx="154">
                  <c:v>98</c:v>
                </c:pt>
                <c:pt idx="155">
                  <c:v>106</c:v>
                </c:pt>
                <c:pt idx="156">
                  <c:v>96</c:v>
                </c:pt>
                <c:pt idx="157">
                  <c:v>70</c:v>
                </c:pt>
                <c:pt idx="158">
                  <c:v>86</c:v>
                </c:pt>
                <c:pt idx="159">
                  <c:v>64</c:v>
                </c:pt>
                <c:pt idx="160">
                  <c:v>113</c:v>
                </c:pt>
                <c:pt idx="161">
                  <c:v>21</c:v>
                </c:pt>
                <c:pt idx="162">
                  <c:v>107</c:v>
                </c:pt>
                <c:pt idx="163">
                  <c:v>131</c:v>
                </c:pt>
                <c:pt idx="164">
                  <c:v>11</c:v>
                </c:pt>
                <c:pt idx="165">
                  <c:v>86</c:v>
                </c:pt>
                <c:pt idx="166">
                  <c:v>28</c:v>
                </c:pt>
                <c:pt idx="167">
                  <c:v>139</c:v>
                </c:pt>
                <c:pt idx="168">
                  <c:v>82</c:v>
                </c:pt>
                <c:pt idx="169">
                  <c:v>101</c:v>
                </c:pt>
                <c:pt idx="170">
                  <c:v>75</c:v>
                </c:pt>
                <c:pt idx="171">
                  <c:v>40</c:v>
                </c:pt>
                <c:pt idx="172">
                  <c:v>86</c:v>
                </c:pt>
                <c:pt idx="173">
                  <c:v>131</c:v>
                </c:pt>
                <c:pt idx="174">
                  <c:v>67</c:v>
                </c:pt>
                <c:pt idx="175">
                  <c:v>71</c:v>
                </c:pt>
                <c:pt idx="176">
                  <c:v>113</c:v>
                </c:pt>
                <c:pt idx="177">
                  <c:v>53</c:v>
                </c:pt>
                <c:pt idx="178">
                  <c:v>153</c:v>
                </c:pt>
                <c:pt idx="179">
                  <c:v>73</c:v>
                </c:pt>
                <c:pt idx="180">
                  <c:v>62</c:v>
                </c:pt>
                <c:pt idx="181">
                  <c:v>115</c:v>
                </c:pt>
                <c:pt idx="182">
                  <c:v>69</c:v>
                </c:pt>
                <c:pt idx="183">
                  <c:v>103</c:v>
                </c:pt>
                <c:pt idx="184">
                  <c:v>75</c:v>
                </c:pt>
                <c:pt idx="185">
                  <c:v>92</c:v>
                </c:pt>
                <c:pt idx="186">
                  <c:v>41</c:v>
                </c:pt>
                <c:pt idx="187">
                  <c:v>134</c:v>
                </c:pt>
                <c:pt idx="188">
                  <c:v>80</c:v>
                </c:pt>
                <c:pt idx="189">
                  <c:v>103</c:v>
                </c:pt>
                <c:pt idx="190">
                  <c:v>20</c:v>
                </c:pt>
                <c:pt idx="191">
                  <c:v>75</c:v>
                </c:pt>
                <c:pt idx="192">
                  <c:v>80</c:v>
                </c:pt>
                <c:pt idx="193">
                  <c:v>85</c:v>
                </c:pt>
                <c:pt idx="194">
                  <c:v>155</c:v>
                </c:pt>
                <c:pt idx="195">
                  <c:v>63</c:v>
                </c:pt>
                <c:pt idx="196">
                  <c:v>105</c:v>
                </c:pt>
                <c:pt idx="197">
                  <c:v>71</c:v>
                </c:pt>
                <c:pt idx="198">
                  <c:v>100</c:v>
                </c:pt>
                <c:pt idx="199">
                  <c:v>93</c:v>
                </c:pt>
                <c:pt idx="200">
                  <c:v>84</c:v>
                </c:pt>
                <c:pt idx="201">
                  <c:v>56</c:v>
                </c:pt>
                <c:pt idx="202">
                  <c:v>63</c:v>
                </c:pt>
                <c:pt idx="203">
                  <c:v>83</c:v>
                </c:pt>
                <c:pt idx="204">
                  <c:v>134</c:v>
                </c:pt>
                <c:pt idx="205">
                  <c:v>73</c:v>
                </c:pt>
                <c:pt idx="206">
                  <c:v>6</c:v>
                </c:pt>
                <c:pt idx="207">
                  <c:v>46</c:v>
                </c:pt>
                <c:pt idx="208">
                  <c:v>121</c:v>
                </c:pt>
                <c:pt idx="209">
                  <c:v>61</c:v>
                </c:pt>
                <c:pt idx="210">
                  <c:v>144</c:v>
                </c:pt>
                <c:pt idx="211">
                  <c:v>145</c:v>
                </c:pt>
                <c:pt idx="212">
                  <c:v>85</c:v>
                </c:pt>
                <c:pt idx="213">
                  <c:v>13</c:v>
                </c:pt>
                <c:pt idx="214">
                  <c:v>142</c:v>
                </c:pt>
                <c:pt idx="215">
                  <c:v>28</c:v>
                </c:pt>
                <c:pt idx="216">
                  <c:v>119</c:v>
                </c:pt>
                <c:pt idx="217">
                  <c:v>65</c:v>
                </c:pt>
                <c:pt idx="218">
                  <c:v>68</c:v>
                </c:pt>
                <c:pt idx="219">
                  <c:v>72</c:v>
                </c:pt>
                <c:pt idx="220">
                  <c:v>63</c:v>
                </c:pt>
                <c:pt idx="221">
                  <c:v>139</c:v>
                </c:pt>
                <c:pt idx="222">
                  <c:v>59</c:v>
                </c:pt>
                <c:pt idx="223">
                  <c:v>138</c:v>
                </c:pt>
                <c:pt idx="224">
                  <c:v>47</c:v>
                </c:pt>
                <c:pt idx="225">
                  <c:v>74</c:v>
                </c:pt>
                <c:pt idx="226">
                  <c:v>65</c:v>
                </c:pt>
                <c:pt idx="227">
                  <c:v>123</c:v>
                </c:pt>
                <c:pt idx="228">
                  <c:v>90</c:v>
                </c:pt>
                <c:pt idx="229">
                  <c:v>127</c:v>
                </c:pt>
                <c:pt idx="230">
                  <c:v>60</c:v>
                </c:pt>
                <c:pt idx="231">
                  <c:v>94</c:v>
                </c:pt>
                <c:pt idx="232">
                  <c:v>54</c:v>
                </c:pt>
                <c:pt idx="233">
                  <c:v>104</c:v>
                </c:pt>
                <c:pt idx="234">
                  <c:v>100</c:v>
                </c:pt>
                <c:pt idx="235">
                  <c:v>84</c:v>
                </c:pt>
                <c:pt idx="236">
                  <c:v>92</c:v>
                </c:pt>
                <c:pt idx="237">
                  <c:v>64</c:v>
                </c:pt>
                <c:pt idx="238">
                  <c:v>89</c:v>
                </c:pt>
                <c:pt idx="239">
                  <c:v>40</c:v>
                </c:pt>
                <c:pt idx="240">
                  <c:v>75</c:v>
                </c:pt>
                <c:pt idx="241">
                  <c:v>106</c:v>
                </c:pt>
                <c:pt idx="242">
                  <c:v>58</c:v>
                </c:pt>
                <c:pt idx="243">
                  <c:v>84</c:v>
                </c:pt>
                <c:pt idx="244">
                  <c:v>140</c:v>
                </c:pt>
                <c:pt idx="245">
                  <c:v>67</c:v>
                </c:pt>
                <c:pt idx="246">
                  <c:v>126</c:v>
                </c:pt>
                <c:pt idx="247">
                  <c:v>89</c:v>
                </c:pt>
                <c:pt idx="248">
                  <c:v>56</c:v>
                </c:pt>
                <c:pt idx="249">
                  <c:v>48</c:v>
                </c:pt>
                <c:pt idx="250">
                  <c:v>55</c:v>
                </c:pt>
                <c:pt idx="251">
                  <c:v>88</c:v>
                </c:pt>
                <c:pt idx="252">
                  <c:v>102</c:v>
                </c:pt>
                <c:pt idx="253">
                  <c:v>155</c:v>
                </c:pt>
                <c:pt idx="254">
                  <c:v>63</c:v>
                </c:pt>
                <c:pt idx="255">
                  <c:v>59</c:v>
                </c:pt>
                <c:pt idx="256">
                  <c:v>144</c:v>
                </c:pt>
                <c:pt idx="257">
                  <c:v>113</c:v>
                </c:pt>
                <c:pt idx="258">
                  <c:v>154</c:v>
                </c:pt>
                <c:pt idx="259">
                  <c:v>58</c:v>
                </c:pt>
                <c:pt idx="260">
                  <c:v>63</c:v>
                </c:pt>
                <c:pt idx="261">
                  <c:v>59</c:v>
                </c:pt>
                <c:pt idx="262">
                  <c:v>129</c:v>
                </c:pt>
                <c:pt idx="263">
                  <c:v>101</c:v>
                </c:pt>
                <c:pt idx="264">
                  <c:v>154</c:v>
                </c:pt>
                <c:pt idx="265">
                  <c:v>131</c:v>
                </c:pt>
                <c:pt idx="266">
                  <c:v>111</c:v>
                </c:pt>
                <c:pt idx="267">
                  <c:v>142</c:v>
                </c:pt>
                <c:pt idx="268">
                  <c:v>93</c:v>
                </c:pt>
                <c:pt idx="269">
                  <c:v>125</c:v>
                </c:pt>
                <c:pt idx="270">
                  <c:v>76</c:v>
                </c:pt>
                <c:pt idx="271">
                  <c:v>69</c:v>
                </c:pt>
                <c:pt idx="272">
                  <c:v>149</c:v>
                </c:pt>
                <c:pt idx="273">
                  <c:v>57</c:v>
                </c:pt>
                <c:pt idx="274">
                  <c:v>113</c:v>
                </c:pt>
                <c:pt idx="275">
                  <c:v>160</c:v>
                </c:pt>
                <c:pt idx="276">
                  <c:v>158</c:v>
                </c:pt>
                <c:pt idx="277">
                  <c:v>77</c:v>
                </c:pt>
                <c:pt idx="278">
                  <c:v>118</c:v>
                </c:pt>
                <c:pt idx="279">
                  <c:v>75</c:v>
                </c:pt>
                <c:pt idx="280">
                  <c:v>103</c:v>
                </c:pt>
                <c:pt idx="281">
                  <c:v>116</c:v>
                </c:pt>
                <c:pt idx="282">
                  <c:v>61</c:v>
                </c:pt>
                <c:pt idx="283">
                  <c:v>126</c:v>
                </c:pt>
                <c:pt idx="284">
                  <c:v>141</c:v>
                </c:pt>
                <c:pt idx="285">
                  <c:v>95</c:v>
                </c:pt>
                <c:pt idx="286">
                  <c:v>39</c:v>
                </c:pt>
                <c:pt idx="287">
                  <c:v>127</c:v>
                </c:pt>
                <c:pt idx="288">
                  <c:v>78</c:v>
                </c:pt>
                <c:pt idx="289">
                  <c:v>40</c:v>
                </c:pt>
                <c:pt idx="290">
                  <c:v>56</c:v>
                </c:pt>
                <c:pt idx="291">
                  <c:v>59</c:v>
                </c:pt>
                <c:pt idx="292">
                  <c:v>30</c:v>
                </c:pt>
                <c:pt idx="293">
                  <c:v>63</c:v>
                </c:pt>
                <c:pt idx="294">
                  <c:v>56</c:v>
                </c:pt>
                <c:pt idx="295">
                  <c:v>95</c:v>
                </c:pt>
                <c:pt idx="296">
                  <c:v>128</c:v>
                </c:pt>
                <c:pt idx="297">
                  <c:v>49</c:v>
                </c:pt>
                <c:pt idx="298">
                  <c:v>89</c:v>
                </c:pt>
                <c:pt idx="299">
                  <c:v>87</c:v>
                </c:pt>
                <c:pt idx="300">
                  <c:v>60</c:v>
                </c:pt>
                <c:pt idx="301">
                  <c:v>42</c:v>
                </c:pt>
                <c:pt idx="302">
                  <c:v>99</c:v>
                </c:pt>
                <c:pt idx="303">
                  <c:v>20</c:v>
                </c:pt>
                <c:pt idx="304">
                  <c:v>65</c:v>
                </c:pt>
                <c:pt idx="305">
                  <c:v>71</c:v>
                </c:pt>
                <c:pt idx="306">
                  <c:v>95</c:v>
                </c:pt>
                <c:pt idx="307">
                  <c:v>81</c:v>
                </c:pt>
                <c:pt idx="308">
                  <c:v>137</c:v>
                </c:pt>
                <c:pt idx="309">
                  <c:v>40</c:v>
                </c:pt>
                <c:pt idx="310">
                  <c:v>111</c:v>
                </c:pt>
                <c:pt idx="311">
                  <c:v>106</c:v>
                </c:pt>
                <c:pt idx="312">
                  <c:v>133</c:v>
                </c:pt>
                <c:pt idx="313">
                  <c:v>38</c:v>
                </c:pt>
                <c:pt idx="314">
                  <c:v>130</c:v>
                </c:pt>
                <c:pt idx="315">
                  <c:v>23</c:v>
                </c:pt>
                <c:pt idx="316">
                  <c:v>124</c:v>
                </c:pt>
                <c:pt idx="317">
                  <c:v>107</c:v>
                </c:pt>
                <c:pt idx="318">
                  <c:v>60</c:v>
                </c:pt>
                <c:pt idx="319">
                  <c:v>158</c:v>
                </c:pt>
                <c:pt idx="320">
                  <c:v>110</c:v>
                </c:pt>
                <c:pt idx="321">
                  <c:v>70</c:v>
                </c:pt>
                <c:pt idx="322">
                  <c:v>150</c:v>
                </c:pt>
                <c:pt idx="323">
                  <c:v>36</c:v>
                </c:pt>
                <c:pt idx="324">
                  <c:v>74</c:v>
                </c:pt>
                <c:pt idx="325">
                  <c:v>75</c:v>
                </c:pt>
                <c:pt idx="326">
                  <c:v>70</c:v>
                </c:pt>
                <c:pt idx="327">
                  <c:v>23</c:v>
                </c:pt>
                <c:pt idx="328">
                  <c:v>104</c:v>
                </c:pt>
                <c:pt idx="329">
                  <c:v>95</c:v>
                </c:pt>
                <c:pt idx="330">
                  <c:v>49</c:v>
                </c:pt>
                <c:pt idx="331">
                  <c:v>8</c:v>
                </c:pt>
                <c:pt idx="332">
                  <c:v>157</c:v>
                </c:pt>
                <c:pt idx="333">
                  <c:v>74</c:v>
                </c:pt>
                <c:pt idx="334">
                  <c:v>72</c:v>
                </c:pt>
                <c:pt idx="335">
                  <c:v>79</c:v>
                </c:pt>
                <c:pt idx="336">
                  <c:v>23</c:v>
                </c:pt>
                <c:pt idx="337">
                  <c:v>69</c:v>
                </c:pt>
                <c:pt idx="338">
                  <c:v>64</c:v>
                </c:pt>
                <c:pt idx="339">
                  <c:v>47</c:v>
                </c:pt>
                <c:pt idx="340">
                  <c:v>55</c:v>
                </c:pt>
                <c:pt idx="341">
                  <c:v>104</c:v>
                </c:pt>
                <c:pt idx="342">
                  <c:v>116</c:v>
                </c:pt>
                <c:pt idx="343">
                  <c:v>99</c:v>
                </c:pt>
                <c:pt idx="344">
                  <c:v>84</c:v>
                </c:pt>
                <c:pt idx="345">
                  <c:v>159</c:v>
                </c:pt>
                <c:pt idx="346">
                  <c:v>25</c:v>
                </c:pt>
                <c:pt idx="347">
                  <c:v>53</c:v>
                </c:pt>
                <c:pt idx="348">
                  <c:v>89</c:v>
                </c:pt>
                <c:pt idx="349">
                  <c:v>73</c:v>
                </c:pt>
                <c:pt idx="350">
                  <c:v>50</c:v>
                </c:pt>
                <c:pt idx="351">
                  <c:v>98</c:v>
                </c:pt>
                <c:pt idx="352">
                  <c:v>114</c:v>
                </c:pt>
                <c:pt idx="353">
                  <c:v>67</c:v>
                </c:pt>
                <c:pt idx="354">
                  <c:v>91</c:v>
                </c:pt>
                <c:pt idx="355">
                  <c:v>67</c:v>
                </c:pt>
                <c:pt idx="356">
                  <c:v>139</c:v>
                </c:pt>
                <c:pt idx="357">
                  <c:v>102</c:v>
                </c:pt>
                <c:pt idx="358">
                  <c:v>108</c:v>
                </c:pt>
                <c:pt idx="359">
                  <c:v>66</c:v>
                </c:pt>
                <c:pt idx="360">
                  <c:v>85</c:v>
                </c:pt>
                <c:pt idx="361">
                  <c:v>55</c:v>
                </c:pt>
                <c:pt idx="362">
                  <c:v>17</c:v>
                </c:pt>
                <c:pt idx="363">
                  <c:v>128</c:v>
                </c:pt>
                <c:pt idx="364">
                  <c:v>45</c:v>
                </c:pt>
                <c:pt idx="365">
                  <c:v>41</c:v>
                </c:pt>
                <c:pt idx="366">
                  <c:v>49</c:v>
                </c:pt>
                <c:pt idx="367">
                  <c:v>21</c:v>
                </c:pt>
                <c:pt idx="368">
                  <c:v>133</c:v>
                </c:pt>
                <c:pt idx="369">
                  <c:v>135</c:v>
                </c:pt>
                <c:pt idx="370">
                  <c:v>69</c:v>
                </c:pt>
                <c:pt idx="371">
                  <c:v>110</c:v>
                </c:pt>
                <c:pt idx="372">
                  <c:v>64</c:v>
                </c:pt>
                <c:pt idx="373">
                  <c:v>105</c:v>
                </c:pt>
                <c:pt idx="374">
                  <c:v>165</c:v>
                </c:pt>
                <c:pt idx="375">
                  <c:v>125</c:v>
                </c:pt>
                <c:pt idx="376">
                  <c:v>88</c:v>
                </c:pt>
                <c:pt idx="377">
                  <c:v>6</c:v>
                </c:pt>
                <c:pt idx="378">
                  <c:v>69</c:v>
                </c:pt>
                <c:pt idx="379">
                  <c:v>107</c:v>
                </c:pt>
                <c:pt idx="380">
                  <c:v>90</c:v>
                </c:pt>
                <c:pt idx="381">
                  <c:v>120</c:v>
                </c:pt>
                <c:pt idx="382">
                  <c:v>47</c:v>
                </c:pt>
                <c:pt idx="383">
                  <c:v>60</c:v>
                </c:pt>
                <c:pt idx="384">
                  <c:v>64</c:v>
                </c:pt>
                <c:pt idx="385">
                  <c:v>62</c:v>
                </c:pt>
                <c:pt idx="386">
                  <c:v>88</c:v>
                </c:pt>
                <c:pt idx="387">
                  <c:v>116</c:v>
                </c:pt>
                <c:pt idx="388">
                  <c:v>82</c:v>
                </c:pt>
                <c:pt idx="389">
                  <c:v>99</c:v>
                </c:pt>
                <c:pt idx="390">
                  <c:v>55</c:v>
                </c:pt>
                <c:pt idx="391">
                  <c:v>61</c:v>
                </c:pt>
                <c:pt idx="392">
                  <c:v>36</c:v>
                </c:pt>
                <c:pt idx="393">
                  <c:v>123</c:v>
                </c:pt>
                <c:pt idx="394">
                  <c:v>24</c:v>
                </c:pt>
                <c:pt idx="395">
                  <c:v>43</c:v>
                </c:pt>
                <c:pt idx="396">
                  <c:v>95</c:v>
                </c:pt>
                <c:pt idx="397">
                  <c:v>53</c:v>
                </c:pt>
                <c:pt idx="398">
                  <c:v>113</c:v>
                </c:pt>
                <c:pt idx="399">
                  <c:v>89</c:v>
                </c:pt>
                <c:pt idx="400">
                  <c:v>84</c:v>
                </c:pt>
                <c:pt idx="401">
                  <c:v>130</c:v>
                </c:pt>
                <c:pt idx="402">
                  <c:v>163</c:v>
                </c:pt>
                <c:pt idx="403">
                  <c:v>127</c:v>
                </c:pt>
                <c:pt idx="404">
                  <c:v>50</c:v>
                </c:pt>
                <c:pt idx="405">
                  <c:v>88</c:v>
                </c:pt>
                <c:pt idx="406">
                  <c:v>139</c:v>
                </c:pt>
                <c:pt idx="407">
                  <c:v>111</c:v>
                </c:pt>
                <c:pt idx="408">
                  <c:v>115</c:v>
                </c:pt>
                <c:pt idx="409">
                  <c:v>26</c:v>
                </c:pt>
                <c:pt idx="410">
                  <c:v>131</c:v>
                </c:pt>
                <c:pt idx="411">
                  <c:v>27</c:v>
                </c:pt>
                <c:pt idx="412">
                  <c:v>75</c:v>
                </c:pt>
                <c:pt idx="413">
                  <c:v>123</c:v>
                </c:pt>
                <c:pt idx="414">
                  <c:v>129</c:v>
                </c:pt>
                <c:pt idx="415">
                  <c:v>124</c:v>
                </c:pt>
                <c:pt idx="416">
                  <c:v>108</c:v>
                </c:pt>
                <c:pt idx="417">
                  <c:v>15</c:v>
                </c:pt>
                <c:pt idx="418">
                  <c:v>66</c:v>
                </c:pt>
                <c:pt idx="419">
                  <c:v>126</c:v>
                </c:pt>
                <c:pt idx="420">
                  <c:v>26</c:v>
                </c:pt>
                <c:pt idx="421">
                  <c:v>105</c:v>
                </c:pt>
                <c:pt idx="422">
                  <c:v>31</c:v>
                </c:pt>
                <c:pt idx="423">
                  <c:v>109</c:v>
                </c:pt>
                <c:pt idx="424">
                  <c:v>113</c:v>
                </c:pt>
                <c:pt idx="425">
                  <c:v>101</c:v>
                </c:pt>
                <c:pt idx="426">
                  <c:v>156</c:v>
                </c:pt>
                <c:pt idx="427">
                  <c:v>145</c:v>
                </c:pt>
                <c:pt idx="428">
                  <c:v>36</c:v>
                </c:pt>
                <c:pt idx="429">
                  <c:v>135</c:v>
                </c:pt>
                <c:pt idx="430">
                  <c:v>81</c:v>
                </c:pt>
                <c:pt idx="431">
                  <c:v>81</c:v>
                </c:pt>
                <c:pt idx="432">
                  <c:v>93</c:v>
                </c:pt>
                <c:pt idx="433">
                  <c:v>14</c:v>
                </c:pt>
                <c:pt idx="434">
                  <c:v>95</c:v>
                </c:pt>
                <c:pt idx="435">
                  <c:v>81</c:v>
                </c:pt>
                <c:pt idx="436">
                  <c:v>60</c:v>
                </c:pt>
                <c:pt idx="437">
                  <c:v>137</c:v>
                </c:pt>
                <c:pt idx="438">
                  <c:v>112</c:v>
                </c:pt>
                <c:pt idx="439">
                  <c:v>76</c:v>
                </c:pt>
                <c:pt idx="440">
                  <c:v>73</c:v>
                </c:pt>
                <c:pt idx="441">
                  <c:v>119</c:v>
                </c:pt>
                <c:pt idx="442">
                  <c:v>135</c:v>
                </c:pt>
                <c:pt idx="443">
                  <c:v>41</c:v>
                </c:pt>
                <c:pt idx="444">
                  <c:v>35</c:v>
                </c:pt>
                <c:pt idx="445">
                  <c:v>96</c:v>
                </c:pt>
                <c:pt idx="446">
                  <c:v>61</c:v>
                </c:pt>
                <c:pt idx="447">
                  <c:v>91</c:v>
                </c:pt>
                <c:pt idx="448">
                  <c:v>30</c:v>
                </c:pt>
                <c:pt idx="449">
                  <c:v>111</c:v>
                </c:pt>
                <c:pt idx="450">
                  <c:v>81</c:v>
                </c:pt>
                <c:pt idx="451">
                  <c:v>40</c:v>
                </c:pt>
                <c:pt idx="452">
                  <c:v>143</c:v>
                </c:pt>
                <c:pt idx="453">
                  <c:v>70</c:v>
                </c:pt>
                <c:pt idx="454">
                  <c:v>137</c:v>
                </c:pt>
                <c:pt idx="455">
                  <c:v>52</c:v>
                </c:pt>
                <c:pt idx="456">
                  <c:v>31</c:v>
                </c:pt>
                <c:pt idx="457">
                  <c:v>114</c:v>
                </c:pt>
                <c:pt idx="458">
                  <c:v>73</c:v>
                </c:pt>
                <c:pt idx="459">
                  <c:v>25</c:v>
                </c:pt>
                <c:pt idx="460">
                  <c:v>44</c:v>
                </c:pt>
                <c:pt idx="461">
                  <c:v>34</c:v>
                </c:pt>
                <c:pt idx="462">
                  <c:v>89</c:v>
                </c:pt>
                <c:pt idx="463">
                  <c:v>54</c:v>
                </c:pt>
                <c:pt idx="464">
                  <c:v>25</c:v>
                </c:pt>
                <c:pt idx="465">
                  <c:v>91</c:v>
                </c:pt>
                <c:pt idx="466">
                  <c:v>144</c:v>
                </c:pt>
                <c:pt idx="467">
                  <c:v>81</c:v>
                </c:pt>
                <c:pt idx="468">
                  <c:v>92</c:v>
                </c:pt>
                <c:pt idx="469">
                  <c:v>115</c:v>
                </c:pt>
                <c:pt idx="470">
                  <c:v>56</c:v>
                </c:pt>
                <c:pt idx="471">
                  <c:v>154</c:v>
                </c:pt>
                <c:pt idx="472">
                  <c:v>51</c:v>
                </c:pt>
                <c:pt idx="473">
                  <c:v>21</c:v>
                </c:pt>
                <c:pt idx="474">
                  <c:v>80</c:v>
                </c:pt>
                <c:pt idx="475">
                  <c:v>139</c:v>
                </c:pt>
                <c:pt idx="476">
                  <c:v>50</c:v>
                </c:pt>
                <c:pt idx="477">
                  <c:v>88</c:v>
                </c:pt>
                <c:pt idx="478">
                  <c:v>19</c:v>
                </c:pt>
                <c:pt idx="479">
                  <c:v>104</c:v>
                </c:pt>
                <c:pt idx="480">
                  <c:v>67</c:v>
                </c:pt>
                <c:pt idx="481">
                  <c:v>107</c:v>
                </c:pt>
                <c:pt idx="482">
                  <c:v>93</c:v>
                </c:pt>
                <c:pt idx="483">
                  <c:v>117</c:v>
                </c:pt>
                <c:pt idx="484">
                  <c:v>76</c:v>
                </c:pt>
                <c:pt idx="485">
                  <c:v>64</c:v>
                </c:pt>
                <c:pt idx="486">
                  <c:v>33</c:v>
                </c:pt>
                <c:pt idx="487">
                  <c:v>115</c:v>
                </c:pt>
                <c:pt idx="488">
                  <c:v>155</c:v>
                </c:pt>
                <c:pt idx="489">
                  <c:v>117</c:v>
                </c:pt>
                <c:pt idx="490">
                  <c:v>63</c:v>
                </c:pt>
                <c:pt idx="491">
                  <c:v>59</c:v>
                </c:pt>
                <c:pt idx="492">
                  <c:v>133</c:v>
                </c:pt>
                <c:pt idx="493">
                  <c:v>101</c:v>
                </c:pt>
                <c:pt idx="494">
                  <c:v>151</c:v>
                </c:pt>
                <c:pt idx="495">
                  <c:v>146</c:v>
                </c:pt>
                <c:pt idx="496">
                  <c:v>148</c:v>
                </c:pt>
                <c:pt idx="497">
                  <c:v>81</c:v>
                </c:pt>
                <c:pt idx="498">
                  <c:v>115</c:v>
                </c:pt>
                <c:pt idx="499">
                  <c:v>117</c:v>
                </c:pt>
                <c:pt idx="500">
                  <c:v>110</c:v>
                </c:pt>
                <c:pt idx="501">
                  <c:v>103</c:v>
                </c:pt>
                <c:pt idx="502">
                  <c:v>45</c:v>
                </c:pt>
                <c:pt idx="503">
                  <c:v>110</c:v>
                </c:pt>
                <c:pt idx="504">
                  <c:v>43</c:v>
                </c:pt>
                <c:pt idx="505">
                  <c:v>104</c:v>
                </c:pt>
                <c:pt idx="506">
                  <c:v>101</c:v>
                </c:pt>
                <c:pt idx="507">
                  <c:v>55</c:v>
                </c:pt>
                <c:pt idx="508">
                  <c:v>40</c:v>
                </c:pt>
                <c:pt idx="509">
                  <c:v>122</c:v>
                </c:pt>
                <c:pt idx="510">
                  <c:v>98</c:v>
                </c:pt>
                <c:pt idx="511">
                  <c:v>110</c:v>
                </c:pt>
                <c:pt idx="512">
                  <c:v>62</c:v>
                </c:pt>
                <c:pt idx="513">
                  <c:v>134</c:v>
                </c:pt>
                <c:pt idx="514">
                  <c:v>94</c:v>
                </c:pt>
                <c:pt idx="515">
                  <c:v>63</c:v>
                </c:pt>
                <c:pt idx="516">
                  <c:v>95</c:v>
                </c:pt>
                <c:pt idx="517">
                  <c:v>106</c:v>
                </c:pt>
                <c:pt idx="518">
                  <c:v>94</c:v>
                </c:pt>
                <c:pt idx="519">
                  <c:v>51</c:v>
                </c:pt>
                <c:pt idx="520">
                  <c:v>39</c:v>
                </c:pt>
                <c:pt idx="521">
                  <c:v>111</c:v>
                </c:pt>
                <c:pt idx="522">
                  <c:v>141</c:v>
                </c:pt>
                <c:pt idx="523">
                  <c:v>147</c:v>
                </c:pt>
                <c:pt idx="524">
                  <c:v>49</c:v>
                </c:pt>
                <c:pt idx="525">
                  <c:v>75</c:v>
                </c:pt>
                <c:pt idx="526">
                  <c:v>48</c:v>
                </c:pt>
                <c:pt idx="527">
                  <c:v>48</c:v>
                </c:pt>
                <c:pt idx="528">
                  <c:v>138</c:v>
                </c:pt>
                <c:pt idx="529">
                  <c:v>144</c:v>
                </c:pt>
                <c:pt idx="530">
                  <c:v>119</c:v>
                </c:pt>
                <c:pt idx="531">
                  <c:v>101</c:v>
                </c:pt>
                <c:pt idx="532">
                  <c:v>59</c:v>
                </c:pt>
                <c:pt idx="533">
                  <c:v>125</c:v>
                </c:pt>
                <c:pt idx="534">
                  <c:v>147</c:v>
                </c:pt>
                <c:pt idx="535">
                  <c:v>76</c:v>
                </c:pt>
                <c:pt idx="536">
                  <c:v>99</c:v>
                </c:pt>
                <c:pt idx="537">
                  <c:v>111</c:v>
                </c:pt>
                <c:pt idx="538">
                  <c:v>147</c:v>
                </c:pt>
                <c:pt idx="539">
                  <c:v>141</c:v>
                </c:pt>
                <c:pt idx="540">
                  <c:v>71</c:v>
                </c:pt>
                <c:pt idx="541">
                  <c:v>121</c:v>
                </c:pt>
                <c:pt idx="542">
                  <c:v>60</c:v>
                </c:pt>
                <c:pt idx="543">
                  <c:v>158</c:v>
                </c:pt>
                <c:pt idx="544">
                  <c:v>159</c:v>
                </c:pt>
                <c:pt idx="545">
                  <c:v>70</c:v>
                </c:pt>
                <c:pt idx="546">
                  <c:v>78</c:v>
                </c:pt>
                <c:pt idx="547">
                  <c:v>103</c:v>
                </c:pt>
                <c:pt idx="548">
                  <c:v>108</c:v>
                </c:pt>
                <c:pt idx="549">
                  <c:v>44</c:v>
                </c:pt>
                <c:pt idx="550">
                  <c:v>127</c:v>
                </c:pt>
                <c:pt idx="551">
                  <c:v>132</c:v>
                </c:pt>
                <c:pt idx="552">
                  <c:v>106</c:v>
                </c:pt>
                <c:pt idx="553">
                  <c:v>107</c:v>
                </c:pt>
                <c:pt idx="554">
                  <c:v>85</c:v>
                </c:pt>
                <c:pt idx="555">
                  <c:v>49</c:v>
                </c:pt>
                <c:pt idx="556">
                  <c:v>117</c:v>
                </c:pt>
                <c:pt idx="557">
                  <c:v>136</c:v>
                </c:pt>
                <c:pt idx="558">
                  <c:v>130</c:v>
                </c:pt>
                <c:pt idx="559">
                  <c:v>73</c:v>
                </c:pt>
                <c:pt idx="560">
                  <c:v>80</c:v>
                </c:pt>
                <c:pt idx="561">
                  <c:v>44</c:v>
                </c:pt>
                <c:pt idx="562">
                  <c:v>102</c:v>
                </c:pt>
                <c:pt idx="563">
                  <c:v>74</c:v>
                </c:pt>
                <c:pt idx="564">
                  <c:v>52</c:v>
                </c:pt>
                <c:pt idx="565">
                  <c:v>74</c:v>
                </c:pt>
                <c:pt idx="566">
                  <c:v>96</c:v>
                </c:pt>
                <c:pt idx="567">
                  <c:v>104</c:v>
                </c:pt>
                <c:pt idx="568">
                  <c:v>123</c:v>
                </c:pt>
                <c:pt idx="569">
                  <c:v>100</c:v>
                </c:pt>
                <c:pt idx="570">
                  <c:v>35</c:v>
                </c:pt>
                <c:pt idx="571">
                  <c:v>123</c:v>
                </c:pt>
                <c:pt idx="572">
                  <c:v>133</c:v>
                </c:pt>
                <c:pt idx="573">
                  <c:v>126</c:v>
                </c:pt>
                <c:pt idx="574">
                  <c:v>39</c:v>
                </c:pt>
                <c:pt idx="575">
                  <c:v>31</c:v>
                </c:pt>
                <c:pt idx="576">
                  <c:v>25</c:v>
                </c:pt>
                <c:pt idx="577">
                  <c:v>132</c:v>
                </c:pt>
                <c:pt idx="578">
                  <c:v>63</c:v>
                </c:pt>
                <c:pt idx="579">
                  <c:v>135</c:v>
                </c:pt>
                <c:pt idx="580">
                  <c:v>101</c:v>
                </c:pt>
                <c:pt idx="581">
                  <c:v>80</c:v>
                </c:pt>
                <c:pt idx="582">
                  <c:v>28</c:v>
                </c:pt>
                <c:pt idx="583">
                  <c:v>102</c:v>
                </c:pt>
                <c:pt idx="584">
                  <c:v>60</c:v>
                </c:pt>
                <c:pt idx="585">
                  <c:v>103</c:v>
                </c:pt>
                <c:pt idx="586">
                  <c:v>90</c:v>
                </c:pt>
                <c:pt idx="587">
                  <c:v>88</c:v>
                </c:pt>
                <c:pt idx="588">
                  <c:v>37</c:v>
                </c:pt>
                <c:pt idx="589">
                  <c:v>142</c:v>
                </c:pt>
                <c:pt idx="590">
                  <c:v>153</c:v>
                </c:pt>
                <c:pt idx="591">
                  <c:v>128</c:v>
                </c:pt>
                <c:pt idx="592">
                  <c:v>110</c:v>
                </c:pt>
                <c:pt idx="593">
                  <c:v>139</c:v>
                </c:pt>
                <c:pt idx="594">
                  <c:v>109</c:v>
                </c:pt>
                <c:pt idx="595">
                  <c:v>57</c:v>
                </c:pt>
                <c:pt idx="596">
                  <c:v>68</c:v>
                </c:pt>
                <c:pt idx="597">
                  <c:v>128</c:v>
                </c:pt>
                <c:pt idx="598">
                  <c:v>102</c:v>
                </c:pt>
                <c:pt idx="599">
                  <c:v>52</c:v>
                </c:pt>
                <c:pt idx="600">
                  <c:v>55</c:v>
                </c:pt>
                <c:pt idx="601">
                  <c:v>107</c:v>
                </c:pt>
                <c:pt idx="602">
                  <c:v>88</c:v>
                </c:pt>
                <c:pt idx="603">
                  <c:v>49</c:v>
                </c:pt>
                <c:pt idx="604">
                  <c:v>72</c:v>
                </c:pt>
                <c:pt idx="605">
                  <c:v>50</c:v>
                </c:pt>
                <c:pt idx="606">
                  <c:v>52</c:v>
                </c:pt>
                <c:pt idx="607">
                  <c:v>85</c:v>
                </c:pt>
                <c:pt idx="608">
                  <c:v>98</c:v>
                </c:pt>
                <c:pt idx="609">
                  <c:v>52</c:v>
                </c:pt>
                <c:pt idx="610">
                  <c:v>154</c:v>
                </c:pt>
                <c:pt idx="611">
                  <c:v>131</c:v>
                </c:pt>
                <c:pt idx="612">
                  <c:v>73</c:v>
                </c:pt>
                <c:pt idx="613">
                  <c:v>45</c:v>
                </c:pt>
                <c:pt idx="614">
                  <c:v>114</c:v>
                </c:pt>
                <c:pt idx="615">
                  <c:v>69</c:v>
                </c:pt>
                <c:pt idx="616">
                  <c:v>33</c:v>
                </c:pt>
                <c:pt idx="617">
                  <c:v>31</c:v>
                </c:pt>
                <c:pt idx="618">
                  <c:v>168</c:v>
                </c:pt>
                <c:pt idx="619">
                  <c:v>111</c:v>
                </c:pt>
                <c:pt idx="620">
                  <c:v>80</c:v>
                </c:pt>
                <c:pt idx="621">
                  <c:v>37</c:v>
                </c:pt>
                <c:pt idx="622">
                  <c:v>137</c:v>
                </c:pt>
                <c:pt idx="623">
                  <c:v>123</c:v>
                </c:pt>
                <c:pt idx="624">
                  <c:v>105</c:v>
                </c:pt>
                <c:pt idx="625">
                  <c:v>76</c:v>
                </c:pt>
                <c:pt idx="626">
                  <c:v>144</c:v>
                </c:pt>
                <c:pt idx="627">
                  <c:v>109</c:v>
                </c:pt>
                <c:pt idx="628">
                  <c:v>172</c:v>
                </c:pt>
                <c:pt idx="629">
                  <c:v>56</c:v>
                </c:pt>
                <c:pt idx="630">
                  <c:v>121</c:v>
                </c:pt>
                <c:pt idx="631">
                  <c:v>41</c:v>
                </c:pt>
                <c:pt idx="632">
                  <c:v>60</c:v>
                </c:pt>
                <c:pt idx="633">
                  <c:v>144</c:v>
                </c:pt>
                <c:pt idx="634">
                  <c:v>67</c:v>
                </c:pt>
                <c:pt idx="635">
                  <c:v>162</c:v>
                </c:pt>
                <c:pt idx="636">
                  <c:v>87</c:v>
                </c:pt>
                <c:pt idx="637">
                  <c:v>10</c:v>
                </c:pt>
                <c:pt idx="638">
                  <c:v>138</c:v>
                </c:pt>
                <c:pt idx="639">
                  <c:v>31</c:v>
                </c:pt>
                <c:pt idx="640">
                  <c:v>75</c:v>
                </c:pt>
                <c:pt idx="641">
                  <c:v>65</c:v>
                </c:pt>
                <c:pt idx="642">
                  <c:v>106</c:v>
                </c:pt>
                <c:pt idx="643">
                  <c:v>107</c:v>
                </c:pt>
                <c:pt idx="644">
                  <c:v>78</c:v>
                </c:pt>
                <c:pt idx="645">
                  <c:v>122</c:v>
                </c:pt>
                <c:pt idx="646">
                  <c:v>58</c:v>
                </c:pt>
                <c:pt idx="647">
                  <c:v>33</c:v>
                </c:pt>
                <c:pt idx="648">
                  <c:v>164</c:v>
                </c:pt>
                <c:pt idx="649">
                  <c:v>163</c:v>
                </c:pt>
                <c:pt idx="650">
                  <c:v>71</c:v>
                </c:pt>
                <c:pt idx="651">
                  <c:v>103</c:v>
                </c:pt>
                <c:pt idx="652">
                  <c:v>69</c:v>
                </c:pt>
                <c:pt idx="653">
                  <c:v>111</c:v>
                </c:pt>
                <c:pt idx="654">
                  <c:v>97</c:v>
                </c:pt>
                <c:pt idx="655">
                  <c:v>144</c:v>
                </c:pt>
                <c:pt idx="656">
                  <c:v>56</c:v>
                </c:pt>
                <c:pt idx="657">
                  <c:v>132</c:v>
                </c:pt>
                <c:pt idx="658">
                  <c:v>72</c:v>
                </c:pt>
                <c:pt idx="659">
                  <c:v>18</c:v>
                </c:pt>
                <c:pt idx="660">
                  <c:v>115</c:v>
                </c:pt>
                <c:pt idx="661">
                  <c:v>124</c:v>
                </c:pt>
                <c:pt idx="662">
                  <c:v>130</c:v>
                </c:pt>
                <c:pt idx="663">
                  <c:v>120</c:v>
                </c:pt>
                <c:pt idx="664">
                  <c:v>75</c:v>
                </c:pt>
                <c:pt idx="665">
                  <c:v>63</c:v>
                </c:pt>
                <c:pt idx="666">
                  <c:v>74</c:v>
                </c:pt>
                <c:pt idx="667">
                  <c:v>134</c:v>
                </c:pt>
                <c:pt idx="668">
                  <c:v>103</c:v>
                </c:pt>
                <c:pt idx="669">
                  <c:v>155</c:v>
                </c:pt>
                <c:pt idx="670">
                  <c:v>128</c:v>
                </c:pt>
                <c:pt idx="671">
                  <c:v>89</c:v>
                </c:pt>
                <c:pt idx="672">
                  <c:v>81</c:v>
                </c:pt>
                <c:pt idx="673">
                  <c:v>66</c:v>
                </c:pt>
                <c:pt idx="674">
                  <c:v>61</c:v>
                </c:pt>
                <c:pt idx="675">
                  <c:v>128</c:v>
                </c:pt>
                <c:pt idx="676">
                  <c:v>30</c:v>
                </c:pt>
                <c:pt idx="677">
                  <c:v>63</c:v>
                </c:pt>
                <c:pt idx="678">
                  <c:v>64</c:v>
                </c:pt>
                <c:pt idx="679">
                  <c:v>151</c:v>
                </c:pt>
                <c:pt idx="680">
                  <c:v>116</c:v>
                </c:pt>
                <c:pt idx="681">
                  <c:v>111</c:v>
                </c:pt>
                <c:pt idx="682">
                  <c:v>15</c:v>
                </c:pt>
                <c:pt idx="683">
                  <c:v>18</c:v>
                </c:pt>
                <c:pt idx="684">
                  <c:v>146</c:v>
                </c:pt>
                <c:pt idx="685">
                  <c:v>73</c:v>
                </c:pt>
                <c:pt idx="686">
                  <c:v>108</c:v>
                </c:pt>
                <c:pt idx="687">
                  <c:v>52</c:v>
                </c:pt>
                <c:pt idx="688">
                  <c:v>165</c:v>
                </c:pt>
                <c:pt idx="689">
                  <c:v>104</c:v>
                </c:pt>
                <c:pt idx="690">
                  <c:v>131</c:v>
                </c:pt>
                <c:pt idx="691">
                  <c:v>80</c:v>
                </c:pt>
                <c:pt idx="692">
                  <c:v>49</c:v>
                </c:pt>
                <c:pt idx="693">
                  <c:v>73</c:v>
                </c:pt>
                <c:pt idx="694">
                  <c:v>117</c:v>
                </c:pt>
                <c:pt idx="695">
                  <c:v>38</c:v>
                </c:pt>
                <c:pt idx="696">
                  <c:v>109</c:v>
                </c:pt>
                <c:pt idx="697">
                  <c:v>70</c:v>
                </c:pt>
                <c:pt idx="698">
                  <c:v>51</c:v>
                </c:pt>
                <c:pt idx="699">
                  <c:v>100</c:v>
                </c:pt>
                <c:pt idx="700">
                  <c:v>124</c:v>
                </c:pt>
                <c:pt idx="701">
                  <c:v>143</c:v>
                </c:pt>
                <c:pt idx="702">
                  <c:v>96</c:v>
                </c:pt>
                <c:pt idx="703">
                  <c:v>84</c:v>
                </c:pt>
                <c:pt idx="704">
                  <c:v>111</c:v>
                </c:pt>
                <c:pt idx="705">
                  <c:v>103</c:v>
                </c:pt>
                <c:pt idx="706">
                  <c:v>61</c:v>
                </c:pt>
                <c:pt idx="707">
                  <c:v>113</c:v>
                </c:pt>
                <c:pt idx="708">
                  <c:v>96</c:v>
                </c:pt>
                <c:pt idx="709">
                  <c:v>131</c:v>
                </c:pt>
                <c:pt idx="710">
                  <c:v>52</c:v>
                </c:pt>
                <c:pt idx="711">
                  <c:v>100</c:v>
                </c:pt>
                <c:pt idx="712">
                  <c:v>58</c:v>
                </c:pt>
                <c:pt idx="713">
                  <c:v>144</c:v>
                </c:pt>
                <c:pt idx="714">
                  <c:v>53</c:v>
                </c:pt>
                <c:pt idx="715">
                  <c:v>97</c:v>
                </c:pt>
                <c:pt idx="716">
                  <c:v>64</c:v>
                </c:pt>
                <c:pt idx="717">
                  <c:v>106</c:v>
                </c:pt>
                <c:pt idx="718">
                  <c:v>36</c:v>
                </c:pt>
                <c:pt idx="719">
                  <c:v>74</c:v>
                </c:pt>
                <c:pt idx="720">
                  <c:v>143</c:v>
                </c:pt>
                <c:pt idx="721">
                  <c:v>94</c:v>
                </c:pt>
                <c:pt idx="722">
                  <c:v>124</c:v>
                </c:pt>
                <c:pt idx="723">
                  <c:v>156</c:v>
                </c:pt>
                <c:pt idx="724">
                  <c:v>107</c:v>
                </c:pt>
                <c:pt idx="725">
                  <c:v>58</c:v>
                </c:pt>
                <c:pt idx="726">
                  <c:v>66</c:v>
                </c:pt>
                <c:pt idx="727">
                  <c:v>75</c:v>
                </c:pt>
                <c:pt idx="728">
                  <c:v>8</c:v>
                </c:pt>
                <c:pt idx="729">
                  <c:v>76</c:v>
                </c:pt>
                <c:pt idx="730">
                  <c:v>110</c:v>
                </c:pt>
                <c:pt idx="731">
                  <c:v>50</c:v>
                </c:pt>
                <c:pt idx="732">
                  <c:v>78</c:v>
                </c:pt>
                <c:pt idx="733">
                  <c:v>59</c:v>
                </c:pt>
                <c:pt idx="734">
                  <c:v>126</c:v>
                </c:pt>
                <c:pt idx="735">
                  <c:v>43</c:v>
                </c:pt>
                <c:pt idx="736">
                  <c:v>79</c:v>
                </c:pt>
                <c:pt idx="737">
                  <c:v>71</c:v>
                </c:pt>
                <c:pt idx="738">
                  <c:v>94</c:v>
                </c:pt>
                <c:pt idx="739">
                  <c:v>108</c:v>
                </c:pt>
                <c:pt idx="740">
                  <c:v>76</c:v>
                </c:pt>
                <c:pt idx="741">
                  <c:v>136</c:v>
                </c:pt>
                <c:pt idx="742">
                  <c:v>129</c:v>
                </c:pt>
                <c:pt idx="743">
                  <c:v>120</c:v>
                </c:pt>
                <c:pt idx="744">
                  <c:v>108</c:v>
                </c:pt>
                <c:pt idx="745">
                  <c:v>79</c:v>
                </c:pt>
                <c:pt idx="746">
                  <c:v>45</c:v>
                </c:pt>
                <c:pt idx="747">
                  <c:v>96</c:v>
                </c:pt>
                <c:pt idx="748">
                  <c:v>81</c:v>
                </c:pt>
                <c:pt idx="749">
                  <c:v>95</c:v>
                </c:pt>
                <c:pt idx="750">
                  <c:v>159</c:v>
                </c:pt>
                <c:pt idx="751">
                  <c:v>109</c:v>
                </c:pt>
                <c:pt idx="752">
                  <c:v>107</c:v>
                </c:pt>
                <c:pt idx="753">
                  <c:v>67</c:v>
                </c:pt>
                <c:pt idx="754">
                  <c:v>96</c:v>
                </c:pt>
                <c:pt idx="755">
                  <c:v>142</c:v>
                </c:pt>
                <c:pt idx="756">
                  <c:v>71</c:v>
                </c:pt>
                <c:pt idx="757">
                  <c:v>152</c:v>
                </c:pt>
                <c:pt idx="758">
                  <c:v>108</c:v>
                </c:pt>
                <c:pt idx="759">
                  <c:v>156</c:v>
                </c:pt>
                <c:pt idx="760">
                  <c:v>126</c:v>
                </c:pt>
                <c:pt idx="761">
                  <c:v>135</c:v>
                </c:pt>
                <c:pt idx="762">
                  <c:v>110</c:v>
                </c:pt>
                <c:pt idx="763">
                  <c:v>64</c:v>
                </c:pt>
                <c:pt idx="764">
                  <c:v>127</c:v>
                </c:pt>
                <c:pt idx="765">
                  <c:v>124</c:v>
                </c:pt>
                <c:pt idx="766">
                  <c:v>125</c:v>
                </c:pt>
                <c:pt idx="767">
                  <c:v>70</c:v>
                </c:pt>
                <c:pt idx="768">
                  <c:v>93</c:v>
                </c:pt>
                <c:pt idx="769">
                  <c:v>120</c:v>
                </c:pt>
                <c:pt idx="770">
                  <c:v>96</c:v>
                </c:pt>
                <c:pt idx="771">
                  <c:v>67</c:v>
                </c:pt>
                <c:pt idx="772">
                  <c:v>119</c:v>
                </c:pt>
                <c:pt idx="773">
                  <c:v>61</c:v>
                </c:pt>
                <c:pt idx="774">
                  <c:v>29</c:v>
                </c:pt>
                <c:pt idx="775">
                  <c:v>134</c:v>
                </c:pt>
                <c:pt idx="776">
                  <c:v>113</c:v>
                </c:pt>
                <c:pt idx="777">
                  <c:v>12</c:v>
                </c:pt>
                <c:pt idx="778">
                  <c:v>78</c:v>
                </c:pt>
                <c:pt idx="779">
                  <c:v>82</c:v>
                </c:pt>
                <c:pt idx="780">
                  <c:v>149</c:v>
                </c:pt>
                <c:pt idx="781">
                  <c:v>56</c:v>
                </c:pt>
                <c:pt idx="782">
                  <c:v>80</c:v>
                </c:pt>
                <c:pt idx="783">
                  <c:v>131</c:v>
                </c:pt>
                <c:pt idx="784">
                  <c:v>109</c:v>
                </c:pt>
                <c:pt idx="785">
                  <c:v>142</c:v>
                </c:pt>
                <c:pt idx="786">
                  <c:v>114</c:v>
                </c:pt>
                <c:pt idx="787">
                  <c:v>93</c:v>
                </c:pt>
                <c:pt idx="788">
                  <c:v>43</c:v>
                </c:pt>
                <c:pt idx="789">
                  <c:v>78</c:v>
                </c:pt>
                <c:pt idx="790">
                  <c:v>89</c:v>
                </c:pt>
                <c:pt idx="791">
                  <c:v>82</c:v>
                </c:pt>
                <c:pt idx="792">
                  <c:v>86</c:v>
                </c:pt>
                <c:pt idx="793">
                  <c:v>57</c:v>
                </c:pt>
                <c:pt idx="794">
                  <c:v>103</c:v>
                </c:pt>
                <c:pt idx="795">
                  <c:v>138</c:v>
                </c:pt>
                <c:pt idx="796">
                  <c:v>88</c:v>
                </c:pt>
                <c:pt idx="797">
                  <c:v>118</c:v>
                </c:pt>
                <c:pt idx="798">
                  <c:v>4</c:v>
                </c:pt>
                <c:pt idx="799">
                  <c:v>78</c:v>
                </c:pt>
                <c:pt idx="800">
                  <c:v>69</c:v>
                </c:pt>
                <c:pt idx="801">
                  <c:v>90</c:v>
                </c:pt>
                <c:pt idx="802">
                  <c:v>134</c:v>
                </c:pt>
                <c:pt idx="803">
                  <c:v>65</c:v>
                </c:pt>
                <c:pt idx="804">
                  <c:v>54</c:v>
                </c:pt>
                <c:pt idx="805">
                  <c:v>90</c:v>
                </c:pt>
                <c:pt idx="806">
                  <c:v>66</c:v>
                </c:pt>
                <c:pt idx="807">
                  <c:v>150</c:v>
                </c:pt>
                <c:pt idx="808">
                  <c:v>18</c:v>
                </c:pt>
                <c:pt idx="809">
                  <c:v>87</c:v>
                </c:pt>
                <c:pt idx="810">
                  <c:v>94</c:v>
                </c:pt>
                <c:pt idx="811">
                  <c:v>56</c:v>
                </c:pt>
                <c:pt idx="812">
                  <c:v>41</c:v>
                </c:pt>
                <c:pt idx="813">
                  <c:v>119</c:v>
                </c:pt>
                <c:pt idx="814">
                  <c:v>108</c:v>
                </c:pt>
                <c:pt idx="815">
                  <c:v>63</c:v>
                </c:pt>
                <c:pt idx="816">
                  <c:v>59</c:v>
                </c:pt>
                <c:pt idx="817">
                  <c:v>90</c:v>
                </c:pt>
                <c:pt idx="818">
                  <c:v>55</c:v>
                </c:pt>
                <c:pt idx="819">
                  <c:v>84</c:v>
                </c:pt>
                <c:pt idx="820">
                  <c:v>150</c:v>
                </c:pt>
                <c:pt idx="821">
                  <c:v>69</c:v>
                </c:pt>
                <c:pt idx="822">
                  <c:v>120</c:v>
                </c:pt>
                <c:pt idx="823">
                  <c:v>126</c:v>
                </c:pt>
                <c:pt idx="824">
                  <c:v>120</c:v>
                </c:pt>
                <c:pt idx="825">
                  <c:v>139</c:v>
                </c:pt>
                <c:pt idx="826">
                  <c:v>124</c:v>
                </c:pt>
                <c:pt idx="827">
                  <c:v>108</c:v>
                </c:pt>
                <c:pt idx="828">
                  <c:v>132</c:v>
                </c:pt>
                <c:pt idx="829">
                  <c:v>67</c:v>
                </c:pt>
                <c:pt idx="830">
                  <c:v>125</c:v>
                </c:pt>
                <c:pt idx="831">
                  <c:v>23</c:v>
                </c:pt>
                <c:pt idx="832">
                  <c:v>131</c:v>
                </c:pt>
                <c:pt idx="833">
                  <c:v>56</c:v>
                </c:pt>
                <c:pt idx="834">
                  <c:v>70</c:v>
                </c:pt>
                <c:pt idx="835">
                  <c:v>55</c:v>
                </c:pt>
                <c:pt idx="836">
                  <c:v>77</c:v>
                </c:pt>
                <c:pt idx="837">
                  <c:v>133</c:v>
                </c:pt>
                <c:pt idx="838">
                  <c:v>77</c:v>
                </c:pt>
                <c:pt idx="839">
                  <c:v>103</c:v>
                </c:pt>
                <c:pt idx="840">
                  <c:v>32</c:v>
                </c:pt>
                <c:pt idx="841">
                  <c:v>30</c:v>
                </c:pt>
                <c:pt idx="842">
                  <c:v>87</c:v>
                </c:pt>
                <c:pt idx="843">
                  <c:v>137</c:v>
                </c:pt>
                <c:pt idx="844">
                  <c:v>96</c:v>
                </c:pt>
                <c:pt idx="845">
                  <c:v>155</c:v>
                </c:pt>
                <c:pt idx="846">
                  <c:v>173</c:v>
                </c:pt>
                <c:pt idx="847">
                  <c:v>127</c:v>
                </c:pt>
                <c:pt idx="848">
                  <c:v>117</c:v>
                </c:pt>
                <c:pt idx="849">
                  <c:v>133</c:v>
                </c:pt>
                <c:pt idx="850">
                  <c:v>166</c:v>
                </c:pt>
                <c:pt idx="851">
                  <c:v>50</c:v>
                </c:pt>
                <c:pt idx="852">
                  <c:v>43</c:v>
                </c:pt>
                <c:pt idx="853">
                  <c:v>124</c:v>
                </c:pt>
                <c:pt idx="854">
                  <c:v>94</c:v>
                </c:pt>
                <c:pt idx="855">
                  <c:v>126</c:v>
                </c:pt>
                <c:pt idx="856">
                  <c:v>105</c:v>
                </c:pt>
                <c:pt idx="857">
                  <c:v>60</c:v>
                </c:pt>
                <c:pt idx="858">
                  <c:v>72</c:v>
                </c:pt>
                <c:pt idx="859">
                  <c:v>40</c:v>
                </c:pt>
                <c:pt idx="860">
                  <c:v>54</c:v>
                </c:pt>
                <c:pt idx="861">
                  <c:v>81</c:v>
                </c:pt>
                <c:pt idx="862">
                  <c:v>76</c:v>
                </c:pt>
                <c:pt idx="863">
                  <c:v>37</c:v>
                </c:pt>
                <c:pt idx="864">
                  <c:v>96</c:v>
                </c:pt>
                <c:pt idx="865">
                  <c:v>19</c:v>
                </c:pt>
                <c:pt idx="866">
                  <c:v>72</c:v>
                </c:pt>
                <c:pt idx="867">
                  <c:v>73</c:v>
                </c:pt>
                <c:pt idx="868">
                  <c:v>87</c:v>
                </c:pt>
                <c:pt idx="869">
                  <c:v>68</c:v>
                </c:pt>
                <c:pt idx="870">
                  <c:v>101</c:v>
                </c:pt>
                <c:pt idx="871">
                  <c:v>107</c:v>
                </c:pt>
                <c:pt idx="872">
                  <c:v>109</c:v>
                </c:pt>
                <c:pt idx="873">
                  <c:v>171</c:v>
                </c:pt>
                <c:pt idx="874">
                  <c:v>21</c:v>
                </c:pt>
                <c:pt idx="875">
                  <c:v>94</c:v>
                </c:pt>
                <c:pt idx="876">
                  <c:v>97</c:v>
                </c:pt>
                <c:pt idx="877">
                  <c:v>72</c:v>
                </c:pt>
                <c:pt idx="878">
                  <c:v>143</c:v>
                </c:pt>
                <c:pt idx="879">
                  <c:v>64</c:v>
                </c:pt>
                <c:pt idx="880">
                  <c:v>69</c:v>
                </c:pt>
                <c:pt idx="881">
                  <c:v>18</c:v>
                </c:pt>
                <c:pt idx="882">
                  <c:v>100</c:v>
                </c:pt>
                <c:pt idx="883">
                  <c:v>110</c:v>
                </c:pt>
                <c:pt idx="884">
                  <c:v>41</c:v>
                </c:pt>
                <c:pt idx="885">
                  <c:v>147</c:v>
                </c:pt>
                <c:pt idx="886">
                  <c:v>31</c:v>
                </c:pt>
                <c:pt idx="887">
                  <c:v>142</c:v>
                </c:pt>
                <c:pt idx="888">
                  <c:v>61</c:v>
                </c:pt>
                <c:pt idx="889">
                  <c:v>86</c:v>
                </c:pt>
                <c:pt idx="890">
                  <c:v>165</c:v>
                </c:pt>
                <c:pt idx="891">
                  <c:v>62</c:v>
                </c:pt>
                <c:pt idx="892">
                  <c:v>103</c:v>
                </c:pt>
                <c:pt idx="893">
                  <c:v>56</c:v>
                </c:pt>
                <c:pt idx="894">
                  <c:v>114</c:v>
                </c:pt>
                <c:pt idx="895">
                  <c:v>112</c:v>
                </c:pt>
                <c:pt idx="896">
                  <c:v>52</c:v>
                </c:pt>
                <c:pt idx="897">
                  <c:v>105</c:v>
                </c:pt>
                <c:pt idx="898">
                  <c:v>91</c:v>
                </c:pt>
                <c:pt idx="899">
                  <c:v>74</c:v>
                </c:pt>
                <c:pt idx="900">
                  <c:v>30</c:v>
                </c:pt>
                <c:pt idx="901">
                  <c:v>56</c:v>
                </c:pt>
                <c:pt idx="902">
                  <c:v>151</c:v>
                </c:pt>
                <c:pt idx="903">
                  <c:v>108</c:v>
                </c:pt>
                <c:pt idx="904">
                  <c:v>124</c:v>
                </c:pt>
                <c:pt idx="905">
                  <c:v>110</c:v>
                </c:pt>
                <c:pt idx="906">
                  <c:v>89</c:v>
                </c:pt>
                <c:pt idx="907">
                  <c:v>95</c:v>
                </c:pt>
                <c:pt idx="908">
                  <c:v>84</c:v>
                </c:pt>
                <c:pt idx="909">
                  <c:v>89</c:v>
                </c:pt>
                <c:pt idx="910">
                  <c:v>146</c:v>
                </c:pt>
                <c:pt idx="911">
                  <c:v>62</c:v>
                </c:pt>
                <c:pt idx="912">
                  <c:v>82</c:v>
                </c:pt>
                <c:pt idx="913">
                  <c:v>91</c:v>
                </c:pt>
                <c:pt idx="914">
                  <c:v>39</c:v>
                </c:pt>
                <c:pt idx="915">
                  <c:v>149</c:v>
                </c:pt>
                <c:pt idx="916">
                  <c:v>138</c:v>
                </c:pt>
                <c:pt idx="917">
                  <c:v>113</c:v>
                </c:pt>
                <c:pt idx="918">
                  <c:v>88</c:v>
                </c:pt>
                <c:pt idx="919">
                  <c:v>64</c:v>
                </c:pt>
                <c:pt idx="920">
                  <c:v>53</c:v>
                </c:pt>
                <c:pt idx="921">
                  <c:v>63</c:v>
                </c:pt>
                <c:pt idx="922">
                  <c:v>54</c:v>
                </c:pt>
                <c:pt idx="923">
                  <c:v>54</c:v>
                </c:pt>
                <c:pt idx="924">
                  <c:v>71</c:v>
                </c:pt>
                <c:pt idx="925">
                  <c:v>93</c:v>
                </c:pt>
                <c:pt idx="926">
                  <c:v>96</c:v>
                </c:pt>
                <c:pt idx="927">
                  <c:v>31</c:v>
                </c:pt>
                <c:pt idx="928">
                  <c:v>107</c:v>
                </c:pt>
                <c:pt idx="929">
                  <c:v>50</c:v>
                </c:pt>
                <c:pt idx="930">
                  <c:v>69</c:v>
                </c:pt>
                <c:pt idx="931">
                  <c:v>26</c:v>
                </c:pt>
                <c:pt idx="932">
                  <c:v>158</c:v>
                </c:pt>
                <c:pt idx="933">
                  <c:v>99</c:v>
                </c:pt>
                <c:pt idx="934">
                  <c:v>78</c:v>
                </c:pt>
                <c:pt idx="935">
                  <c:v>102</c:v>
                </c:pt>
                <c:pt idx="936">
                  <c:v>158</c:v>
                </c:pt>
                <c:pt idx="937">
                  <c:v>56</c:v>
                </c:pt>
                <c:pt idx="938">
                  <c:v>17</c:v>
                </c:pt>
                <c:pt idx="939">
                  <c:v>104</c:v>
                </c:pt>
                <c:pt idx="940">
                  <c:v>96</c:v>
                </c:pt>
                <c:pt idx="941">
                  <c:v>83</c:v>
                </c:pt>
                <c:pt idx="942">
                  <c:v>80</c:v>
                </c:pt>
                <c:pt idx="943">
                  <c:v>152</c:v>
                </c:pt>
                <c:pt idx="944">
                  <c:v>34</c:v>
                </c:pt>
                <c:pt idx="945">
                  <c:v>2</c:v>
                </c:pt>
                <c:pt idx="946">
                  <c:v>140</c:v>
                </c:pt>
                <c:pt idx="947">
                  <c:v>126</c:v>
                </c:pt>
                <c:pt idx="948">
                  <c:v>79</c:v>
                </c:pt>
                <c:pt idx="949">
                  <c:v>133</c:v>
                </c:pt>
                <c:pt idx="950">
                  <c:v>97</c:v>
                </c:pt>
                <c:pt idx="951">
                  <c:v>102</c:v>
                </c:pt>
                <c:pt idx="952">
                  <c:v>62</c:v>
                </c:pt>
                <c:pt idx="953">
                  <c:v>149</c:v>
                </c:pt>
                <c:pt idx="954">
                  <c:v>133</c:v>
                </c:pt>
                <c:pt idx="955">
                  <c:v>51</c:v>
                </c:pt>
                <c:pt idx="956">
                  <c:v>110</c:v>
                </c:pt>
                <c:pt idx="957">
                  <c:v>38</c:v>
                </c:pt>
                <c:pt idx="958">
                  <c:v>78</c:v>
                </c:pt>
                <c:pt idx="959">
                  <c:v>25</c:v>
                </c:pt>
                <c:pt idx="960">
                  <c:v>50</c:v>
                </c:pt>
                <c:pt idx="961">
                  <c:v>103</c:v>
                </c:pt>
                <c:pt idx="962">
                  <c:v>63</c:v>
                </c:pt>
                <c:pt idx="963">
                  <c:v>96</c:v>
                </c:pt>
                <c:pt idx="964">
                  <c:v>94</c:v>
                </c:pt>
                <c:pt idx="965">
                  <c:v>46</c:v>
                </c:pt>
                <c:pt idx="966">
                  <c:v>127</c:v>
                </c:pt>
                <c:pt idx="967">
                  <c:v>96</c:v>
                </c:pt>
                <c:pt idx="968">
                  <c:v>151</c:v>
                </c:pt>
                <c:pt idx="969">
                  <c:v>158</c:v>
                </c:pt>
                <c:pt idx="970">
                  <c:v>45</c:v>
                </c:pt>
                <c:pt idx="971">
                  <c:v>141</c:v>
                </c:pt>
                <c:pt idx="972">
                  <c:v>147</c:v>
                </c:pt>
                <c:pt idx="973">
                  <c:v>126</c:v>
                </c:pt>
                <c:pt idx="974">
                  <c:v>126</c:v>
                </c:pt>
                <c:pt idx="975">
                  <c:v>32</c:v>
                </c:pt>
                <c:pt idx="976">
                  <c:v>84</c:v>
                </c:pt>
                <c:pt idx="977">
                  <c:v>120</c:v>
                </c:pt>
                <c:pt idx="978">
                  <c:v>93</c:v>
                </c:pt>
                <c:pt idx="979">
                  <c:v>76</c:v>
                </c:pt>
                <c:pt idx="980">
                  <c:v>89</c:v>
                </c:pt>
                <c:pt idx="981">
                  <c:v>91</c:v>
                </c:pt>
                <c:pt idx="982">
                  <c:v>7</c:v>
                </c:pt>
                <c:pt idx="983">
                  <c:v>140</c:v>
                </c:pt>
                <c:pt idx="984">
                  <c:v>58</c:v>
                </c:pt>
                <c:pt idx="985">
                  <c:v>90</c:v>
                </c:pt>
                <c:pt idx="986">
                  <c:v>106</c:v>
                </c:pt>
                <c:pt idx="987">
                  <c:v>72</c:v>
                </c:pt>
                <c:pt idx="988">
                  <c:v>124</c:v>
                </c:pt>
                <c:pt idx="989">
                  <c:v>86</c:v>
                </c:pt>
                <c:pt idx="990">
                  <c:v>164</c:v>
                </c:pt>
                <c:pt idx="991">
                  <c:v>40</c:v>
                </c:pt>
                <c:pt idx="992">
                  <c:v>76</c:v>
                </c:pt>
                <c:pt idx="993">
                  <c:v>95</c:v>
                </c:pt>
                <c:pt idx="994">
                  <c:v>113</c:v>
                </c:pt>
                <c:pt idx="995">
                  <c:v>81</c:v>
                </c:pt>
                <c:pt idx="996">
                  <c:v>127</c:v>
                </c:pt>
                <c:pt idx="997">
                  <c:v>146</c:v>
                </c:pt>
                <c:pt idx="998">
                  <c:v>123</c:v>
                </c:pt>
                <c:pt idx="999">
                  <c:v>114</c:v>
                </c:pt>
              </c:numCache>
            </c:numRef>
          </c:xVal>
          <c:yVal>
            <c:numRef>
              <c:f>'Call Centre Data'!$K$2:$K$1001</c:f>
              <c:numCache>
                <c:formatCode>0</c:formatCode>
                <c:ptCount val="1000"/>
                <c:pt idx="0">
                  <c:v>5</c:v>
                </c:pt>
                <c:pt idx="1">
                  <c:v>3</c:v>
                </c:pt>
                <c:pt idx="2">
                  <c:v>5</c:v>
                </c:pt>
                <c:pt idx="3">
                  <c:v>3</c:v>
                </c:pt>
                <c:pt idx="4">
                  <c:v>3</c:v>
                </c:pt>
                <c:pt idx="5">
                  <c:v>5</c:v>
                </c:pt>
                <c:pt idx="6">
                  <c:v>5</c:v>
                </c:pt>
                <c:pt idx="7">
                  <c:v>4</c:v>
                </c:pt>
                <c:pt idx="8">
                  <c:v>4</c:v>
                </c:pt>
                <c:pt idx="9">
                  <c:v>3</c:v>
                </c:pt>
                <c:pt idx="10">
                  <c:v>5</c:v>
                </c:pt>
                <c:pt idx="11">
                  <c:v>3</c:v>
                </c:pt>
                <c:pt idx="12">
                  <c:v>4</c:v>
                </c:pt>
                <c:pt idx="13">
                  <c:v>4</c:v>
                </c:pt>
                <c:pt idx="14">
                  <c:v>5</c:v>
                </c:pt>
                <c:pt idx="15">
                  <c:v>5</c:v>
                </c:pt>
                <c:pt idx="16">
                  <c:v>4</c:v>
                </c:pt>
                <c:pt idx="17">
                  <c:v>4</c:v>
                </c:pt>
                <c:pt idx="18">
                  <c:v>4</c:v>
                </c:pt>
                <c:pt idx="19">
                  <c:v>4</c:v>
                </c:pt>
                <c:pt idx="20">
                  <c:v>5</c:v>
                </c:pt>
                <c:pt idx="21">
                  <c:v>5</c:v>
                </c:pt>
                <c:pt idx="22">
                  <c:v>5</c:v>
                </c:pt>
                <c:pt idx="23">
                  <c:v>2</c:v>
                </c:pt>
                <c:pt idx="24">
                  <c:v>3</c:v>
                </c:pt>
                <c:pt idx="25">
                  <c:v>4</c:v>
                </c:pt>
                <c:pt idx="26">
                  <c:v>4</c:v>
                </c:pt>
                <c:pt idx="27">
                  <c:v>5</c:v>
                </c:pt>
                <c:pt idx="28">
                  <c:v>3</c:v>
                </c:pt>
                <c:pt idx="29">
                  <c:v>5</c:v>
                </c:pt>
                <c:pt idx="30">
                  <c:v>4</c:v>
                </c:pt>
                <c:pt idx="31">
                  <c:v>4</c:v>
                </c:pt>
                <c:pt idx="32">
                  <c:v>5</c:v>
                </c:pt>
                <c:pt idx="33">
                  <c:v>5</c:v>
                </c:pt>
                <c:pt idx="34">
                  <c:v>5</c:v>
                </c:pt>
                <c:pt idx="35">
                  <c:v>2</c:v>
                </c:pt>
                <c:pt idx="36">
                  <c:v>3</c:v>
                </c:pt>
                <c:pt idx="37">
                  <c:v>3</c:v>
                </c:pt>
                <c:pt idx="38">
                  <c:v>2</c:v>
                </c:pt>
                <c:pt idx="39">
                  <c:v>5</c:v>
                </c:pt>
                <c:pt idx="40">
                  <c:v>5</c:v>
                </c:pt>
                <c:pt idx="41">
                  <c:v>5</c:v>
                </c:pt>
                <c:pt idx="42">
                  <c:v>4</c:v>
                </c:pt>
                <c:pt idx="43">
                  <c:v>4</c:v>
                </c:pt>
                <c:pt idx="44">
                  <c:v>4</c:v>
                </c:pt>
                <c:pt idx="45">
                  <c:v>4</c:v>
                </c:pt>
                <c:pt idx="46">
                  <c:v>4</c:v>
                </c:pt>
                <c:pt idx="47">
                  <c:v>4</c:v>
                </c:pt>
                <c:pt idx="48">
                  <c:v>4</c:v>
                </c:pt>
                <c:pt idx="49">
                  <c:v>4</c:v>
                </c:pt>
                <c:pt idx="50">
                  <c:v>4</c:v>
                </c:pt>
                <c:pt idx="51">
                  <c:v>4</c:v>
                </c:pt>
                <c:pt idx="52">
                  <c:v>5</c:v>
                </c:pt>
                <c:pt idx="53">
                  <c:v>5</c:v>
                </c:pt>
                <c:pt idx="54">
                  <c:v>5</c:v>
                </c:pt>
                <c:pt idx="55">
                  <c:v>5</c:v>
                </c:pt>
                <c:pt idx="56">
                  <c:v>3</c:v>
                </c:pt>
                <c:pt idx="57">
                  <c:v>2</c:v>
                </c:pt>
                <c:pt idx="58">
                  <c:v>4</c:v>
                </c:pt>
                <c:pt idx="59">
                  <c:v>5</c:v>
                </c:pt>
                <c:pt idx="60">
                  <c:v>4</c:v>
                </c:pt>
                <c:pt idx="61">
                  <c:v>3</c:v>
                </c:pt>
                <c:pt idx="62">
                  <c:v>5</c:v>
                </c:pt>
                <c:pt idx="63">
                  <c:v>4</c:v>
                </c:pt>
                <c:pt idx="64">
                  <c:v>4</c:v>
                </c:pt>
                <c:pt idx="65">
                  <c:v>4</c:v>
                </c:pt>
                <c:pt idx="66">
                  <c:v>2</c:v>
                </c:pt>
                <c:pt idx="67">
                  <c:v>4</c:v>
                </c:pt>
                <c:pt idx="68">
                  <c:v>3</c:v>
                </c:pt>
                <c:pt idx="69">
                  <c:v>0</c:v>
                </c:pt>
                <c:pt idx="70">
                  <c:v>4</c:v>
                </c:pt>
                <c:pt idx="71">
                  <c:v>5</c:v>
                </c:pt>
                <c:pt idx="72">
                  <c:v>3</c:v>
                </c:pt>
                <c:pt idx="73">
                  <c:v>3</c:v>
                </c:pt>
                <c:pt idx="74">
                  <c:v>4</c:v>
                </c:pt>
                <c:pt idx="75">
                  <c:v>3</c:v>
                </c:pt>
                <c:pt idx="76">
                  <c:v>2</c:v>
                </c:pt>
                <c:pt idx="77">
                  <c:v>5</c:v>
                </c:pt>
                <c:pt idx="78">
                  <c:v>4</c:v>
                </c:pt>
                <c:pt idx="79">
                  <c:v>5</c:v>
                </c:pt>
                <c:pt idx="80">
                  <c:v>4</c:v>
                </c:pt>
                <c:pt idx="81">
                  <c:v>5</c:v>
                </c:pt>
                <c:pt idx="82">
                  <c:v>3</c:v>
                </c:pt>
                <c:pt idx="83">
                  <c:v>3</c:v>
                </c:pt>
                <c:pt idx="84">
                  <c:v>4</c:v>
                </c:pt>
                <c:pt idx="85">
                  <c:v>5</c:v>
                </c:pt>
                <c:pt idx="86">
                  <c:v>4</c:v>
                </c:pt>
                <c:pt idx="87">
                  <c:v>2</c:v>
                </c:pt>
                <c:pt idx="88">
                  <c:v>5</c:v>
                </c:pt>
                <c:pt idx="89">
                  <c:v>5</c:v>
                </c:pt>
                <c:pt idx="90">
                  <c:v>4</c:v>
                </c:pt>
                <c:pt idx="91">
                  <c:v>5</c:v>
                </c:pt>
                <c:pt idx="92">
                  <c:v>5</c:v>
                </c:pt>
                <c:pt idx="93">
                  <c:v>5</c:v>
                </c:pt>
                <c:pt idx="94">
                  <c:v>5</c:v>
                </c:pt>
                <c:pt idx="95">
                  <c:v>4</c:v>
                </c:pt>
                <c:pt idx="96">
                  <c:v>5</c:v>
                </c:pt>
                <c:pt idx="97">
                  <c:v>4</c:v>
                </c:pt>
                <c:pt idx="98">
                  <c:v>5</c:v>
                </c:pt>
                <c:pt idx="99">
                  <c:v>5</c:v>
                </c:pt>
                <c:pt idx="100">
                  <c:v>5</c:v>
                </c:pt>
                <c:pt idx="101">
                  <c:v>3</c:v>
                </c:pt>
                <c:pt idx="102">
                  <c:v>4</c:v>
                </c:pt>
                <c:pt idx="103">
                  <c:v>4</c:v>
                </c:pt>
                <c:pt idx="104">
                  <c:v>5</c:v>
                </c:pt>
                <c:pt idx="105">
                  <c:v>4</c:v>
                </c:pt>
                <c:pt idx="106">
                  <c:v>5</c:v>
                </c:pt>
                <c:pt idx="107">
                  <c:v>3</c:v>
                </c:pt>
                <c:pt idx="108">
                  <c:v>3</c:v>
                </c:pt>
                <c:pt idx="109">
                  <c:v>3</c:v>
                </c:pt>
                <c:pt idx="110">
                  <c:v>5</c:v>
                </c:pt>
                <c:pt idx="111">
                  <c:v>4</c:v>
                </c:pt>
                <c:pt idx="112">
                  <c:v>5</c:v>
                </c:pt>
                <c:pt idx="113">
                  <c:v>5</c:v>
                </c:pt>
                <c:pt idx="114">
                  <c:v>4</c:v>
                </c:pt>
                <c:pt idx="115">
                  <c:v>4</c:v>
                </c:pt>
                <c:pt idx="116">
                  <c:v>2</c:v>
                </c:pt>
                <c:pt idx="117">
                  <c:v>4</c:v>
                </c:pt>
                <c:pt idx="118">
                  <c:v>4</c:v>
                </c:pt>
                <c:pt idx="119">
                  <c:v>4</c:v>
                </c:pt>
                <c:pt idx="120">
                  <c:v>4</c:v>
                </c:pt>
                <c:pt idx="121">
                  <c:v>2</c:v>
                </c:pt>
                <c:pt idx="122">
                  <c:v>3</c:v>
                </c:pt>
                <c:pt idx="123">
                  <c:v>5</c:v>
                </c:pt>
                <c:pt idx="124">
                  <c:v>4</c:v>
                </c:pt>
                <c:pt idx="125">
                  <c:v>1</c:v>
                </c:pt>
                <c:pt idx="126">
                  <c:v>4</c:v>
                </c:pt>
                <c:pt idx="127">
                  <c:v>2</c:v>
                </c:pt>
                <c:pt idx="128">
                  <c:v>1</c:v>
                </c:pt>
                <c:pt idx="129">
                  <c:v>4</c:v>
                </c:pt>
                <c:pt idx="130">
                  <c:v>3</c:v>
                </c:pt>
                <c:pt idx="131">
                  <c:v>3</c:v>
                </c:pt>
                <c:pt idx="132">
                  <c:v>4</c:v>
                </c:pt>
                <c:pt idx="133">
                  <c:v>5</c:v>
                </c:pt>
                <c:pt idx="134">
                  <c:v>2</c:v>
                </c:pt>
                <c:pt idx="135">
                  <c:v>5</c:v>
                </c:pt>
                <c:pt idx="136">
                  <c:v>3</c:v>
                </c:pt>
                <c:pt idx="137">
                  <c:v>5</c:v>
                </c:pt>
                <c:pt idx="138">
                  <c:v>3</c:v>
                </c:pt>
                <c:pt idx="139">
                  <c:v>4</c:v>
                </c:pt>
                <c:pt idx="140">
                  <c:v>4</c:v>
                </c:pt>
                <c:pt idx="141">
                  <c:v>5</c:v>
                </c:pt>
                <c:pt idx="142">
                  <c:v>3</c:v>
                </c:pt>
                <c:pt idx="143">
                  <c:v>3</c:v>
                </c:pt>
                <c:pt idx="144">
                  <c:v>3</c:v>
                </c:pt>
                <c:pt idx="145">
                  <c:v>5</c:v>
                </c:pt>
                <c:pt idx="146">
                  <c:v>4</c:v>
                </c:pt>
                <c:pt idx="147">
                  <c:v>4</c:v>
                </c:pt>
                <c:pt idx="148">
                  <c:v>4</c:v>
                </c:pt>
                <c:pt idx="149">
                  <c:v>4</c:v>
                </c:pt>
                <c:pt idx="150">
                  <c:v>3</c:v>
                </c:pt>
                <c:pt idx="151">
                  <c:v>5</c:v>
                </c:pt>
                <c:pt idx="152">
                  <c:v>5</c:v>
                </c:pt>
                <c:pt idx="153">
                  <c:v>3</c:v>
                </c:pt>
                <c:pt idx="154">
                  <c:v>4</c:v>
                </c:pt>
                <c:pt idx="155">
                  <c:v>4</c:v>
                </c:pt>
                <c:pt idx="156">
                  <c:v>5</c:v>
                </c:pt>
                <c:pt idx="157">
                  <c:v>5</c:v>
                </c:pt>
                <c:pt idx="158">
                  <c:v>5</c:v>
                </c:pt>
                <c:pt idx="159">
                  <c:v>4</c:v>
                </c:pt>
                <c:pt idx="160">
                  <c:v>4</c:v>
                </c:pt>
                <c:pt idx="161">
                  <c:v>3</c:v>
                </c:pt>
                <c:pt idx="162">
                  <c:v>4</c:v>
                </c:pt>
                <c:pt idx="163">
                  <c:v>2</c:v>
                </c:pt>
                <c:pt idx="164">
                  <c:v>2</c:v>
                </c:pt>
                <c:pt idx="165">
                  <c:v>3</c:v>
                </c:pt>
                <c:pt idx="166">
                  <c:v>3</c:v>
                </c:pt>
                <c:pt idx="167">
                  <c:v>3</c:v>
                </c:pt>
                <c:pt idx="168">
                  <c:v>3</c:v>
                </c:pt>
                <c:pt idx="169">
                  <c:v>5</c:v>
                </c:pt>
                <c:pt idx="170">
                  <c:v>3</c:v>
                </c:pt>
                <c:pt idx="171">
                  <c:v>5</c:v>
                </c:pt>
                <c:pt idx="172">
                  <c:v>5</c:v>
                </c:pt>
                <c:pt idx="173">
                  <c:v>4</c:v>
                </c:pt>
                <c:pt idx="174">
                  <c:v>5</c:v>
                </c:pt>
                <c:pt idx="175">
                  <c:v>5</c:v>
                </c:pt>
                <c:pt idx="176">
                  <c:v>4</c:v>
                </c:pt>
                <c:pt idx="177">
                  <c:v>4</c:v>
                </c:pt>
                <c:pt idx="178">
                  <c:v>3</c:v>
                </c:pt>
                <c:pt idx="179">
                  <c:v>4</c:v>
                </c:pt>
                <c:pt idx="180">
                  <c:v>1</c:v>
                </c:pt>
                <c:pt idx="181">
                  <c:v>5</c:v>
                </c:pt>
                <c:pt idx="182">
                  <c:v>5</c:v>
                </c:pt>
                <c:pt idx="183">
                  <c:v>4</c:v>
                </c:pt>
                <c:pt idx="184">
                  <c:v>3</c:v>
                </c:pt>
                <c:pt idx="185">
                  <c:v>4</c:v>
                </c:pt>
                <c:pt idx="186">
                  <c:v>4</c:v>
                </c:pt>
                <c:pt idx="187">
                  <c:v>5</c:v>
                </c:pt>
                <c:pt idx="188">
                  <c:v>3</c:v>
                </c:pt>
                <c:pt idx="189">
                  <c:v>3</c:v>
                </c:pt>
                <c:pt idx="190">
                  <c:v>2</c:v>
                </c:pt>
                <c:pt idx="191">
                  <c:v>3</c:v>
                </c:pt>
                <c:pt idx="192">
                  <c:v>4</c:v>
                </c:pt>
                <c:pt idx="193">
                  <c:v>5</c:v>
                </c:pt>
                <c:pt idx="194">
                  <c:v>3</c:v>
                </c:pt>
                <c:pt idx="195">
                  <c:v>5</c:v>
                </c:pt>
                <c:pt idx="196">
                  <c:v>5</c:v>
                </c:pt>
                <c:pt idx="197">
                  <c:v>4</c:v>
                </c:pt>
                <c:pt idx="198">
                  <c:v>4</c:v>
                </c:pt>
                <c:pt idx="199">
                  <c:v>4</c:v>
                </c:pt>
                <c:pt idx="200">
                  <c:v>4</c:v>
                </c:pt>
                <c:pt idx="201">
                  <c:v>2</c:v>
                </c:pt>
                <c:pt idx="202">
                  <c:v>4</c:v>
                </c:pt>
                <c:pt idx="203">
                  <c:v>4</c:v>
                </c:pt>
                <c:pt idx="204">
                  <c:v>3</c:v>
                </c:pt>
                <c:pt idx="205">
                  <c:v>5</c:v>
                </c:pt>
                <c:pt idx="206">
                  <c:v>5</c:v>
                </c:pt>
                <c:pt idx="207">
                  <c:v>3</c:v>
                </c:pt>
                <c:pt idx="208">
                  <c:v>4</c:v>
                </c:pt>
                <c:pt idx="209">
                  <c:v>5</c:v>
                </c:pt>
                <c:pt idx="210">
                  <c:v>4</c:v>
                </c:pt>
                <c:pt idx="211">
                  <c:v>4</c:v>
                </c:pt>
                <c:pt idx="212">
                  <c:v>3</c:v>
                </c:pt>
                <c:pt idx="213">
                  <c:v>4</c:v>
                </c:pt>
                <c:pt idx="214">
                  <c:v>4</c:v>
                </c:pt>
                <c:pt idx="215">
                  <c:v>4</c:v>
                </c:pt>
                <c:pt idx="216">
                  <c:v>4</c:v>
                </c:pt>
                <c:pt idx="217">
                  <c:v>3</c:v>
                </c:pt>
                <c:pt idx="218">
                  <c:v>5</c:v>
                </c:pt>
                <c:pt idx="219">
                  <c:v>3</c:v>
                </c:pt>
                <c:pt idx="220">
                  <c:v>3</c:v>
                </c:pt>
                <c:pt idx="221">
                  <c:v>5</c:v>
                </c:pt>
                <c:pt idx="222">
                  <c:v>4</c:v>
                </c:pt>
                <c:pt idx="223">
                  <c:v>4</c:v>
                </c:pt>
                <c:pt idx="224">
                  <c:v>3</c:v>
                </c:pt>
                <c:pt idx="225">
                  <c:v>5</c:v>
                </c:pt>
                <c:pt idx="226">
                  <c:v>3</c:v>
                </c:pt>
                <c:pt idx="227">
                  <c:v>4</c:v>
                </c:pt>
                <c:pt idx="228">
                  <c:v>5</c:v>
                </c:pt>
                <c:pt idx="229">
                  <c:v>4</c:v>
                </c:pt>
                <c:pt idx="230">
                  <c:v>4</c:v>
                </c:pt>
                <c:pt idx="231">
                  <c:v>5</c:v>
                </c:pt>
                <c:pt idx="232">
                  <c:v>5</c:v>
                </c:pt>
                <c:pt idx="233">
                  <c:v>3</c:v>
                </c:pt>
                <c:pt idx="234">
                  <c:v>3</c:v>
                </c:pt>
                <c:pt idx="235">
                  <c:v>4</c:v>
                </c:pt>
                <c:pt idx="236">
                  <c:v>5</c:v>
                </c:pt>
                <c:pt idx="237">
                  <c:v>4</c:v>
                </c:pt>
                <c:pt idx="238">
                  <c:v>5</c:v>
                </c:pt>
                <c:pt idx="239">
                  <c:v>4</c:v>
                </c:pt>
                <c:pt idx="240">
                  <c:v>4</c:v>
                </c:pt>
                <c:pt idx="241">
                  <c:v>4</c:v>
                </c:pt>
                <c:pt idx="242">
                  <c:v>5</c:v>
                </c:pt>
                <c:pt idx="243">
                  <c:v>4</c:v>
                </c:pt>
                <c:pt idx="244">
                  <c:v>4</c:v>
                </c:pt>
                <c:pt idx="245">
                  <c:v>4</c:v>
                </c:pt>
                <c:pt idx="246">
                  <c:v>4</c:v>
                </c:pt>
                <c:pt idx="247">
                  <c:v>3</c:v>
                </c:pt>
                <c:pt idx="248">
                  <c:v>4</c:v>
                </c:pt>
                <c:pt idx="249">
                  <c:v>4</c:v>
                </c:pt>
                <c:pt idx="250">
                  <c:v>3</c:v>
                </c:pt>
                <c:pt idx="251">
                  <c:v>3</c:v>
                </c:pt>
                <c:pt idx="252">
                  <c:v>4</c:v>
                </c:pt>
                <c:pt idx="253">
                  <c:v>4</c:v>
                </c:pt>
                <c:pt idx="254">
                  <c:v>5</c:v>
                </c:pt>
                <c:pt idx="255">
                  <c:v>4</c:v>
                </c:pt>
                <c:pt idx="256">
                  <c:v>4</c:v>
                </c:pt>
                <c:pt idx="257">
                  <c:v>4</c:v>
                </c:pt>
                <c:pt idx="258">
                  <c:v>5</c:v>
                </c:pt>
                <c:pt idx="259">
                  <c:v>4</c:v>
                </c:pt>
                <c:pt idx="260">
                  <c:v>5</c:v>
                </c:pt>
                <c:pt idx="261">
                  <c:v>5</c:v>
                </c:pt>
                <c:pt idx="262">
                  <c:v>4</c:v>
                </c:pt>
                <c:pt idx="263">
                  <c:v>5</c:v>
                </c:pt>
                <c:pt idx="264">
                  <c:v>3</c:v>
                </c:pt>
                <c:pt idx="265">
                  <c:v>5</c:v>
                </c:pt>
                <c:pt idx="266">
                  <c:v>4</c:v>
                </c:pt>
                <c:pt idx="267">
                  <c:v>4</c:v>
                </c:pt>
                <c:pt idx="268">
                  <c:v>4</c:v>
                </c:pt>
                <c:pt idx="269">
                  <c:v>3</c:v>
                </c:pt>
                <c:pt idx="270">
                  <c:v>4</c:v>
                </c:pt>
                <c:pt idx="271">
                  <c:v>4</c:v>
                </c:pt>
                <c:pt idx="272">
                  <c:v>4</c:v>
                </c:pt>
                <c:pt idx="273">
                  <c:v>4</c:v>
                </c:pt>
                <c:pt idx="274">
                  <c:v>4</c:v>
                </c:pt>
                <c:pt idx="275">
                  <c:v>3</c:v>
                </c:pt>
                <c:pt idx="276">
                  <c:v>5</c:v>
                </c:pt>
                <c:pt idx="277">
                  <c:v>4</c:v>
                </c:pt>
                <c:pt idx="278">
                  <c:v>5</c:v>
                </c:pt>
                <c:pt idx="279">
                  <c:v>5</c:v>
                </c:pt>
                <c:pt idx="280">
                  <c:v>3</c:v>
                </c:pt>
                <c:pt idx="281">
                  <c:v>3</c:v>
                </c:pt>
                <c:pt idx="282">
                  <c:v>2</c:v>
                </c:pt>
                <c:pt idx="283">
                  <c:v>4</c:v>
                </c:pt>
                <c:pt idx="284">
                  <c:v>4</c:v>
                </c:pt>
                <c:pt idx="285">
                  <c:v>3</c:v>
                </c:pt>
                <c:pt idx="286">
                  <c:v>5</c:v>
                </c:pt>
                <c:pt idx="287">
                  <c:v>4</c:v>
                </c:pt>
                <c:pt idx="288">
                  <c:v>4</c:v>
                </c:pt>
                <c:pt idx="289">
                  <c:v>5</c:v>
                </c:pt>
                <c:pt idx="290">
                  <c:v>5</c:v>
                </c:pt>
                <c:pt idx="291">
                  <c:v>5</c:v>
                </c:pt>
                <c:pt idx="292">
                  <c:v>4</c:v>
                </c:pt>
                <c:pt idx="293">
                  <c:v>5</c:v>
                </c:pt>
                <c:pt idx="294">
                  <c:v>4</c:v>
                </c:pt>
                <c:pt idx="295">
                  <c:v>3</c:v>
                </c:pt>
                <c:pt idx="296">
                  <c:v>4</c:v>
                </c:pt>
                <c:pt idx="297">
                  <c:v>3</c:v>
                </c:pt>
                <c:pt idx="298">
                  <c:v>5</c:v>
                </c:pt>
                <c:pt idx="299">
                  <c:v>3</c:v>
                </c:pt>
                <c:pt idx="300">
                  <c:v>3</c:v>
                </c:pt>
                <c:pt idx="301">
                  <c:v>2</c:v>
                </c:pt>
                <c:pt idx="302">
                  <c:v>4</c:v>
                </c:pt>
                <c:pt idx="303">
                  <c:v>4</c:v>
                </c:pt>
                <c:pt idx="304">
                  <c:v>4</c:v>
                </c:pt>
                <c:pt idx="305">
                  <c:v>5</c:v>
                </c:pt>
                <c:pt idx="306">
                  <c:v>1</c:v>
                </c:pt>
                <c:pt idx="307">
                  <c:v>5</c:v>
                </c:pt>
                <c:pt idx="308">
                  <c:v>5</c:v>
                </c:pt>
                <c:pt idx="309">
                  <c:v>5</c:v>
                </c:pt>
                <c:pt idx="310">
                  <c:v>4</c:v>
                </c:pt>
                <c:pt idx="311">
                  <c:v>4</c:v>
                </c:pt>
                <c:pt idx="312">
                  <c:v>4</c:v>
                </c:pt>
                <c:pt idx="313">
                  <c:v>4</c:v>
                </c:pt>
                <c:pt idx="314">
                  <c:v>4</c:v>
                </c:pt>
                <c:pt idx="315">
                  <c:v>5</c:v>
                </c:pt>
                <c:pt idx="316">
                  <c:v>4</c:v>
                </c:pt>
                <c:pt idx="317">
                  <c:v>4</c:v>
                </c:pt>
                <c:pt idx="318">
                  <c:v>4</c:v>
                </c:pt>
                <c:pt idx="319">
                  <c:v>4</c:v>
                </c:pt>
                <c:pt idx="320">
                  <c:v>2</c:v>
                </c:pt>
                <c:pt idx="321">
                  <c:v>5</c:v>
                </c:pt>
                <c:pt idx="322">
                  <c:v>4</c:v>
                </c:pt>
                <c:pt idx="323">
                  <c:v>5</c:v>
                </c:pt>
                <c:pt idx="324">
                  <c:v>4</c:v>
                </c:pt>
                <c:pt idx="325">
                  <c:v>3</c:v>
                </c:pt>
                <c:pt idx="326">
                  <c:v>4</c:v>
                </c:pt>
                <c:pt idx="327">
                  <c:v>2</c:v>
                </c:pt>
                <c:pt idx="328">
                  <c:v>4</c:v>
                </c:pt>
                <c:pt idx="329">
                  <c:v>4</c:v>
                </c:pt>
                <c:pt idx="330">
                  <c:v>3</c:v>
                </c:pt>
                <c:pt idx="331">
                  <c:v>5</c:v>
                </c:pt>
                <c:pt idx="332">
                  <c:v>4</c:v>
                </c:pt>
                <c:pt idx="333">
                  <c:v>5</c:v>
                </c:pt>
                <c:pt idx="334">
                  <c:v>3</c:v>
                </c:pt>
                <c:pt idx="335">
                  <c:v>5</c:v>
                </c:pt>
                <c:pt idx="336">
                  <c:v>2</c:v>
                </c:pt>
                <c:pt idx="337">
                  <c:v>5</c:v>
                </c:pt>
                <c:pt idx="338">
                  <c:v>3</c:v>
                </c:pt>
                <c:pt idx="339">
                  <c:v>4</c:v>
                </c:pt>
                <c:pt idx="340">
                  <c:v>4</c:v>
                </c:pt>
                <c:pt idx="341">
                  <c:v>4</c:v>
                </c:pt>
                <c:pt idx="342">
                  <c:v>5</c:v>
                </c:pt>
                <c:pt idx="343">
                  <c:v>3</c:v>
                </c:pt>
                <c:pt idx="344">
                  <c:v>3</c:v>
                </c:pt>
                <c:pt idx="345">
                  <c:v>5</c:v>
                </c:pt>
                <c:pt idx="346">
                  <c:v>4</c:v>
                </c:pt>
                <c:pt idx="347">
                  <c:v>5</c:v>
                </c:pt>
                <c:pt idx="348">
                  <c:v>5</c:v>
                </c:pt>
                <c:pt idx="349">
                  <c:v>4</c:v>
                </c:pt>
                <c:pt idx="350">
                  <c:v>4</c:v>
                </c:pt>
                <c:pt idx="351">
                  <c:v>4</c:v>
                </c:pt>
                <c:pt idx="352">
                  <c:v>4</c:v>
                </c:pt>
                <c:pt idx="353">
                  <c:v>3</c:v>
                </c:pt>
                <c:pt idx="354">
                  <c:v>5</c:v>
                </c:pt>
                <c:pt idx="355">
                  <c:v>5</c:v>
                </c:pt>
                <c:pt idx="356">
                  <c:v>4</c:v>
                </c:pt>
                <c:pt idx="357">
                  <c:v>4</c:v>
                </c:pt>
                <c:pt idx="358">
                  <c:v>3</c:v>
                </c:pt>
                <c:pt idx="359">
                  <c:v>4</c:v>
                </c:pt>
                <c:pt idx="360">
                  <c:v>4</c:v>
                </c:pt>
                <c:pt idx="361">
                  <c:v>4</c:v>
                </c:pt>
                <c:pt idx="362">
                  <c:v>5</c:v>
                </c:pt>
                <c:pt idx="363">
                  <c:v>3</c:v>
                </c:pt>
                <c:pt idx="364">
                  <c:v>3</c:v>
                </c:pt>
                <c:pt idx="365">
                  <c:v>3</c:v>
                </c:pt>
                <c:pt idx="366">
                  <c:v>3</c:v>
                </c:pt>
                <c:pt idx="367">
                  <c:v>5</c:v>
                </c:pt>
                <c:pt idx="368">
                  <c:v>4</c:v>
                </c:pt>
                <c:pt idx="369">
                  <c:v>5</c:v>
                </c:pt>
                <c:pt idx="370">
                  <c:v>2</c:v>
                </c:pt>
                <c:pt idx="371">
                  <c:v>3</c:v>
                </c:pt>
                <c:pt idx="372">
                  <c:v>4</c:v>
                </c:pt>
                <c:pt idx="373">
                  <c:v>4</c:v>
                </c:pt>
                <c:pt idx="374">
                  <c:v>4</c:v>
                </c:pt>
                <c:pt idx="375">
                  <c:v>5</c:v>
                </c:pt>
                <c:pt idx="376">
                  <c:v>4</c:v>
                </c:pt>
                <c:pt idx="377">
                  <c:v>4</c:v>
                </c:pt>
                <c:pt idx="378">
                  <c:v>4</c:v>
                </c:pt>
                <c:pt idx="379">
                  <c:v>4</c:v>
                </c:pt>
                <c:pt idx="380">
                  <c:v>5</c:v>
                </c:pt>
                <c:pt idx="381">
                  <c:v>4</c:v>
                </c:pt>
                <c:pt idx="382">
                  <c:v>4</c:v>
                </c:pt>
                <c:pt idx="383">
                  <c:v>5</c:v>
                </c:pt>
                <c:pt idx="384">
                  <c:v>2</c:v>
                </c:pt>
                <c:pt idx="385">
                  <c:v>4</c:v>
                </c:pt>
                <c:pt idx="386">
                  <c:v>4</c:v>
                </c:pt>
                <c:pt idx="387">
                  <c:v>5</c:v>
                </c:pt>
                <c:pt idx="388">
                  <c:v>3</c:v>
                </c:pt>
                <c:pt idx="389">
                  <c:v>5</c:v>
                </c:pt>
                <c:pt idx="390">
                  <c:v>2</c:v>
                </c:pt>
                <c:pt idx="391">
                  <c:v>5</c:v>
                </c:pt>
                <c:pt idx="392">
                  <c:v>4</c:v>
                </c:pt>
                <c:pt idx="393">
                  <c:v>4</c:v>
                </c:pt>
                <c:pt idx="394">
                  <c:v>5</c:v>
                </c:pt>
                <c:pt idx="395">
                  <c:v>5</c:v>
                </c:pt>
                <c:pt idx="396">
                  <c:v>4</c:v>
                </c:pt>
                <c:pt idx="397">
                  <c:v>4</c:v>
                </c:pt>
                <c:pt idx="398">
                  <c:v>4</c:v>
                </c:pt>
                <c:pt idx="399">
                  <c:v>4</c:v>
                </c:pt>
                <c:pt idx="400">
                  <c:v>3</c:v>
                </c:pt>
                <c:pt idx="401">
                  <c:v>4</c:v>
                </c:pt>
                <c:pt idx="402">
                  <c:v>3</c:v>
                </c:pt>
                <c:pt idx="403">
                  <c:v>3</c:v>
                </c:pt>
                <c:pt idx="404">
                  <c:v>5</c:v>
                </c:pt>
                <c:pt idx="405">
                  <c:v>4</c:v>
                </c:pt>
                <c:pt idx="406">
                  <c:v>5</c:v>
                </c:pt>
                <c:pt idx="407">
                  <c:v>4</c:v>
                </c:pt>
                <c:pt idx="408">
                  <c:v>4</c:v>
                </c:pt>
                <c:pt idx="409">
                  <c:v>4</c:v>
                </c:pt>
                <c:pt idx="410">
                  <c:v>5</c:v>
                </c:pt>
                <c:pt idx="411">
                  <c:v>4</c:v>
                </c:pt>
                <c:pt idx="412">
                  <c:v>5</c:v>
                </c:pt>
                <c:pt idx="413">
                  <c:v>4</c:v>
                </c:pt>
                <c:pt idx="414">
                  <c:v>4</c:v>
                </c:pt>
                <c:pt idx="415">
                  <c:v>5</c:v>
                </c:pt>
                <c:pt idx="416">
                  <c:v>4</c:v>
                </c:pt>
                <c:pt idx="417">
                  <c:v>4</c:v>
                </c:pt>
                <c:pt idx="418">
                  <c:v>4</c:v>
                </c:pt>
                <c:pt idx="419">
                  <c:v>5</c:v>
                </c:pt>
                <c:pt idx="420">
                  <c:v>5</c:v>
                </c:pt>
                <c:pt idx="421">
                  <c:v>4</c:v>
                </c:pt>
                <c:pt idx="422">
                  <c:v>3</c:v>
                </c:pt>
                <c:pt idx="423">
                  <c:v>3</c:v>
                </c:pt>
                <c:pt idx="424">
                  <c:v>5</c:v>
                </c:pt>
                <c:pt idx="425">
                  <c:v>2</c:v>
                </c:pt>
                <c:pt idx="426">
                  <c:v>3</c:v>
                </c:pt>
                <c:pt idx="427">
                  <c:v>3</c:v>
                </c:pt>
                <c:pt idx="428">
                  <c:v>5</c:v>
                </c:pt>
                <c:pt idx="429">
                  <c:v>3</c:v>
                </c:pt>
                <c:pt idx="430">
                  <c:v>3</c:v>
                </c:pt>
                <c:pt idx="431">
                  <c:v>2</c:v>
                </c:pt>
                <c:pt idx="432">
                  <c:v>5</c:v>
                </c:pt>
                <c:pt idx="433">
                  <c:v>5</c:v>
                </c:pt>
                <c:pt idx="434">
                  <c:v>5</c:v>
                </c:pt>
                <c:pt idx="435">
                  <c:v>4</c:v>
                </c:pt>
                <c:pt idx="436">
                  <c:v>5</c:v>
                </c:pt>
                <c:pt idx="437">
                  <c:v>4</c:v>
                </c:pt>
                <c:pt idx="438">
                  <c:v>3</c:v>
                </c:pt>
                <c:pt idx="439">
                  <c:v>4</c:v>
                </c:pt>
                <c:pt idx="440">
                  <c:v>5</c:v>
                </c:pt>
                <c:pt idx="441">
                  <c:v>5</c:v>
                </c:pt>
                <c:pt idx="442">
                  <c:v>4</c:v>
                </c:pt>
                <c:pt idx="443">
                  <c:v>3</c:v>
                </c:pt>
                <c:pt idx="444">
                  <c:v>4</c:v>
                </c:pt>
                <c:pt idx="445">
                  <c:v>1</c:v>
                </c:pt>
                <c:pt idx="446">
                  <c:v>4</c:v>
                </c:pt>
                <c:pt idx="447">
                  <c:v>4</c:v>
                </c:pt>
                <c:pt idx="448">
                  <c:v>5</c:v>
                </c:pt>
                <c:pt idx="449">
                  <c:v>3</c:v>
                </c:pt>
                <c:pt idx="450">
                  <c:v>5</c:v>
                </c:pt>
                <c:pt idx="451">
                  <c:v>4</c:v>
                </c:pt>
                <c:pt idx="452">
                  <c:v>4</c:v>
                </c:pt>
                <c:pt idx="453">
                  <c:v>4</c:v>
                </c:pt>
                <c:pt idx="454">
                  <c:v>5</c:v>
                </c:pt>
                <c:pt idx="455">
                  <c:v>5</c:v>
                </c:pt>
                <c:pt idx="456">
                  <c:v>5</c:v>
                </c:pt>
                <c:pt idx="457">
                  <c:v>5</c:v>
                </c:pt>
                <c:pt idx="458">
                  <c:v>4</c:v>
                </c:pt>
                <c:pt idx="459">
                  <c:v>4</c:v>
                </c:pt>
                <c:pt idx="460">
                  <c:v>4</c:v>
                </c:pt>
                <c:pt idx="461">
                  <c:v>5</c:v>
                </c:pt>
                <c:pt idx="462">
                  <c:v>5</c:v>
                </c:pt>
                <c:pt idx="463">
                  <c:v>3</c:v>
                </c:pt>
                <c:pt idx="464">
                  <c:v>3</c:v>
                </c:pt>
                <c:pt idx="465">
                  <c:v>5</c:v>
                </c:pt>
                <c:pt idx="466">
                  <c:v>5</c:v>
                </c:pt>
                <c:pt idx="467">
                  <c:v>1</c:v>
                </c:pt>
                <c:pt idx="468">
                  <c:v>3</c:v>
                </c:pt>
                <c:pt idx="469">
                  <c:v>3</c:v>
                </c:pt>
                <c:pt idx="470">
                  <c:v>5</c:v>
                </c:pt>
                <c:pt idx="471">
                  <c:v>4</c:v>
                </c:pt>
                <c:pt idx="472">
                  <c:v>3</c:v>
                </c:pt>
                <c:pt idx="473">
                  <c:v>4</c:v>
                </c:pt>
                <c:pt idx="474">
                  <c:v>5</c:v>
                </c:pt>
                <c:pt idx="475">
                  <c:v>3</c:v>
                </c:pt>
                <c:pt idx="476">
                  <c:v>5</c:v>
                </c:pt>
                <c:pt idx="477">
                  <c:v>4</c:v>
                </c:pt>
                <c:pt idx="478">
                  <c:v>4</c:v>
                </c:pt>
                <c:pt idx="479">
                  <c:v>4</c:v>
                </c:pt>
                <c:pt idx="480">
                  <c:v>5</c:v>
                </c:pt>
                <c:pt idx="481">
                  <c:v>5</c:v>
                </c:pt>
                <c:pt idx="482">
                  <c:v>4</c:v>
                </c:pt>
                <c:pt idx="483">
                  <c:v>5</c:v>
                </c:pt>
                <c:pt idx="484">
                  <c:v>5</c:v>
                </c:pt>
                <c:pt idx="485">
                  <c:v>3</c:v>
                </c:pt>
                <c:pt idx="486">
                  <c:v>4</c:v>
                </c:pt>
                <c:pt idx="487">
                  <c:v>5</c:v>
                </c:pt>
                <c:pt idx="488">
                  <c:v>4</c:v>
                </c:pt>
                <c:pt idx="489">
                  <c:v>5</c:v>
                </c:pt>
                <c:pt idx="490">
                  <c:v>3</c:v>
                </c:pt>
                <c:pt idx="491">
                  <c:v>4</c:v>
                </c:pt>
                <c:pt idx="492">
                  <c:v>4</c:v>
                </c:pt>
                <c:pt idx="493">
                  <c:v>4</c:v>
                </c:pt>
                <c:pt idx="494">
                  <c:v>4</c:v>
                </c:pt>
                <c:pt idx="495">
                  <c:v>4</c:v>
                </c:pt>
                <c:pt idx="496">
                  <c:v>3</c:v>
                </c:pt>
                <c:pt idx="497">
                  <c:v>4</c:v>
                </c:pt>
                <c:pt idx="498">
                  <c:v>5</c:v>
                </c:pt>
                <c:pt idx="499">
                  <c:v>4</c:v>
                </c:pt>
                <c:pt idx="500">
                  <c:v>4</c:v>
                </c:pt>
                <c:pt idx="501">
                  <c:v>3</c:v>
                </c:pt>
                <c:pt idx="502">
                  <c:v>4</c:v>
                </c:pt>
                <c:pt idx="503">
                  <c:v>2</c:v>
                </c:pt>
                <c:pt idx="504">
                  <c:v>5</c:v>
                </c:pt>
                <c:pt idx="505">
                  <c:v>3</c:v>
                </c:pt>
                <c:pt idx="506">
                  <c:v>5</c:v>
                </c:pt>
                <c:pt idx="507">
                  <c:v>5</c:v>
                </c:pt>
                <c:pt idx="508">
                  <c:v>3</c:v>
                </c:pt>
                <c:pt idx="509">
                  <c:v>4</c:v>
                </c:pt>
                <c:pt idx="510">
                  <c:v>5</c:v>
                </c:pt>
                <c:pt idx="511">
                  <c:v>4</c:v>
                </c:pt>
                <c:pt idx="512">
                  <c:v>4</c:v>
                </c:pt>
                <c:pt idx="513">
                  <c:v>3</c:v>
                </c:pt>
                <c:pt idx="514">
                  <c:v>5</c:v>
                </c:pt>
                <c:pt idx="515">
                  <c:v>3</c:v>
                </c:pt>
                <c:pt idx="516">
                  <c:v>4</c:v>
                </c:pt>
                <c:pt idx="517">
                  <c:v>4</c:v>
                </c:pt>
                <c:pt idx="518">
                  <c:v>4</c:v>
                </c:pt>
                <c:pt idx="519">
                  <c:v>5</c:v>
                </c:pt>
                <c:pt idx="520">
                  <c:v>5</c:v>
                </c:pt>
                <c:pt idx="521">
                  <c:v>4</c:v>
                </c:pt>
                <c:pt idx="522">
                  <c:v>5</c:v>
                </c:pt>
                <c:pt idx="523">
                  <c:v>5</c:v>
                </c:pt>
                <c:pt idx="524">
                  <c:v>2</c:v>
                </c:pt>
                <c:pt idx="525">
                  <c:v>4</c:v>
                </c:pt>
                <c:pt idx="526">
                  <c:v>4</c:v>
                </c:pt>
                <c:pt idx="527">
                  <c:v>4</c:v>
                </c:pt>
                <c:pt idx="528">
                  <c:v>4</c:v>
                </c:pt>
                <c:pt idx="529">
                  <c:v>4</c:v>
                </c:pt>
                <c:pt idx="530">
                  <c:v>4</c:v>
                </c:pt>
                <c:pt idx="531">
                  <c:v>4</c:v>
                </c:pt>
                <c:pt idx="532">
                  <c:v>4</c:v>
                </c:pt>
                <c:pt idx="533">
                  <c:v>4</c:v>
                </c:pt>
                <c:pt idx="534">
                  <c:v>4</c:v>
                </c:pt>
                <c:pt idx="535">
                  <c:v>5</c:v>
                </c:pt>
                <c:pt idx="536">
                  <c:v>4</c:v>
                </c:pt>
                <c:pt idx="537">
                  <c:v>4</c:v>
                </c:pt>
                <c:pt idx="538">
                  <c:v>4</c:v>
                </c:pt>
                <c:pt idx="539">
                  <c:v>5</c:v>
                </c:pt>
                <c:pt idx="540">
                  <c:v>3</c:v>
                </c:pt>
                <c:pt idx="541">
                  <c:v>5</c:v>
                </c:pt>
                <c:pt idx="542">
                  <c:v>4</c:v>
                </c:pt>
                <c:pt idx="543">
                  <c:v>4</c:v>
                </c:pt>
                <c:pt idx="544">
                  <c:v>3</c:v>
                </c:pt>
                <c:pt idx="545">
                  <c:v>3</c:v>
                </c:pt>
                <c:pt idx="546">
                  <c:v>4</c:v>
                </c:pt>
                <c:pt idx="547">
                  <c:v>5</c:v>
                </c:pt>
                <c:pt idx="548">
                  <c:v>4</c:v>
                </c:pt>
                <c:pt idx="549">
                  <c:v>4</c:v>
                </c:pt>
                <c:pt idx="550">
                  <c:v>5</c:v>
                </c:pt>
                <c:pt idx="551">
                  <c:v>4</c:v>
                </c:pt>
                <c:pt idx="552">
                  <c:v>4</c:v>
                </c:pt>
                <c:pt idx="553">
                  <c:v>5</c:v>
                </c:pt>
                <c:pt idx="554">
                  <c:v>5</c:v>
                </c:pt>
                <c:pt idx="555">
                  <c:v>3</c:v>
                </c:pt>
                <c:pt idx="556">
                  <c:v>4</c:v>
                </c:pt>
                <c:pt idx="557">
                  <c:v>1</c:v>
                </c:pt>
                <c:pt idx="558">
                  <c:v>3</c:v>
                </c:pt>
                <c:pt idx="559">
                  <c:v>3</c:v>
                </c:pt>
                <c:pt idx="560">
                  <c:v>5</c:v>
                </c:pt>
                <c:pt idx="561">
                  <c:v>3</c:v>
                </c:pt>
                <c:pt idx="562">
                  <c:v>4</c:v>
                </c:pt>
                <c:pt idx="563">
                  <c:v>5</c:v>
                </c:pt>
                <c:pt idx="564">
                  <c:v>4</c:v>
                </c:pt>
                <c:pt idx="565">
                  <c:v>3</c:v>
                </c:pt>
                <c:pt idx="566">
                  <c:v>3</c:v>
                </c:pt>
                <c:pt idx="567">
                  <c:v>5</c:v>
                </c:pt>
                <c:pt idx="568">
                  <c:v>5</c:v>
                </c:pt>
                <c:pt idx="569">
                  <c:v>3</c:v>
                </c:pt>
                <c:pt idx="570">
                  <c:v>5</c:v>
                </c:pt>
                <c:pt idx="571">
                  <c:v>5</c:v>
                </c:pt>
                <c:pt idx="572">
                  <c:v>4</c:v>
                </c:pt>
                <c:pt idx="573">
                  <c:v>2</c:v>
                </c:pt>
                <c:pt idx="574">
                  <c:v>4</c:v>
                </c:pt>
                <c:pt idx="575">
                  <c:v>4</c:v>
                </c:pt>
                <c:pt idx="576">
                  <c:v>5</c:v>
                </c:pt>
                <c:pt idx="577">
                  <c:v>5</c:v>
                </c:pt>
                <c:pt idx="578">
                  <c:v>2</c:v>
                </c:pt>
                <c:pt idx="579">
                  <c:v>4</c:v>
                </c:pt>
                <c:pt idx="580">
                  <c:v>4</c:v>
                </c:pt>
                <c:pt idx="581">
                  <c:v>3</c:v>
                </c:pt>
                <c:pt idx="582">
                  <c:v>3</c:v>
                </c:pt>
                <c:pt idx="583">
                  <c:v>3</c:v>
                </c:pt>
                <c:pt idx="584">
                  <c:v>3</c:v>
                </c:pt>
                <c:pt idx="585">
                  <c:v>5</c:v>
                </c:pt>
                <c:pt idx="586">
                  <c:v>4</c:v>
                </c:pt>
                <c:pt idx="587">
                  <c:v>4</c:v>
                </c:pt>
                <c:pt idx="588">
                  <c:v>2</c:v>
                </c:pt>
                <c:pt idx="589">
                  <c:v>4</c:v>
                </c:pt>
                <c:pt idx="590">
                  <c:v>3</c:v>
                </c:pt>
                <c:pt idx="591">
                  <c:v>4</c:v>
                </c:pt>
                <c:pt idx="592">
                  <c:v>4</c:v>
                </c:pt>
                <c:pt idx="593">
                  <c:v>4</c:v>
                </c:pt>
                <c:pt idx="594">
                  <c:v>2</c:v>
                </c:pt>
                <c:pt idx="595">
                  <c:v>4</c:v>
                </c:pt>
                <c:pt idx="596">
                  <c:v>3</c:v>
                </c:pt>
                <c:pt idx="597">
                  <c:v>2</c:v>
                </c:pt>
                <c:pt idx="598">
                  <c:v>3</c:v>
                </c:pt>
                <c:pt idx="599">
                  <c:v>5</c:v>
                </c:pt>
                <c:pt idx="600">
                  <c:v>5</c:v>
                </c:pt>
                <c:pt idx="601">
                  <c:v>5</c:v>
                </c:pt>
                <c:pt idx="602">
                  <c:v>5</c:v>
                </c:pt>
                <c:pt idx="603">
                  <c:v>5</c:v>
                </c:pt>
                <c:pt idx="604">
                  <c:v>5</c:v>
                </c:pt>
                <c:pt idx="605">
                  <c:v>5</c:v>
                </c:pt>
                <c:pt idx="606">
                  <c:v>5</c:v>
                </c:pt>
                <c:pt idx="607">
                  <c:v>4</c:v>
                </c:pt>
                <c:pt idx="608">
                  <c:v>3</c:v>
                </c:pt>
                <c:pt idx="609">
                  <c:v>3</c:v>
                </c:pt>
                <c:pt idx="610">
                  <c:v>5</c:v>
                </c:pt>
                <c:pt idx="611">
                  <c:v>5</c:v>
                </c:pt>
                <c:pt idx="612">
                  <c:v>5</c:v>
                </c:pt>
                <c:pt idx="613">
                  <c:v>5</c:v>
                </c:pt>
                <c:pt idx="614">
                  <c:v>4</c:v>
                </c:pt>
                <c:pt idx="615">
                  <c:v>4</c:v>
                </c:pt>
                <c:pt idx="616">
                  <c:v>4</c:v>
                </c:pt>
                <c:pt idx="617">
                  <c:v>5</c:v>
                </c:pt>
                <c:pt idx="618">
                  <c:v>4</c:v>
                </c:pt>
                <c:pt idx="619">
                  <c:v>4</c:v>
                </c:pt>
                <c:pt idx="620">
                  <c:v>5</c:v>
                </c:pt>
                <c:pt idx="621">
                  <c:v>5</c:v>
                </c:pt>
                <c:pt idx="622">
                  <c:v>3</c:v>
                </c:pt>
                <c:pt idx="623">
                  <c:v>3</c:v>
                </c:pt>
                <c:pt idx="624">
                  <c:v>5</c:v>
                </c:pt>
                <c:pt idx="625">
                  <c:v>4</c:v>
                </c:pt>
                <c:pt idx="626">
                  <c:v>3</c:v>
                </c:pt>
                <c:pt idx="627">
                  <c:v>3</c:v>
                </c:pt>
                <c:pt idx="628">
                  <c:v>4</c:v>
                </c:pt>
                <c:pt idx="629">
                  <c:v>4</c:v>
                </c:pt>
                <c:pt idx="630">
                  <c:v>3</c:v>
                </c:pt>
                <c:pt idx="631">
                  <c:v>2</c:v>
                </c:pt>
                <c:pt idx="632">
                  <c:v>2</c:v>
                </c:pt>
                <c:pt idx="633">
                  <c:v>3</c:v>
                </c:pt>
                <c:pt idx="634">
                  <c:v>4</c:v>
                </c:pt>
                <c:pt idx="635">
                  <c:v>5</c:v>
                </c:pt>
                <c:pt idx="636">
                  <c:v>5</c:v>
                </c:pt>
                <c:pt idx="637">
                  <c:v>4</c:v>
                </c:pt>
                <c:pt idx="638">
                  <c:v>4</c:v>
                </c:pt>
                <c:pt idx="639">
                  <c:v>3</c:v>
                </c:pt>
                <c:pt idx="640">
                  <c:v>3</c:v>
                </c:pt>
                <c:pt idx="641">
                  <c:v>4</c:v>
                </c:pt>
                <c:pt idx="642">
                  <c:v>4</c:v>
                </c:pt>
                <c:pt idx="643">
                  <c:v>3</c:v>
                </c:pt>
                <c:pt idx="644">
                  <c:v>4</c:v>
                </c:pt>
                <c:pt idx="645">
                  <c:v>3</c:v>
                </c:pt>
                <c:pt idx="646">
                  <c:v>5</c:v>
                </c:pt>
                <c:pt idx="647">
                  <c:v>2</c:v>
                </c:pt>
                <c:pt idx="648">
                  <c:v>5</c:v>
                </c:pt>
                <c:pt idx="649">
                  <c:v>4</c:v>
                </c:pt>
                <c:pt idx="650">
                  <c:v>4</c:v>
                </c:pt>
                <c:pt idx="651">
                  <c:v>5</c:v>
                </c:pt>
                <c:pt idx="652">
                  <c:v>4</c:v>
                </c:pt>
                <c:pt idx="653">
                  <c:v>4</c:v>
                </c:pt>
                <c:pt idx="654">
                  <c:v>3</c:v>
                </c:pt>
                <c:pt idx="655">
                  <c:v>3</c:v>
                </c:pt>
                <c:pt idx="656">
                  <c:v>5</c:v>
                </c:pt>
                <c:pt idx="657">
                  <c:v>5</c:v>
                </c:pt>
                <c:pt idx="658">
                  <c:v>4</c:v>
                </c:pt>
                <c:pt idx="659">
                  <c:v>4</c:v>
                </c:pt>
                <c:pt idx="660">
                  <c:v>3</c:v>
                </c:pt>
                <c:pt idx="661">
                  <c:v>4</c:v>
                </c:pt>
                <c:pt idx="662">
                  <c:v>3</c:v>
                </c:pt>
                <c:pt idx="663">
                  <c:v>5</c:v>
                </c:pt>
                <c:pt idx="664">
                  <c:v>5</c:v>
                </c:pt>
                <c:pt idx="665">
                  <c:v>4</c:v>
                </c:pt>
                <c:pt idx="666">
                  <c:v>4</c:v>
                </c:pt>
                <c:pt idx="667">
                  <c:v>5</c:v>
                </c:pt>
                <c:pt idx="668">
                  <c:v>5</c:v>
                </c:pt>
                <c:pt idx="669">
                  <c:v>5</c:v>
                </c:pt>
                <c:pt idx="670">
                  <c:v>2</c:v>
                </c:pt>
                <c:pt idx="671">
                  <c:v>5</c:v>
                </c:pt>
                <c:pt idx="672">
                  <c:v>5</c:v>
                </c:pt>
                <c:pt idx="673">
                  <c:v>5</c:v>
                </c:pt>
                <c:pt idx="674">
                  <c:v>3</c:v>
                </c:pt>
                <c:pt idx="675">
                  <c:v>2</c:v>
                </c:pt>
                <c:pt idx="676">
                  <c:v>4</c:v>
                </c:pt>
                <c:pt idx="677">
                  <c:v>5</c:v>
                </c:pt>
                <c:pt idx="678">
                  <c:v>4</c:v>
                </c:pt>
                <c:pt idx="679">
                  <c:v>4</c:v>
                </c:pt>
                <c:pt idx="680">
                  <c:v>4</c:v>
                </c:pt>
                <c:pt idx="681">
                  <c:v>2</c:v>
                </c:pt>
                <c:pt idx="682">
                  <c:v>4</c:v>
                </c:pt>
                <c:pt idx="683">
                  <c:v>4</c:v>
                </c:pt>
                <c:pt idx="684">
                  <c:v>4</c:v>
                </c:pt>
                <c:pt idx="685">
                  <c:v>4</c:v>
                </c:pt>
                <c:pt idx="686">
                  <c:v>4</c:v>
                </c:pt>
                <c:pt idx="687">
                  <c:v>5</c:v>
                </c:pt>
                <c:pt idx="688">
                  <c:v>3</c:v>
                </c:pt>
                <c:pt idx="689">
                  <c:v>5</c:v>
                </c:pt>
                <c:pt idx="690">
                  <c:v>5</c:v>
                </c:pt>
                <c:pt idx="691">
                  <c:v>5</c:v>
                </c:pt>
                <c:pt idx="692">
                  <c:v>3</c:v>
                </c:pt>
                <c:pt idx="693">
                  <c:v>3</c:v>
                </c:pt>
                <c:pt idx="694">
                  <c:v>4</c:v>
                </c:pt>
                <c:pt idx="695">
                  <c:v>4</c:v>
                </c:pt>
                <c:pt idx="696">
                  <c:v>2</c:v>
                </c:pt>
                <c:pt idx="697">
                  <c:v>4</c:v>
                </c:pt>
                <c:pt idx="698">
                  <c:v>4</c:v>
                </c:pt>
                <c:pt idx="699">
                  <c:v>5</c:v>
                </c:pt>
                <c:pt idx="700">
                  <c:v>4</c:v>
                </c:pt>
                <c:pt idx="701">
                  <c:v>5</c:v>
                </c:pt>
                <c:pt idx="702">
                  <c:v>3</c:v>
                </c:pt>
                <c:pt idx="703">
                  <c:v>4</c:v>
                </c:pt>
                <c:pt idx="704">
                  <c:v>5</c:v>
                </c:pt>
                <c:pt idx="705">
                  <c:v>5</c:v>
                </c:pt>
                <c:pt idx="706">
                  <c:v>5</c:v>
                </c:pt>
                <c:pt idx="707">
                  <c:v>4</c:v>
                </c:pt>
                <c:pt idx="708">
                  <c:v>3</c:v>
                </c:pt>
                <c:pt idx="709">
                  <c:v>4</c:v>
                </c:pt>
                <c:pt idx="710">
                  <c:v>4</c:v>
                </c:pt>
                <c:pt idx="711">
                  <c:v>5</c:v>
                </c:pt>
                <c:pt idx="712">
                  <c:v>3</c:v>
                </c:pt>
                <c:pt idx="713">
                  <c:v>2</c:v>
                </c:pt>
                <c:pt idx="714">
                  <c:v>4</c:v>
                </c:pt>
                <c:pt idx="715">
                  <c:v>5</c:v>
                </c:pt>
                <c:pt idx="716">
                  <c:v>4</c:v>
                </c:pt>
                <c:pt idx="717">
                  <c:v>5</c:v>
                </c:pt>
                <c:pt idx="718">
                  <c:v>4</c:v>
                </c:pt>
                <c:pt idx="719">
                  <c:v>3</c:v>
                </c:pt>
                <c:pt idx="720">
                  <c:v>4</c:v>
                </c:pt>
                <c:pt idx="721">
                  <c:v>4</c:v>
                </c:pt>
                <c:pt idx="722">
                  <c:v>3</c:v>
                </c:pt>
                <c:pt idx="723">
                  <c:v>3</c:v>
                </c:pt>
                <c:pt idx="724">
                  <c:v>5</c:v>
                </c:pt>
                <c:pt idx="725">
                  <c:v>4</c:v>
                </c:pt>
                <c:pt idx="726">
                  <c:v>4</c:v>
                </c:pt>
                <c:pt idx="727">
                  <c:v>4</c:v>
                </c:pt>
                <c:pt idx="728">
                  <c:v>4</c:v>
                </c:pt>
                <c:pt idx="729">
                  <c:v>5</c:v>
                </c:pt>
                <c:pt idx="730">
                  <c:v>4</c:v>
                </c:pt>
                <c:pt idx="731">
                  <c:v>4</c:v>
                </c:pt>
                <c:pt idx="732">
                  <c:v>4</c:v>
                </c:pt>
                <c:pt idx="733">
                  <c:v>5</c:v>
                </c:pt>
                <c:pt idx="734">
                  <c:v>1</c:v>
                </c:pt>
                <c:pt idx="735">
                  <c:v>4</c:v>
                </c:pt>
                <c:pt idx="736">
                  <c:v>5</c:v>
                </c:pt>
                <c:pt idx="737">
                  <c:v>4</c:v>
                </c:pt>
                <c:pt idx="738">
                  <c:v>5</c:v>
                </c:pt>
                <c:pt idx="739">
                  <c:v>4</c:v>
                </c:pt>
                <c:pt idx="740">
                  <c:v>4</c:v>
                </c:pt>
                <c:pt idx="741">
                  <c:v>3</c:v>
                </c:pt>
                <c:pt idx="742">
                  <c:v>5</c:v>
                </c:pt>
                <c:pt idx="743">
                  <c:v>4</c:v>
                </c:pt>
                <c:pt idx="744">
                  <c:v>4</c:v>
                </c:pt>
                <c:pt idx="745">
                  <c:v>5</c:v>
                </c:pt>
                <c:pt idx="746">
                  <c:v>4</c:v>
                </c:pt>
                <c:pt idx="747">
                  <c:v>4</c:v>
                </c:pt>
                <c:pt idx="748">
                  <c:v>5</c:v>
                </c:pt>
                <c:pt idx="749">
                  <c:v>2</c:v>
                </c:pt>
                <c:pt idx="750">
                  <c:v>4</c:v>
                </c:pt>
                <c:pt idx="751">
                  <c:v>4</c:v>
                </c:pt>
                <c:pt idx="752">
                  <c:v>4</c:v>
                </c:pt>
                <c:pt idx="753">
                  <c:v>4</c:v>
                </c:pt>
                <c:pt idx="754">
                  <c:v>5</c:v>
                </c:pt>
                <c:pt idx="755">
                  <c:v>4</c:v>
                </c:pt>
                <c:pt idx="756">
                  <c:v>4</c:v>
                </c:pt>
                <c:pt idx="757">
                  <c:v>5</c:v>
                </c:pt>
                <c:pt idx="758">
                  <c:v>3</c:v>
                </c:pt>
                <c:pt idx="759">
                  <c:v>5</c:v>
                </c:pt>
                <c:pt idx="760">
                  <c:v>4</c:v>
                </c:pt>
                <c:pt idx="761">
                  <c:v>4</c:v>
                </c:pt>
                <c:pt idx="762">
                  <c:v>3</c:v>
                </c:pt>
                <c:pt idx="763">
                  <c:v>2</c:v>
                </c:pt>
                <c:pt idx="764">
                  <c:v>5</c:v>
                </c:pt>
                <c:pt idx="765">
                  <c:v>4</c:v>
                </c:pt>
                <c:pt idx="766">
                  <c:v>4</c:v>
                </c:pt>
                <c:pt idx="767">
                  <c:v>2</c:v>
                </c:pt>
                <c:pt idx="768">
                  <c:v>2</c:v>
                </c:pt>
                <c:pt idx="769">
                  <c:v>3</c:v>
                </c:pt>
                <c:pt idx="770">
                  <c:v>3</c:v>
                </c:pt>
                <c:pt idx="771">
                  <c:v>4</c:v>
                </c:pt>
                <c:pt idx="772">
                  <c:v>3</c:v>
                </c:pt>
                <c:pt idx="773">
                  <c:v>4</c:v>
                </c:pt>
                <c:pt idx="774">
                  <c:v>5</c:v>
                </c:pt>
                <c:pt idx="775">
                  <c:v>4</c:v>
                </c:pt>
                <c:pt idx="776">
                  <c:v>3</c:v>
                </c:pt>
                <c:pt idx="777">
                  <c:v>5</c:v>
                </c:pt>
                <c:pt idx="778">
                  <c:v>4</c:v>
                </c:pt>
                <c:pt idx="779">
                  <c:v>4</c:v>
                </c:pt>
                <c:pt idx="780">
                  <c:v>3</c:v>
                </c:pt>
                <c:pt idx="781">
                  <c:v>5</c:v>
                </c:pt>
                <c:pt idx="782">
                  <c:v>4</c:v>
                </c:pt>
                <c:pt idx="783">
                  <c:v>5</c:v>
                </c:pt>
                <c:pt idx="784">
                  <c:v>5</c:v>
                </c:pt>
                <c:pt idx="785">
                  <c:v>5</c:v>
                </c:pt>
                <c:pt idx="786">
                  <c:v>2</c:v>
                </c:pt>
                <c:pt idx="787">
                  <c:v>4</c:v>
                </c:pt>
                <c:pt idx="788">
                  <c:v>3</c:v>
                </c:pt>
                <c:pt idx="789">
                  <c:v>5</c:v>
                </c:pt>
                <c:pt idx="790">
                  <c:v>4</c:v>
                </c:pt>
                <c:pt idx="791">
                  <c:v>4</c:v>
                </c:pt>
                <c:pt idx="792">
                  <c:v>2</c:v>
                </c:pt>
                <c:pt idx="793">
                  <c:v>5</c:v>
                </c:pt>
                <c:pt idx="794">
                  <c:v>5</c:v>
                </c:pt>
                <c:pt idx="795">
                  <c:v>3</c:v>
                </c:pt>
                <c:pt idx="796">
                  <c:v>5</c:v>
                </c:pt>
                <c:pt idx="797">
                  <c:v>4</c:v>
                </c:pt>
                <c:pt idx="798">
                  <c:v>4</c:v>
                </c:pt>
                <c:pt idx="799">
                  <c:v>4</c:v>
                </c:pt>
                <c:pt idx="800">
                  <c:v>3</c:v>
                </c:pt>
                <c:pt idx="801">
                  <c:v>4</c:v>
                </c:pt>
                <c:pt idx="802">
                  <c:v>3</c:v>
                </c:pt>
                <c:pt idx="803">
                  <c:v>5</c:v>
                </c:pt>
                <c:pt idx="804">
                  <c:v>4</c:v>
                </c:pt>
                <c:pt idx="805">
                  <c:v>4</c:v>
                </c:pt>
                <c:pt idx="806">
                  <c:v>5</c:v>
                </c:pt>
                <c:pt idx="807">
                  <c:v>4</c:v>
                </c:pt>
                <c:pt idx="808">
                  <c:v>5</c:v>
                </c:pt>
                <c:pt idx="809">
                  <c:v>4</c:v>
                </c:pt>
                <c:pt idx="810">
                  <c:v>3</c:v>
                </c:pt>
                <c:pt idx="811">
                  <c:v>3</c:v>
                </c:pt>
                <c:pt idx="812">
                  <c:v>4</c:v>
                </c:pt>
                <c:pt idx="813">
                  <c:v>4</c:v>
                </c:pt>
                <c:pt idx="814">
                  <c:v>3</c:v>
                </c:pt>
                <c:pt idx="815">
                  <c:v>5</c:v>
                </c:pt>
                <c:pt idx="816">
                  <c:v>5</c:v>
                </c:pt>
                <c:pt idx="817">
                  <c:v>5</c:v>
                </c:pt>
                <c:pt idx="818">
                  <c:v>5</c:v>
                </c:pt>
                <c:pt idx="819">
                  <c:v>3</c:v>
                </c:pt>
                <c:pt idx="820">
                  <c:v>5</c:v>
                </c:pt>
                <c:pt idx="821">
                  <c:v>5</c:v>
                </c:pt>
                <c:pt idx="822">
                  <c:v>5</c:v>
                </c:pt>
                <c:pt idx="823">
                  <c:v>5</c:v>
                </c:pt>
                <c:pt idx="824">
                  <c:v>4</c:v>
                </c:pt>
                <c:pt idx="825">
                  <c:v>5</c:v>
                </c:pt>
                <c:pt idx="826">
                  <c:v>5</c:v>
                </c:pt>
                <c:pt idx="827">
                  <c:v>5</c:v>
                </c:pt>
                <c:pt idx="828">
                  <c:v>4</c:v>
                </c:pt>
                <c:pt idx="829">
                  <c:v>4</c:v>
                </c:pt>
                <c:pt idx="830">
                  <c:v>5</c:v>
                </c:pt>
                <c:pt idx="831">
                  <c:v>3</c:v>
                </c:pt>
                <c:pt idx="832">
                  <c:v>5</c:v>
                </c:pt>
                <c:pt idx="833">
                  <c:v>5</c:v>
                </c:pt>
                <c:pt idx="834">
                  <c:v>3</c:v>
                </c:pt>
                <c:pt idx="835">
                  <c:v>4</c:v>
                </c:pt>
                <c:pt idx="836">
                  <c:v>4</c:v>
                </c:pt>
                <c:pt idx="837">
                  <c:v>4</c:v>
                </c:pt>
                <c:pt idx="838">
                  <c:v>2</c:v>
                </c:pt>
                <c:pt idx="839">
                  <c:v>3</c:v>
                </c:pt>
                <c:pt idx="840">
                  <c:v>4</c:v>
                </c:pt>
                <c:pt idx="841">
                  <c:v>4</c:v>
                </c:pt>
                <c:pt idx="842">
                  <c:v>4</c:v>
                </c:pt>
                <c:pt idx="843">
                  <c:v>4</c:v>
                </c:pt>
                <c:pt idx="844">
                  <c:v>4</c:v>
                </c:pt>
                <c:pt idx="845">
                  <c:v>5</c:v>
                </c:pt>
                <c:pt idx="846">
                  <c:v>3</c:v>
                </c:pt>
                <c:pt idx="847">
                  <c:v>3</c:v>
                </c:pt>
                <c:pt idx="848">
                  <c:v>3</c:v>
                </c:pt>
                <c:pt idx="849">
                  <c:v>5</c:v>
                </c:pt>
                <c:pt idx="850">
                  <c:v>4</c:v>
                </c:pt>
                <c:pt idx="851">
                  <c:v>5</c:v>
                </c:pt>
                <c:pt idx="852">
                  <c:v>4</c:v>
                </c:pt>
                <c:pt idx="853">
                  <c:v>4</c:v>
                </c:pt>
                <c:pt idx="854">
                  <c:v>4</c:v>
                </c:pt>
                <c:pt idx="855">
                  <c:v>5</c:v>
                </c:pt>
                <c:pt idx="856">
                  <c:v>4</c:v>
                </c:pt>
                <c:pt idx="857">
                  <c:v>4</c:v>
                </c:pt>
                <c:pt idx="858">
                  <c:v>5</c:v>
                </c:pt>
                <c:pt idx="859">
                  <c:v>4</c:v>
                </c:pt>
                <c:pt idx="860">
                  <c:v>5</c:v>
                </c:pt>
                <c:pt idx="861">
                  <c:v>4</c:v>
                </c:pt>
                <c:pt idx="862">
                  <c:v>5</c:v>
                </c:pt>
                <c:pt idx="863">
                  <c:v>4</c:v>
                </c:pt>
                <c:pt idx="864">
                  <c:v>5</c:v>
                </c:pt>
                <c:pt idx="865">
                  <c:v>4</c:v>
                </c:pt>
                <c:pt idx="866">
                  <c:v>4</c:v>
                </c:pt>
                <c:pt idx="867">
                  <c:v>4</c:v>
                </c:pt>
                <c:pt idx="868">
                  <c:v>4</c:v>
                </c:pt>
                <c:pt idx="869">
                  <c:v>4</c:v>
                </c:pt>
                <c:pt idx="870">
                  <c:v>4</c:v>
                </c:pt>
                <c:pt idx="871">
                  <c:v>4</c:v>
                </c:pt>
                <c:pt idx="872">
                  <c:v>4</c:v>
                </c:pt>
                <c:pt idx="873">
                  <c:v>4</c:v>
                </c:pt>
                <c:pt idx="874">
                  <c:v>5</c:v>
                </c:pt>
                <c:pt idx="875">
                  <c:v>4</c:v>
                </c:pt>
                <c:pt idx="876">
                  <c:v>2</c:v>
                </c:pt>
                <c:pt idx="877">
                  <c:v>5</c:v>
                </c:pt>
                <c:pt idx="878">
                  <c:v>4</c:v>
                </c:pt>
                <c:pt idx="879">
                  <c:v>2</c:v>
                </c:pt>
                <c:pt idx="880">
                  <c:v>5</c:v>
                </c:pt>
                <c:pt idx="881">
                  <c:v>3</c:v>
                </c:pt>
                <c:pt idx="882">
                  <c:v>3</c:v>
                </c:pt>
                <c:pt idx="883">
                  <c:v>3</c:v>
                </c:pt>
                <c:pt idx="884">
                  <c:v>4</c:v>
                </c:pt>
                <c:pt idx="885">
                  <c:v>2</c:v>
                </c:pt>
                <c:pt idx="886">
                  <c:v>4</c:v>
                </c:pt>
                <c:pt idx="887">
                  <c:v>4</c:v>
                </c:pt>
                <c:pt idx="888">
                  <c:v>3</c:v>
                </c:pt>
                <c:pt idx="889">
                  <c:v>4</c:v>
                </c:pt>
                <c:pt idx="890">
                  <c:v>5</c:v>
                </c:pt>
                <c:pt idx="891">
                  <c:v>4</c:v>
                </c:pt>
                <c:pt idx="892">
                  <c:v>4</c:v>
                </c:pt>
                <c:pt idx="893">
                  <c:v>4</c:v>
                </c:pt>
                <c:pt idx="894">
                  <c:v>4</c:v>
                </c:pt>
                <c:pt idx="895">
                  <c:v>5</c:v>
                </c:pt>
                <c:pt idx="896">
                  <c:v>5</c:v>
                </c:pt>
                <c:pt idx="897">
                  <c:v>3</c:v>
                </c:pt>
                <c:pt idx="898">
                  <c:v>4</c:v>
                </c:pt>
                <c:pt idx="899">
                  <c:v>3</c:v>
                </c:pt>
                <c:pt idx="900">
                  <c:v>4</c:v>
                </c:pt>
                <c:pt idx="901">
                  <c:v>3</c:v>
                </c:pt>
                <c:pt idx="902">
                  <c:v>5</c:v>
                </c:pt>
                <c:pt idx="903">
                  <c:v>3</c:v>
                </c:pt>
                <c:pt idx="904">
                  <c:v>4</c:v>
                </c:pt>
                <c:pt idx="905">
                  <c:v>4</c:v>
                </c:pt>
                <c:pt idx="906">
                  <c:v>5</c:v>
                </c:pt>
                <c:pt idx="907">
                  <c:v>4</c:v>
                </c:pt>
                <c:pt idx="908">
                  <c:v>5</c:v>
                </c:pt>
                <c:pt idx="909">
                  <c:v>5</c:v>
                </c:pt>
                <c:pt idx="910">
                  <c:v>5</c:v>
                </c:pt>
                <c:pt idx="911">
                  <c:v>4</c:v>
                </c:pt>
                <c:pt idx="912">
                  <c:v>4</c:v>
                </c:pt>
                <c:pt idx="913">
                  <c:v>4</c:v>
                </c:pt>
                <c:pt idx="914">
                  <c:v>4</c:v>
                </c:pt>
                <c:pt idx="915">
                  <c:v>2</c:v>
                </c:pt>
                <c:pt idx="916">
                  <c:v>4</c:v>
                </c:pt>
                <c:pt idx="917">
                  <c:v>4</c:v>
                </c:pt>
                <c:pt idx="918">
                  <c:v>4</c:v>
                </c:pt>
                <c:pt idx="919">
                  <c:v>5</c:v>
                </c:pt>
                <c:pt idx="920">
                  <c:v>4</c:v>
                </c:pt>
                <c:pt idx="921">
                  <c:v>5</c:v>
                </c:pt>
                <c:pt idx="922">
                  <c:v>3</c:v>
                </c:pt>
                <c:pt idx="923">
                  <c:v>3</c:v>
                </c:pt>
                <c:pt idx="924">
                  <c:v>4</c:v>
                </c:pt>
                <c:pt idx="925">
                  <c:v>4</c:v>
                </c:pt>
                <c:pt idx="926">
                  <c:v>3</c:v>
                </c:pt>
                <c:pt idx="927">
                  <c:v>3</c:v>
                </c:pt>
                <c:pt idx="928">
                  <c:v>3</c:v>
                </c:pt>
                <c:pt idx="929">
                  <c:v>2</c:v>
                </c:pt>
                <c:pt idx="930">
                  <c:v>4</c:v>
                </c:pt>
                <c:pt idx="931">
                  <c:v>4</c:v>
                </c:pt>
                <c:pt idx="932">
                  <c:v>3</c:v>
                </c:pt>
                <c:pt idx="933">
                  <c:v>4</c:v>
                </c:pt>
                <c:pt idx="934">
                  <c:v>4</c:v>
                </c:pt>
                <c:pt idx="935">
                  <c:v>5</c:v>
                </c:pt>
                <c:pt idx="936">
                  <c:v>4</c:v>
                </c:pt>
                <c:pt idx="937">
                  <c:v>4</c:v>
                </c:pt>
                <c:pt idx="938">
                  <c:v>5</c:v>
                </c:pt>
                <c:pt idx="939">
                  <c:v>5</c:v>
                </c:pt>
                <c:pt idx="940">
                  <c:v>5</c:v>
                </c:pt>
                <c:pt idx="941">
                  <c:v>2</c:v>
                </c:pt>
                <c:pt idx="942">
                  <c:v>4</c:v>
                </c:pt>
                <c:pt idx="943">
                  <c:v>4</c:v>
                </c:pt>
                <c:pt idx="944">
                  <c:v>4</c:v>
                </c:pt>
                <c:pt idx="945">
                  <c:v>3</c:v>
                </c:pt>
                <c:pt idx="946">
                  <c:v>5</c:v>
                </c:pt>
                <c:pt idx="947">
                  <c:v>5</c:v>
                </c:pt>
                <c:pt idx="948">
                  <c:v>2</c:v>
                </c:pt>
                <c:pt idx="949">
                  <c:v>3</c:v>
                </c:pt>
                <c:pt idx="950">
                  <c:v>5</c:v>
                </c:pt>
                <c:pt idx="951">
                  <c:v>4</c:v>
                </c:pt>
                <c:pt idx="952">
                  <c:v>4</c:v>
                </c:pt>
                <c:pt idx="953">
                  <c:v>3</c:v>
                </c:pt>
                <c:pt idx="954">
                  <c:v>4</c:v>
                </c:pt>
                <c:pt idx="955">
                  <c:v>4</c:v>
                </c:pt>
                <c:pt idx="956">
                  <c:v>4</c:v>
                </c:pt>
                <c:pt idx="957">
                  <c:v>3</c:v>
                </c:pt>
                <c:pt idx="958">
                  <c:v>2</c:v>
                </c:pt>
                <c:pt idx="959">
                  <c:v>4</c:v>
                </c:pt>
                <c:pt idx="960">
                  <c:v>4</c:v>
                </c:pt>
                <c:pt idx="961">
                  <c:v>3</c:v>
                </c:pt>
                <c:pt idx="962">
                  <c:v>4</c:v>
                </c:pt>
                <c:pt idx="963">
                  <c:v>5</c:v>
                </c:pt>
                <c:pt idx="964">
                  <c:v>3</c:v>
                </c:pt>
                <c:pt idx="965">
                  <c:v>4</c:v>
                </c:pt>
                <c:pt idx="966">
                  <c:v>3</c:v>
                </c:pt>
                <c:pt idx="967">
                  <c:v>5</c:v>
                </c:pt>
                <c:pt idx="968">
                  <c:v>2</c:v>
                </c:pt>
                <c:pt idx="969">
                  <c:v>5</c:v>
                </c:pt>
                <c:pt idx="970">
                  <c:v>3</c:v>
                </c:pt>
                <c:pt idx="971">
                  <c:v>3</c:v>
                </c:pt>
                <c:pt idx="972">
                  <c:v>5</c:v>
                </c:pt>
                <c:pt idx="973">
                  <c:v>5</c:v>
                </c:pt>
                <c:pt idx="974">
                  <c:v>5</c:v>
                </c:pt>
                <c:pt idx="975">
                  <c:v>4</c:v>
                </c:pt>
                <c:pt idx="976">
                  <c:v>5</c:v>
                </c:pt>
                <c:pt idx="977">
                  <c:v>4</c:v>
                </c:pt>
                <c:pt idx="978">
                  <c:v>5</c:v>
                </c:pt>
                <c:pt idx="979">
                  <c:v>2</c:v>
                </c:pt>
                <c:pt idx="980">
                  <c:v>3</c:v>
                </c:pt>
                <c:pt idx="981">
                  <c:v>4</c:v>
                </c:pt>
                <c:pt idx="982">
                  <c:v>3</c:v>
                </c:pt>
                <c:pt idx="983">
                  <c:v>2</c:v>
                </c:pt>
                <c:pt idx="984">
                  <c:v>4</c:v>
                </c:pt>
                <c:pt idx="985">
                  <c:v>4</c:v>
                </c:pt>
                <c:pt idx="986">
                  <c:v>5</c:v>
                </c:pt>
                <c:pt idx="987">
                  <c:v>5</c:v>
                </c:pt>
                <c:pt idx="988">
                  <c:v>5</c:v>
                </c:pt>
                <c:pt idx="989">
                  <c:v>5</c:v>
                </c:pt>
                <c:pt idx="990">
                  <c:v>5</c:v>
                </c:pt>
                <c:pt idx="991">
                  <c:v>5</c:v>
                </c:pt>
                <c:pt idx="992">
                  <c:v>4</c:v>
                </c:pt>
                <c:pt idx="993">
                  <c:v>3</c:v>
                </c:pt>
                <c:pt idx="994">
                  <c:v>5</c:v>
                </c:pt>
                <c:pt idx="995">
                  <c:v>4</c:v>
                </c:pt>
                <c:pt idx="996">
                  <c:v>4</c:v>
                </c:pt>
                <c:pt idx="997">
                  <c:v>2</c:v>
                </c:pt>
                <c:pt idx="998">
                  <c:v>4</c:v>
                </c:pt>
                <c:pt idx="999">
                  <c:v>4</c:v>
                </c:pt>
              </c:numCache>
            </c:numRef>
          </c:yVal>
          <c:smooth val="0"/>
          <c:extLst>
            <c:ext xmlns:c16="http://schemas.microsoft.com/office/drawing/2014/chart" uri="{C3380CC4-5D6E-409C-BE32-E72D297353CC}">
              <c16:uniqueId val="{00000000-B89B-41FF-828A-EA8198AF6FF2}"/>
            </c:ext>
          </c:extLst>
        </c:ser>
        <c:dLbls>
          <c:showLegendKey val="0"/>
          <c:showVal val="0"/>
          <c:showCatName val="0"/>
          <c:showSerName val="0"/>
          <c:showPercent val="0"/>
          <c:showBubbleSize val="0"/>
        </c:dLbls>
        <c:axId val="1414526479"/>
        <c:axId val="1408279567"/>
      </c:scatterChart>
      <c:valAx>
        <c:axId val="14145264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279567"/>
        <c:crosses val="autoZero"/>
        <c:crossBetween val="midCat"/>
      </c:valAx>
      <c:valAx>
        <c:axId val="1408279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26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Analysis.xlsx]Pivot Tables and Others!PivotTable7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Others'!$B$101</c:f>
              <c:strCache>
                <c:ptCount val="1"/>
                <c:pt idx="0">
                  <c:v>Total</c:v>
                </c:pt>
              </c:strCache>
            </c:strRef>
          </c:tx>
          <c:spPr>
            <a:solidFill>
              <a:schemeClr val="accent1"/>
            </a:solidFill>
            <a:ln>
              <a:noFill/>
            </a:ln>
            <a:effectLst/>
          </c:spPr>
          <c:invertIfNegative val="0"/>
          <c:cat>
            <c:strRef>
              <c:f>'Pivot Tables and Others'!$A$102:$A$117</c:f>
              <c:strCache>
                <c:ptCount val="15"/>
                <c:pt idx="0">
                  <c:v>C0012</c:v>
                </c:pt>
                <c:pt idx="1">
                  <c:v>C0011</c:v>
                </c:pt>
                <c:pt idx="2">
                  <c:v>C0004</c:v>
                </c:pt>
                <c:pt idx="3">
                  <c:v>C0013</c:v>
                </c:pt>
                <c:pt idx="4">
                  <c:v>C0009</c:v>
                </c:pt>
                <c:pt idx="5">
                  <c:v>C0002</c:v>
                </c:pt>
                <c:pt idx="6">
                  <c:v>C0006</c:v>
                </c:pt>
                <c:pt idx="7">
                  <c:v>C0007</c:v>
                </c:pt>
                <c:pt idx="8">
                  <c:v>C0005</c:v>
                </c:pt>
                <c:pt idx="9">
                  <c:v>C0008</c:v>
                </c:pt>
                <c:pt idx="10">
                  <c:v>C0015</c:v>
                </c:pt>
                <c:pt idx="11">
                  <c:v>C0001</c:v>
                </c:pt>
                <c:pt idx="12">
                  <c:v>C0010</c:v>
                </c:pt>
                <c:pt idx="13">
                  <c:v>C0014</c:v>
                </c:pt>
                <c:pt idx="14">
                  <c:v>C0003</c:v>
                </c:pt>
              </c:strCache>
            </c:strRef>
          </c:cat>
          <c:val>
            <c:numRef>
              <c:f>'Pivot Tables and Others'!$B$102:$B$117</c:f>
              <c:numCache>
                <c:formatCode>"$"#,##0.00</c:formatCode>
                <c:ptCount val="15"/>
                <c:pt idx="0">
                  <c:v>2070</c:v>
                </c:pt>
                <c:pt idx="1">
                  <c:v>1747</c:v>
                </c:pt>
                <c:pt idx="2">
                  <c:v>1722</c:v>
                </c:pt>
                <c:pt idx="3">
                  <c:v>1722</c:v>
                </c:pt>
                <c:pt idx="4">
                  <c:v>1566</c:v>
                </c:pt>
                <c:pt idx="5">
                  <c:v>1508</c:v>
                </c:pt>
                <c:pt idx="6">
                  <c:v>1484</c:v>
                </c:pt>
                <c:pt idx="7">
                  <c:v>1416</c:v>
                </c:pt>
                <c:pt idx="8">
                  <c:v>1196</c:v>
                </c:pt>
                <c:pt idx="9">
                  <c:v>1193</c:v>
                </c:pt>
                <c:pt idx="10">
                  <c:v>1154</c:v>
                </c:pt>
                <c:pt idx="11">
                  <c:v>1075</c:v>
                </c:pt>
                <c:pt idx="12">
                  <c:v>941</c:v>
                </c:pt>
                <c:pt idx="13">
                  <c:v>750</c:v>
                </c:pt>
                <c:pt idx="14">
                  <c:v>560</c:v>
                </c:pt>
              </c:numCache>
            </c:numRef>
          </c:val>
          <c:extLst>
            <c:ext xmlns:c16="http://schemas.microsoft.com/office/drawing/2014/chart" uri="{C3380CC4-5D6E-409C-BE32-E72D297353CC}">
              <c16:uniqueId val="{00000000-7581-4B4D-B1D2-79ADC21B38F2}"/>
            </c:ext>
          </c:extLst>
        </c:ser>
        <c:dLbls>
          <c:showLegendKey val="0"/>
          <c:showVal val="0"/>
          <c:showCatName val="0"/>
          <c:showSerName val="0"/>
          <c:showPercent val="0"/>
          <c:showBubbleSize val="0"/>
        </c:dLbls>
        <c:gapWidth val="219"/>
        <c:overlap val="-27"/>
        <c:axId val="999485448"/>
        <c:axId val="999487496"/>
      </c:barChart>
      <c:catAx>
        <c:axId val="999485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87496"/>
        <c:crosses val="autoZero"/>
        <c:auto val="1"/>
        <c:lblAlgn val="ctr"/>
        <c:lblOffset val="100"/>
        <c:noMultiLvlLbl val="0"/>
      </c:catAx>
      <c:valAx>
        <c:axId val="999487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85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Analysis.xlsx]Pivot Tables and Others!PivotTable8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Others'!$B$136</c:f>
              <c:strCache>
                <c:ptCount val="1"/>
                <c:pt idx="0">
                  <c:v>Total</c:v>
                </c:pt>
              </c:strCache>
            </c:strRef>
          </c:tx>
          <c:spPr>
            <a:ln w="28575" cap="rnd">
              <a:solidFill>
                <a:schemeClr val="accent1"/>
              </a:solidFill>
              <a:round/>
            </a:ln>
            <a:effectLst/>
          </c:spPr>
          <c:marker>
            <c:symbol val="none"/>
          </c:marker>
          <c:cat>
            <c:strRef>
              <c:f>'Pivot Tables and Others'!$A$137:$A$149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and Others'!$B$137:$B$149</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7EB3-4499-8987-1C064D0591C3}"/>
            </c:ext>
          </c:extLst>
        </c:ser>
        <c:dLbls>
          <c:showLegendKey val="0"/>
          <c:showVal val="0"/>
          <c:showCatName val="0"/>
          <c:showSerName val="0"/>
          <c:showPercent val="0"/>
          <c:showBubbleSize val="0"/>
        </c:dLbls>
        <c:smooth val="0"/>
        <c:axId val="312916543"/>
        <c:axId val="1713161295"/>
      </c:lineChart>
      <c:catAx>
        <c:axId val="31291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61295"/>
        <c:crosses val="autoZero"/>
        <c:auto val="1"/>
        <c:lblAlgn val="ctr"/>
        <c:lblOffset val="100"/>
        <c:noMultiLvlLbl val="0"/>
      </c:catAx>
      <c:valAx>
        <c:axId val="171316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91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Analysis.xlsx]Pivot Tables and Others!PivotTable9</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Others'!$B$153</c:f>
              <c:strCache>
                <c:ptCount val="1"/>
                <c:pt idx="0">
                  <c:v>Total</c:v>
                </c:pt>
              </c:strCache>
            </c:strRef>
          </c:tx>
          <c:spPr>
            <a:solidFill>
              <a:schemeClr val="accent1"/>
            </a:solidFill>
            <a:ln>
              <a:noFill/>
            </a:ln>
            <a:effectLst/>
          </c:spPr>
          <c:cat>
            <c:strRef>
              <c:f>'Pivot Tables and Others'!$A$154:$A$166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and Others'!$B$154:$B$166</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FE1F-419D-8361-39AF7BC1AAEF}"/>
            </c:ext>
          </c:extLst>
        </c:ser>
        <c:dLbls>
          <c:showLegendKey val="0"/>
          <c:showVal val="0"/>
          <c:showCatName val="0"/>
          <c:showSerName val="0"/>
          <c:showPercent val="0"/>
          <c:showBubbleSize val="0"/>
        </c:dLbls>
        <c:axId val="1291098511"/>
        <c:axId val="1048766127"/>
      </c:areaChart>
      <c:catAx>
        <c:axId val="1291098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766127"/>
        <c:crosses val="autoZero"/>
        <c:auto val="1"/>
        <c:lblAlgn val="ctr"/>
        <c:lblOffset val="100"/>
        <c:noMultiLvlLbl val="0"/>
      </c:catAx>
      <c:valAx>
        <c:axId val="104876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0985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Analysis.xlsx]Pivot Tables and Others!PivotTable10</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Others'!$B$187</c:f>
              <c:strCache>
                <c:ptCount val="1"/>
                <c:pt idx="0">
                  <c:v>Total</c:v>
                </c:pt>
              </c:strCache>
            </c:strRef>
          </c:tx>
          <c:spPr>
            <a:solidFill>
              <a:schemeClr val="accent1"/>
            </a:solidFill>
            <a:ln>
              <a:noFill/>
            </a:ln>
            <a:effectLst/>
          </c:spPr>
          <c:invertIfNegative val="0"/>
          <c:cat>
            <c:multiLvlStrRef>
              <c:f>'Pivot Tables and Others'!$A$188:$A$202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'Pivot Tables and Others'!$B$188:$B$202</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3BC4-4BC8-92A0-675B108FC150}"/>
            </c:ext>
          </c:extLst>
        </c:ser>
        <c:dLbls>
          <c:showLegendKey val="0"/>
          <c:showVal val="0"/>
          <c:showCatName val="0"/>
          <c:showSerName val="0"/>
          <c:showPercent val="0"/>
          <c:showBubbleSize val="0"/>
        </c:dLbls>
        <c:gapWidth val="219"/>
        <c:overlap val="-27"/>
        <c:axId val="803572911"/>
        <c:axId val="401886927"/>
      </c:barChart>
      <c:catAx>
        <c:axId val="80357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86927"/>
        <c:crosses val="autoZero"/>
        <c:auto val="1"/>
        <c:lblAlgn val="ctr"/>
        <c:lblOffset val="100"/>
        <c:noMultiLvlLbl val="0"/>
      </c:catAx>
      <c:valAx>
        <c:axId val="40188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7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Duration vs Satisfaction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c:v>
          </c:tx>
          <c:spPr>
            <a:ln w="38100" cap="rnd">
              <a:noFill/>
              <a:round/>
            </a:ln>
            <a:effectLst/>
          </c:spPr>
          <c:marker>
            <c:symbol val="circle"/>
            <c:size val="5"/>
            <c:spPr>
              <a:solidFill>
                <a:schemeClr val="accent1"/>
              </a:solidFill>
              <a:ln w="9525">
                <a:solidFill>
                  <a:schemeClr val="accent1"/>
                </a:solidFill>
              </a:ln>
              <a:effectLst/>
            </c:spPr>
          </c:marker>
          <c:xVal>
            <c:numRef>
              <c:f>'Call Centre Data'!$C$2:$C$1001</c:f>
              <c:numCache>
                <c:formatCode>0</c:formatCode>
                <c:ptCount val="1000"/>
                <c:pt idx="0">
                  <c:v>116</c:v>
                </c:pt>
                <c:pt idx="1">
                  <c:v>119</c:v>
                </c:pt>
                <c:pt idx="2">
                  <c:v>68</c:v>
                </c:pt>
                <c:pt idx="3">
                  <c:v>119</c:v>
                </c:pt>
                <c:pt idx="4">
                  <c:v>128</c:v>
                </c:pt>
                <c:pt idx="5">
                  <c:v>49</c:v>
                </c:pt>
                <c:pt idx="6">
                  <c:v>84</c:v>
                </c:pt>
                <c:pt idx="7">
                  <c:v>103</c:v>
                </c:pt>
                <c:pt idx="8">
                  <c:v>31</c:v>
                </c:pt>
                <c:pt idx="9">
                  <c:v>44</c:v>
                </c:pt>
                <c:pt idx="10">
                  <c:v>102</c:v>
                </c:pt>
                <c:pt idx="11">
                  <c:v>135</c:v>
                </c:pt>
                <c:pt idx="12">
                  <c:v>98</c:v>
                </c:pt>
                <c:pt idx="13">
                  <c:v>139</c:v>
                </c:pt>
                <c:pt idx="14">
                  <c:v>48</c:v>
                </c:pt>
                <c:pt idx="15">
                  <c:v>176</c:v>
                </c:pt>
                <c:pt idx="16">
                  <c:v>99</c:v>
                </c:pt>
                <c:pt idx="17">
                  <c:v>28</c:v>
                </c:pt>
                <c:pt idx="18">
                  <c:v>54</c:v>
                </c:pt>
                <c:pt idx="19">
                  <c:v>48</c:v>
                </c:pt>
                <c:pt idx="20">
                  <c:v>128</c:v>
                </c:pt>
                <c:pt idx="21">
                  <c:v>38</c:v>
                </c:pt>
                <c:pt idx="22">
                  <c:v>67</c:v>
                </c:pt>
                <c:pt idx="23">
                  <c:v>58</c:v>
                </c:pt>
                <c:pt idx="24">
                  <c:v>54</c:v>
                </c:pt>
                <c:pt idx="25">
                  <c:v>28</c:v>
                </c:pt>
                <c:pt idx="26">
                  <c:v>73</c:v>
                </c:pt>
                <c:pt idx="27">
                  <c:v>81</c:v>
                </c:pt>
                <c:pt idx="28">
                  <c:v>31</c:v>
                </c:pt>
                <c:pt idx="29">
                  <c:v>155</c:v>
                </c:pt>
                <c:pt idx="30">
                  <c:v>80</c:v>
                </c:pt>
                <c:pt idx="31">
                  <c:v>82</c:v>
                </c:pt>
                <c:pt idx="32">
                  <c:v>29</c:v>
                </c:pt>
                <c:pt idx="33">
                  <c:v>160</c:v>
                </c:pt>
                <c:pt idx="34">
                  <c:v>105</c:v>
                </c:pt>
                <c:pt idx="35">
                  <c:v>75</c:v>
                </c:pt>
                <c:pt idx="36">
                  <c:v>94</c:v>
                </c:pt>
                <c:pt idx="37">
                  <c:v>90</c:v>
                </c:pt>
                <c:pt idx="38">
                  <c:v>81</c:v>
                </c:pt>
                <c:pt idx="39">
                  <c:v>106</c:v>
                </c:pt>
                <c:pt idx="40">
                  <c:v>74</c:v>
                </c:pt>
                <c:pt idx="41">
                  <c:v>105</c:v>
                </c:pt>
                <c:pt idx="42">
                  <c:v>89</c:v>
                </c:pt>
                <c:pt idx="43">
                  <c:v>132</c:v>
                </c:pt>
                <c:pt idx="44">
                  <c:v>105</c:v>
                </c:pt>
                <c:pt idx="45">
                  <c:v>13</c:v>
                </c:pt>
                <c:pt idx="46">
                  <c:v>131</c:v>
                </c:pt>
                <c:pt idx="47">
                  <c:v>104</c:v>
                </c:pt>
                <c:pt idx="48">
                  <c:v>90</c:v>
                </c:pt>
                <c:pt idx="49">
                  <c:v>37</c:v>
                </c:pt>
                <c:pt idx="50">
                  <c:v>149</c:v>
                </c:pt>
                <c:pt idx="51">
                  <c:v>100</c:v>
                </c:pt>
                <c:pt idx="52">
                  <c:v>79</c:v>
                </c:pt>
                <c:pt idx="53">
                  <c:v>157</c:v>
                </c:pt>
                <c:pt idx="54">
                  <c:v>59</c:v>
                </c:pt>
                <c:pt idx="55">
                  <c:v>83</c:v>
                </c:pt>
                <c:pt idx="56">
                  <c:v>58</c:v>
                </c:pt>
                <c:pt idx="57">
                  <c:v>118</c:v>
                </c:pt>
                <c:pt idx="58">
                  <c:v>63</c:v>
                </c:pt>
                <c:pt idx="59">
                  <c:v>95</c:v>
                </c:pt>
                <c:pt idx="60">
                  <c:v>74</c:v>
                </c:pt>
                <c:pt idx="61">
                  <c:v>130</c:v>
                </c:pt>
                <c:pt idx="62">
                  <c:v>110</c:v>
                </c:pt>
                <c:pt idx="63">
                  <c:v>71</c:v>
                </c:pt>
                <c:pt idx="64">
                  <c:v>147</c:v>
                </c:pt>
                <c:pt idx="65">
                  <c:v>69</c:v>
                </c:pt>
                <c:pt idx="66">
                  <c:v>50</c:v>
                </c:pt>
                <c:pt idx="67">
                  <c:v>124</c:v>
                </c:pt>
                <c:pt idx="68">
                  <c:v>81</c:v>
                </c:pt>
                <c:pt idx="69">
                  <c:v>141</c:v>
                </c:pt>
                <c:pt idx="70">
                  <c:v>168</c:v>
                </c:pt>
                <c:pt idx="71">
                  <c:v>101</c:v>
                </c:pt>
                <c:pt idx="72">
                  <c:v>67</c:v>
                </c:pt>
                <c:pt idx="73">
                  <c:v>114</c:v>
                </c:pt>
                <c:pt idx="74">
                  <c:v>42</c:v>
                </c:pt>
                <c:pt idx="75">
                  <c:v>69</c:v>
                </c:pt>
                <c:pt idx="76">
                  <c:v>145</c:v>
                </c:pt>
                <c:pt idx="77">
                  <c:v>43</c:v>
                </c:pt>
                <c:pt idx="78">
                  <c:v>62</c:v>
                </c:pt>
                <c:pt idx="79">
                  <c:v>79</c:v>
                </c:pt>
                <c:pt idx="80">
                  <c:v>45</c:v>
                </c:pt>
                <c:pt idx="81">
                  <c:v>137</c:v>
                </c:pt>
                <c:pt idx="82">
                  <c:v>109</c:v>
                </c:pt>
                <c:pt idx="83">
                  <c:v>78</c:v>
                </c:pt>
                <c:pt idx="84">
                  <c:v>137</c:v>
                </c:pt>
                <c:pt idx="85">
                  <c:v>99</c:v>
                </c:pt>
                <c:pt idx="86">
                  <c:v>100</c:v>
                </c:pt>
                <c:pt idx="87">
                  <c:v>47</c:v>
                </c:pt>
                <c:pt idx="88">
                  <c:v>87</c:v>
                </c:pt>
                <c:pt idx="89">
                  <c:v>143</c:v>
                </c:pt>
                <c:pt idx="90">
                  <c:v>84</c:v>
                </c:pt>
                <c:pt idx="91">
                  <c:v>55</c:v>
                </c:pt>
                <c:pt idx="92">
                  <c:v>135</c:v>
                </c:pt>
                <c:pt idx="93">
                  <c:v>152</c:v>
                </c:pt>
                <c:pt idx="94">
                  <c:v>132</c:v>
                </c:pt>
                <c:pt idx="95">
                  <c:v>60</c:v>
                </c:pt>
                <c:pt idx="96">
                  <c:v>95</c:v>
                </c:pt>
                <c:pt idx="97">
                  <c:v>96</c:v>
                </c:pt>
                <c:pt idx="98">
                  <c:v>45</c:v>
                </c:pt>
                <c:pt idx="99">
                  <c:v>132</c:v>
                </c:pt>
                <c:pt idx="100">
                  <c:v>95</c:v>
                </c:pt>
                <c:pt idx="101">
                  <c:v>131</c:v>
                </c:pt>
                <c:pt idx="102">
                  <c:v>67</c:v>
                </c:pt>
                <c:pt idx="103">
                  <c:v>111</c:v>
                </c:pt>
                <c:pt idx="104">
                  <c:v>78</c:v>
                </c:pt>
                <c:pt idx="105">
                  <c:v>28</c:v>
                </c:pt>
                <c:pt idx="106">
                  <c:v>127</c:v>
                </c:pt>
                <c:pt idx="107">
                  <c:v>137</c:v>
                </c:pt>
                <c:pt idx="108">
                  <c:v>76</c:v>
                </c:pt>
                <c:pt idx="109">
                  <c:v>80</c:v>
                </c:pt>
                <c:pt idx="110">
                  <c:v>95</c:v>
                </c:pt>
                <c:pt idx="111">
                  <c:v>30</c:v>
                </c:pt>
                <c:pt idx="112">
                  <c:v>19</c:v>
                </c:pt>
                <c:pt idx="113">
                  <c:v>38</c:v>
                </c:pt>
                <c:pt idx="114">
                  <c:v>55</c:v>
                </c:pt>
                <c:pt idx="115">
                  <c:v>27</c:v>
                </c:pt>
                <c:pt idx="116">
                  <c:v>32</c:v>
                </c:pt>
                <c:pt idx="117">
                  <c:v>116</c:v>
                </c:pt>
                <c:pt idx="118">
                  <c:v>99</c:v>
                </c:pt>
                <c:pt idx="119">
                  <c:v>75</c:v>
                </c:pt>
                <c:pt idx="120">
                  <c:v>57</c:v>
                </c:pt>
                <c:pt idx="121">
                  <c:v>155</c:v>
                </c:pt>
                <c:pt idx="122">
                  <c:v>68</c:v>
                </c:pt>
                <c:pt idx="123">
                  <c:v>95</c:v>
                </c:pt>
                <c:pt idx="124">
                  <c:v>65</c:v>
                </c:pt>
                <c:pt idx="125">
                  <c:v>114</c:v>
                </c:pt>
                <c:pt idx="126">
                  <c:v>155</c:v>
                </c:pt>
                <c:pt idx="127">
                  <c:v>114</c:v>
                </c:pt>
                <c:pt idx="128">
                  <c:v>130</c:v>
                </c:pt>
                <c:pt idx="129">
                  <c:v>89</c:v>
                </c:pt>
                <c:pt idx="130">
                  <c:v>61</c:v>
                </c:pt>
                <c:pt idx="131">
                  <c:v>154</c:v>
                </c:pt>
                <c:pt idx="132">
                  <c:v>115</c:v>
                </c:pt>
                <c:pt idx="133">
                  <c:v>138</c:v>
                </c:pt>
                <c:pt idx="134">
                  <c:v>153</c:v>
                </c:pt>
                <c:pt idx="135">
                  <c:v>61</c:v>
                </c:pt>
                <c:pt idx="136">
                  <c:v>62</c:v>
                </c:pt>
                <c:pt idx="137">
                  <c:v>151</c:v>
                </c:pt>
                <c:pt idx="138">
                  <c:v>102</c:v>
                </c:pt>
                <c:pt idx="139">
                  <c:v>64</c:v>
                </c:pt>
                <c:pt idx="140">
                  <c:v>6</c:v>
                </c:pt>
                <c:pt idx="141">
                  <c:v>129</c:v>
                </c:pt>
                <c:pt idx="142">
                  <c:v>42</c:v>
                </c:pt>
                <c:pt idx="143">
                  <c:v>71</c:v>
                </c:pt>
                <c:pt idx="144">
                  <c:v>53</c:v>
                </c:pt>
                <c:pt idx="145">
                  <c:v>155</c:v>
                </c:pt>
                <c:pt idx="146">
                  <c:v>90</c:v>
                </c:pt>
                <c:pt idx="147">
                  <c:v>166</c:v>
                </c:pt>
                <c:pt idx="148">
                  <c:v>89</c:v>
                </c:pt>
                <c:pt idx="149">
                  <c:v>152</c:v>
                </c:pt>
                <c:pt idx="150">
                  <c:v>137</c:v>
                </c:pt>
                <c:pt idx="151">
                  <c:v>43</c:v>
                </c:pt>
                <c:pt idx="152">
                  <c:v>114</c:v>
                </c:pt>
                <c:pt idx="153">
                  <c:v>103</c:v>
                </c:pt>
                <c:pt idx="154">
                  <c:v>98</c:v>
                </c:pt>
                <c:pt idx="155">
                  <c:v>106</c:v>
                </c:pt>
                <c:pt idx="156">
                  <c:v>96</c:v>
                </c:pt>
                <c:pt idx="157">
                  <c:v>70</c:v>
                </c:pt>
                <c:pt idx="158">
                  <c:v>86</c:v>
                </c:pt>
                <c:pt idx="159">
                  <c:v>64</c:v>
                </c:pt>
                <c:pt idx="160">
                  <c:v>113</c:v>
                </c:pt>
                <c:pt idx="161">
                  <c:v>21</c:v>
                </c:pt>
                <c:pt idx="162">
                  <c:v>107</c:v>
                </c:pt>
                <c:pt idx="163">
                  <c:v>131</c:v>
                </c:pt>
                <c:pt idx="164">
                  <c:v>11</c:v>
                </c:pt>
                <c:pt idx="165">
                  <c:v>86</c:v>
                </c:pt>
                <c:pt idx="166">
                  <c:v>28</c:v>
                </c:pt>
                <c:pt idx="167">
                  <c:v>139</c:v>
                </c:pt>
                <c:pt idx="168">
                  <c:v>82</c:v>
                </c:pt>
                <c:pt idx="169">
                  <c:v>101</c:v>
                </c:pt>
                <c:pt idx="170">
                  <c:v>75</c:v>
                </c:pt>
                <c:pt idx="171">
                  <c:v>40</c:v>
                </c:pt>
                <c:pt idx="172">
                  <c:v>86</c:v>
                </c:pt>
                <c:pt idx="173">
                  <c:v>131</c:v>
                </c:pt>
                <c:pt idx="174">
                  <c:v>67</c:v>
                </c:pt>
                <c:pt idx="175">
                  <c:v>71</c:v>
                </c:pt>
                <c:pt idx="176">
                  <c:v>113</c:v>
                </c:pt>
                <c:pt idx="177">
                  <c:v>53</c:v>
                </c:pt>
                <c:pt idx="178">
                  <c:v>153</c:v>
                </c:pt>
                <c:pt idx="179">
                  <c:v>73</c:v>
                </c:pt>
                <c:pt idx="180">
                  <c:v>62</c:v>
                </c:pt>
                <c:pt idx="181">
                  <c:v>115</c:v>
                </c:pt>
                <c:pt idx="182">
                  <c:v>69</c:v>
                </c:pt>
                <c:pt idx="183">
                  <c:v>103</c:v>
                </c:pt>
                <c:pt idx="184">
                  <c:v>75</c:v>
                </c:pt>
                <c:pt idx="185">
                  <c:v>92</c:v>
                </c:pt>
                <c:pt idx="186">
                  <c:v>41</c:v>
                </c:pt>
                <c:pt idx="187">
                  <c:v>134</c:v>
                </c:pt>
                <c:pt idx="188">
                  <c:v>80</c:v>
                </c:pt>
                <c:pt idx="189">
                  <c:v>103</c:v>
                </c:pt>
                <c:pt idx="190">
                  <c:v>20</c:v>
                </c:pt>
                <c:pt idx="191">
                  <c:v>75</c:v>
                </c:pt>
                <c:pt idx="192">
                  <c:v>80</c:v>
                </c:pt>
                <c:pt idx="193">
                  <c:v>85</c:v>
                </c:pt>
                <c:pt idx="194">
                  <c:v>155</c:v>
                </c:pt>
                <c:pt idx="195">
                  <c:v>63</c:v>
                </c:pt>
                <c:pt idx="196">
                  <c:v>105</c:v>
                </c:pt>
                <c:pt idx="197">
                  <c:v>71</c:v>
                </c:pt>
                <c:pt idx="198">
                  <c:v>100</c:v>
                </c:pt>
                <c:pt idx="199">
                  <c:v>93</c:v>
                </c:pt>
                <c:pt idx="200">
                  <c:v>84</c:v>
                </c:pt>
                <c:pt idx="201">
                  <c:v>56</c:v>
                </c:pt>
                <c:pt idx="202">
                  <c:v>63</c:v>
                </c:pt>
                <c:pt idx="203">
                  <c:v>83</c:v>
                </c:pt>
                <c:pt idx="204">
                  <c:v>134</c:v>
                </c:pt>
                <c:pt idx="205">
                  <c:v>73</c:v>
                </c:pt>
                <c:pt idx="206">
                  <c:v>6</c:v>
                </c:pt>
                <c:pt idx="207">
                  <c:v>46</c:v>
                </c:pt>
                <c:pt idx="208">
                  <c:v>121</c:v>
                </c:pt>
                <c:pt idx="209">
                  <c:v>61</c:v>
                </c:pt>
                <c:pt idx="210">
                  <c:v>144</c:v>
                </c:pt>
                <c:pt idx="211">
                  <c:v>145</c:v>
                </c:pt>
                <c:pt idx="212">
                  <c:v>85</c:v>
                </c:pt>
                <c:pt idx="213">
                  <c:v>13</c:v>
                </c:pt>
                <c:pt idx="214">
                  <c:v>142</c:v>
                </c:pt>
                <c:pt idx="215">
                  <c:v>28</c:v>
                </c:pt>
                <c:pt idx="216">
                  <c:v>119</c:v>
                </c:pt>
                <c:pt idx="217">
                  <c:v>65</c:v>
                </c:pt>
                <c:pt idx="218">
                  <c:v>68</c:v>
                </c:pt>
                <c:pt idx="219">
                  <c:v>72</c:v>
                </c:pt>
                <c:pt idx="220">
                  <c:v>63</c:v>
                </c:pt>
                <c:pt idx="221">
                  <c:v>139</c:v>
                </c:pt>
                <c:pt idx="222">
                  <c:v>59</c:v>
                </c:pt>
                <c:pt idx="223">
                  <c:v>138</c:v>
                </c:pt>
                <c:pt idx="224">
                  <c:v>47</c:v>
                </c:pt>
                <c:pt idx="225">
                  <c:v>74</c:v>
                </c:pt>
                <c:pt idx="226">
                  <c:v>65</c:v>
                </c:pt>
                <c:pt idx="227">
                  <c:v>123</c:v>
                </c:pt>
                <c:pt idx="228">
                  <c:v>90</c:v>
                </c:pt>
                <c:pt idx="229">
                  <c:v>127</c:v>
                </c:pt>
                <c:pt idx="230">
                  <c:v>60</c:v>
                </c:pt>
                <c:pt idx="231">
                  <c:v>94</c:v>
                </c:pt>
                <c:pt idx="232">
                  <c:v>54</c:v>
                </c:pt>
                <c:pt idx="233">
                  <c:v>104</c:v>
                </c:pt>
                <c:pt idx="234">
                  <c:v>100</c:v>
                </c:pt>
                <c:pt idx="235">
                  <c:v>84</c:v>
                </c:pt>
                <c:pt idx="236">
                  <c:v>92</c:v>
                </c:pt>
                <c:pt idx="237">
                  <c:v>64</c:v>
                </c:pt>
                <c:pt idx="238">
                  <c:v>89</c:v>
                </c:pt>
                <c:pt idx="239">
                  <c:v>40</c:v>
                </c:pt>
                <c:pt idx="240">
                  <c:v>75</c:v>
                </c:pt>
                <c:pt idx="241">
                  <c:v>106</c:v>
                </c:pt>
                <c:pt idx="242">
                  <c:v>58</c:v>
                </c:pt>
                <c:pt idx="243">
                  <c:v>84</c:v>
                </c:pt>
                <c:pt idx="244">
                  <c:v>140</c:v>
                </c:pt>
                <c:pt idx="245">
                  <c:v>67</c:v>
                </c:pt>
                <c:pt idx="246">
                  <c:v>126</c:v>
                </c:pt>
                <c:pt idx="247">
                  <c:v>89</c:v>
                </c:pt>
                <c:pt idx="248">
                  <c:v>56</c:v>
                </c:pt>
                <c:pt idx="249">
                  <c:v>48</c:v>
                </c:pt>
                <c:pt idx="250">
                  <c:v>55</c:v>
                </c:pt>
                <c:pt idx="251">
                  <c:v>88</c:v>
                </c:pt>
                <c:pt idx="252">
                  <c:v>102</c:v>
                </c:pt>
                <c:pt idx="253">
                  <c:v>155</c:v>
                </c:pt>
                <c:pt idx="254">
                  <c:v>63</c:v>
                </c:pt>
                <c:pt idx="255">
                  <c:v>59</c:v>
                </c:pt>
                <c:pt idx="256">
                  <c:v>144</c:v>
                </c:pt>
                <c:pt idx="257">
                  <c:v>113</c:v>
                </c:pt>
                <c:pt idx="258">
                  <c:v>154</c:v>
                </c:pt>
                <c:pt idx="259">
                  <c:v>58</c:v>
                </c:pt>
                <c:pt idx="260">
                  <c:v>63</c:v>
                </c:pt>
                <c:pt idx="261">
                  <c:v>59</c:v>
                </c:pt>
                <c:pt idx="262">
                  <c:v>129</c:v>
                </c:pt>
                <c:pt idx="263">
                  <c:v>101</c:v>
                </c:pt>
                <c:pt idx="264">
                  <c:v>154</c:v>
                </c:pt>
                <c:pt idx="265">
                  <c:v>131</c:v>
                </c:pt>
                <c:pt idx="266">
                  <c:v>111</c:v>
                </c:pt>
                <c:pt idx="267">
                  <c:v>142</c:v>
                </c:pt>
                <c:pt idx="268">
                  <c:v>93</c:v>
                </c:pt>
                <c:pt idx="269">
                  <c:v>125</c:v>
                </c:pt>
                <c:pt idx="270">
                  <c:v>76</c:v>
                </c:pt>
                <c:pt idx="271">
                  <c:v>69</c:v>
                </c:pt>
                <c:pt idx="272">
                  <c:v>149</c:v>
                </c:pt>
                <c:pt idx="273">
                  <c:v>57</c:v>
                </c:pt>
                <c:pt idx="274">
                  <c:v>113</c:v>
                </c:pt>
                <c:pt idx="275">
                  <c:v>160</c:v>
                </c:pt>
                <c:pt idx="276">
                  <c:v>158</c:v>
                </c:pt>
                <c:pt idx="277">
                  <c:v>77</c:v>
                </c:pt>
                <c:pt idx="278">
                  <c:v>118</c:v>
                </c:pt>
                <c:pt idx="279">
                  <c:v>75</c:v>
                </c:pt>
                <c:pt idx="280">
                  <c:v>103</c:v>
                </c:pt>
                <c:pt idx="281">
                  <c:v>116</c:v>
                </c:pt>
                <c:pt idx="282">
                  <c:v>61</c:v>
                </c:pt>
                <c:pt idx="283">
                  <c:v>126</c:v>
                </c:pt>
                <c:pt idx="284">
                  <c:v>141</c:v>
                </c:pt>
                <c:pt idx="285">
                  <c:v>95</c:v>
                </c:pt>
                <c:pt idx="286">
                  <c:v>39</c:v>
                </c:pt>
                <c:pt idx="287">
                  <c:v>127</c:v>
                </c:pt>
                <c:pt idx="288">
                  <c:v>78</c:v>
                </c:pt>
                <c:pt idx="289">
                  <c:v>40</c:v>
                </c:pt>
                <c:pt idx="290">
                  <c:v>56</c:v>
                </c:pt>
                <c:pt idx="291">
                  <c:v>59</c:v>
                </c:pt>
                <c:pt idx="292">
                  <c:v>30</c:v>
                </c:pt>
                <c:pt idx="293">
                  <c:v>63</c:v>
                </c:pt>
                <c:pt idx="294">
                  <c:v>56</c:v>
                </c:pt>
                <c:pt idx="295">
                  <c:v>95</c:v>
                </c:pt>
                <c:pt idx="296">
                  <c:v>128</c:v>
                </c:pt>
                <c:pt idx="297">
                  <c:v>49</c:v>
                </c:pt>
                <c:pt idx="298">
                  <c:v>89</c:v>
                </c:pt>
                <c:pt idx="299">
                  <c:v>87</c:v>
                </c:pt>
                <c:pt idx="300">
                  <c:v>60</c:v>
                </c:pt>
                <c:pt idx="301">
                  <c:v>42</c:v>
                </c:pt>
                <c:pt idx="302">
                  <c:v>99</c:v>
                </c:pt>
                <c:pt idx="303">
                  <c:v>20</c:v>
                </c:pt>
                <c:pt idx="304">
                  <c:v>65</c:v>
                </c:pt>
                <c:pt idx="305">
                  <c:v>71</c:v>
                </c:pt>
                <c:pt idx="306">
                  <c:v>95</c:v>
                </c:pt>
                <c:pt idx="307">
                  <c:v>81</c:v>
                </c:pt>
                <c:pt idx="308">
                  <c:v>137</c:v>
                </c:pt>
                <c:pt idx="309">
                  <c:v>40</c:v>
                </c:pt>
                <c:pt idx="310">
                  <c:v>111</c:v>
                </c:pt>
                <c:pt idx="311">
                  <c:v>106</c:v>
                </c:pt>
                <c:pt idx="312">
                  <c:v>133</c:v>
                </c:pt>
                <c:pt idx="313">
                  <c:v>38</c:v>
                </c:pt>
                <c:pt idx="314">
                  <c:v>130</c:v>
                </c:pt>
                <c:pt idx="315">
                  <c:v>23</c:v>
                </c:pt>
                <c:pt idx="316">
                  <c:v>124</c:v>
                </c:pt>
                <c:pt idx="317">
                  <c:v>107</c:v>
                </c:pt>
                <c:pt idx="318">
                  <c:v>60</c:v>
                </c:pt>
                <c:pt idx="319">
                  <c:v>158</c:v>
                </c:pt>
                <c:pt idx="320">
                  <c:v>110</c:v>
                </c:pt>
                <c:pt idx="321">
                  <c:v>70</c:v>
                </c:pt>
                <c:pt idx="322">
                  <c:v>150</c:v>
                </c:pt>
                <c:pt idx="323">
                  <c:v>36</c:v>
                </c:pt>
                <c:pt idx="324">
                  <c:v>74</c:v>
                </c:pt>
                <c:pt idx="325">
                  <c:v>75</c:v>
                </c:pt>
                <c:pt idx="326">
                  <c:v>70</c:v>
                </c:pt>
                <c:pt idx="327">
                  <c:v>23</c:v>
                </c:pt>
                <c:pt idx="328">
                  <c:v>104</c:v>
                </c:pt>
                <c:pt idx="329">
                  <c:v>95</c:v>
                </c:pt>
                <c:pt idx="330">
                  <c:v>49</c:v>
                </c:pt>
                <c:pt idx="331">
                  <c:v>8</c:v>
                </c:pt>
                <c:pt idx="332">
                  <c:v>157</c:v>
                </c:pt>
                <c:pt idx="333">
                  <c:v>74</c:v>
                </c:pt>
                <c:pt idx="334">
                  <c:v>72</c:v>
                </c:pt>
                <c:pt idx="335">
                  <c:v>79</c:v>
                </c:pt>
                <c:pt idx="336">
                  <c:v>23</c:v>
                </c:pt>
                <c:pt idx="337">
                  <c:v>69</c:v>
                </c:pt>
                <c:pt idx="338">
                  <c:v>64</c:v>
                </c:pt>
                <c:pt idx="339">
                  <c:v>47</c:v>
                </c:pt>
                <c:pt idx="340">
                  <c:v>55</c:v>
                </c:pt>
                <c:pt idx="341">
                  <c:v>104</c:v>
                </c:pt>
                <c:pt idx="342">
                  <c:v>116</c:v>
                </c:pt>
                <c:pt idx="343">
                  <c:v>99</c:v>
                </c:pt>
                <c:pt idx="344">
                  <c:v>84</c:v>
                </c:pt>
                <c:pt idx="345">
                  <c:v>159</c:v>
                </c:pt>
                <c:pt idx="346">
                  <c:v>25</c:v>
                </c:pt>
                <c:pt idx="347">
                  <c:v>53</c:v>
                </c:pt>
                <c:pt idx="348">
                  <c:v>89</c:v>
                </c:pt>
                <c:pt idx="349">
                  <c:v>73</c:v>
                </c:pt>
                <c:pt idx="350">
                  <c:v>50</c:v>
                </c:pt>
                <c:pt idx="351">
                  <c:v>98</c:v>
                </c:pt>
                <c:pt idx="352">
                  <c:v>114</c:v>
                </c:pt>
                <c:pt idx="353">
                  <c:v>67</c:v>
                </c:pt>
                <c:pt idx="354">
                  <c:v>91</c:v>
                </c:pt>
                <c:pt idx="355">
                  <c:v>67</c:v>
                </c:pt>
                <c:pt idx="356">
                  <c:v>139</c:v>
                </c:pt>
                <c:pt idx="357">
                  <c:v>102</c:v>
                </c:pt>
                <c:pt idx="358">
                  <c:v>108</c:v>
                </c:pt>
                <c:pt idx="359">
                  <c:v>66</c:v>
                </c:pt>
                <c:pt idx="360">
                  <c:v>85</c:v>
                </c:pt>
                <c:pt idx="361">
                  <c:v>55</c:v>
                </c:pt>
                <c:pt idx="362">
                  <c:v>17</c:v>
                </c:pt>
                <c:pt idx="363">
                  <c:v>128</c:v>
                </c:pt>
                <c:pt idx="364">
                  <c:v>45</c:v>
                </c:pt>
                <c:pt idx="365">
                  <c:v>41</c:v>
                </c:pt>
                <c:pt idx="366">
                  <c:v>49</c:v>
                </c:pt>
                <c:pt idx="367">
                  <c:v>21</c:v>
                </c:pt>
                <c:pt idx="368">
                  <c:v>133</c:v>
                </c:pt>
                <c:pt idx="369">
                  <c:v>135</c:v>
                </c:pt>
                <c:pt idx="370">
                  <c:v>69</c:v>
                </c:pt>
                <c:pt idx="371">
                  <c:v>110</c:v>
                </c:pt>
                <c:pt idx="372">
                  <c:v>64</c:v>
                </c:pt>
                <c:pt idx="373">
                  <c:v>105</c:v>
                </c:pt>
                <c:pt idx="374">
                  <c:v>165</c:v>
                </c:pt>
                <c:pt idx="375">
                  <c:v>125</c:v>
                </c:pt>
                <c:pt idx="376">
                  <c:v>88</c:v>
                </c:pt>
                <c:pt idx="377">
                  <c:v>6</c:v>
                </c:pt>
                <c:pt idx="378">
                  <c:v>69</c:v>
                </c:pt>
                <c:pt idx="379">
                  <c:v>107</c:v>
                </c:pt>
                <c:pt idx="380">
                  <c:v>90</c:v>
                </c:pt>
                <c:pt idx="381">
                  <c:v>120</c:v>
                </c:pt>
                <c:pt idx="382">
                  <c:v>47</c:v>
                </c:pt>
                <c:pt idx="383">
                  <c:v>60</c:v>
                </c:pt>
                <c:pt idx="384">
                  <c:v>64</c:v>
                </c:pt>
                <c:pt idx="385">
                  <c:v>62</c:v>
                </c:pt>
                <c:pt idx="386">
                  <c:v>88</c:v>
                </c:pt>
                <c:pt idx="387">
                  <c:v>116</c:v>
                </c:pt>
                <c:pt idx="388">
                  <c:v>82</c:v>
                </c:pt>
                <c:pt idx="389">
                  <c:v>99</c:v>
                </c:pt>
                <c:pt idx="390">
                  <c:v>55</c:v>
                </c:pt>
                <c:pt idx="391">
                  <c:v>61</c:v>
                </c:pt>
                <c:pt idx="392">
                  <c:v>36</c:v>
                </c:pt>
                <c:pt idx="393">
                  <c:v>123</c:v>
                </c:pt>
                <c:pt idx="394">
                  <c:v>24</c:v>
                </c:pt>
                <c:pt idx="395">
                  <c:v>43</c:v>
                </c:pt>
                <c:pt idx="396">
                  <c:v>95</c:v>
                </c:pt>
                <c:pt idx="397">
                  <c:v>53</c:v>
                </c:pt>
                <c:pt idx="398">
                  <c:v>113</c:v>
                </c:pt>
                <c:pt idx="399">
                  <c:v>89</c:v>
                </c:pt>
                <c:pt idx="400">
                  <c:v>84</c:v>
                </c:pt>
                <c:pt idx="401">
                  <c:v>130</c:v>
                </c:pt>
                <c:pt idx="402">
                  <c:v>163</c:v>
                </c:pt>
                <c:pt idx="403">
                  <c:v>127</c:v>
                </c:pt>
                <c:pt idx="404">
                  <c:v>50</c:v>
                </c:pt>
                <c:pt idx="405">
                  <c:v>88</c:v>
                </c:pt>
                <c:pt idx="406">
                  <c:v>139</c:v>
                </c:pt>
                <c:pt idx="407">
                  <c:v>111</c:v>
                </c:pt>
                <c:pt idx="408">
                  <c:v>115</c:v>
                </c:pt>
                <c:pt idx="409">
                  <c:v>26</c:v>
                </c:pt>
                <c:pt idx="410">
                  <c:v>131</c:v>
                </c:pt>
                <c:pt idx="411">
                  <c:v>27</c:v>
                </c:pt>
                <c:pt idx="412">
                  <c:v>75</c:v>
                </c:pt>
                <c:pt idx="413">
                  <c:v>123</c:v>
                </c:pt>
                <c:pt idx="414">
                  <c:v>129</c:v>
                </c:pt>
                <c:pt idx="415">
                  <c:v>124</c:v>
                </c:pt>
                <c:pt idx="416">
                  <c:v>108</c:v>
                </c:pt>
                <c:pt idx="417">
                  <c:v>15</c:v>
                </c:pt>
                <c:pt idx="418">
                  <c:v>66</c:v>
                </c:pt>
                <c:pt idx="419">
                  <c:v>126</c:v>
                </c:pt>
                <c:pt idx="420">
                  <c:v>26</c:v>
                </c:pt>
                <c:pt idx="421">
                  <c:v>105</c:v>
                </c:pt>
                <c:pt idx="422">
                  <c:v>31</c:v>
                </c:pt>
                <c:pt idx="423">
                  <c:v>109</c:v>
                </c:pt>
                <c:pt idx="424">
                  <c:v>113</c:v>
                </c:pt>
                <c:pt idx="425">
                  <c:v>101</c:v>
                </c:pt>
                <c:pt idx="426">
                  <c:v>156</c:v>
                </c:pt>
                <c:pt idx="427">
                  <c:v>145</c:v>
                </c:pt>
                <c:pt idx="428">
                  <c:v>36</c:v>
                </c:pt>
                <c:pt idx="429">
                  <c:v>135</c:v>
                </c:pt>
                <c:pt idx="430">
                  <c:v>81</c:v>
                </c:pt>
                <c:pt idx="431">
                  <c:v>81</c:v>
                </c:pt>
                <c:pt idx="432">
                  <c:v>93</c:v>
                </c:pt>
                <c:pt idx="433">
                  <c:v>14</c:v>
                </c:pt>
                <c:pt idx="434">
                  <c:v>95</c:v>
                </c:pt>
                <c:pt idx="435">
                  <c:v>81</c:v>
                </c:pt>
                <c:pt idx="436">
                  <c:v>60</c:v>
                </c:pt>
                <c:pt idx="437">
                  <c:v>137</c:v>
                </c:pt>
                <c:pt idx="438">
                  <c:v>112</c:v>
                </c:pt>
                <c:pt idx="439">
                  <c:v>76</c:v>
                </c:pt>
                <c:pt idx="440">
                  <c:v>73</c:v>
                </c:pt>
                <c:pt idx="441">
                  <c:v>119</c:v>
                </c:pt>
                <c:pt idx="442">
                  <c:v>135</c:v>
                </c:pt>
                <c:pt idx="443">
                  <c:v>41</c:v>
                </c:pt>
                <c:pt idx="444">
                  <c:v>35</c:v>
                </c:pt>
                <c:pt idx="445">
                  <c:v>96</c:v>
                </c:pt>
                <c:pt idx="446">
                  <c:v>61</c:v>
                </c:pt>
                <c:pt idx="447">
                  <c:v>91</c:v>
                </c:pt>
                <c:pt idx="448">
                  <c:v>30</c:v>
                </c:pt>
                <c:pt idx="449">
                  <c:v>111</c:v>
                </c:pt>
                <c:pt idx="450">
                  <c:v>81</c:v>
                </c:pt>
                <c:pt idx="451">
                  <c:v>40</c:v>
                </c:pt>
                <c:pt idx="452">
                  <c:v>143</c:v>
                </c:pt>
                <c:pt idx="453">
                  <c:v>70</c:v>
                </c:pt>
                <c:pt idx="454">
                  <c:v>137</c:v>
                </c:pt>
                <c:pt idx="455">
                  <c:v>52</c:v>
                </c:pt>
                <c:pt idx="456">
                  <c:v>31</c:v>
                </c:pt>
                <c:pt idx="457">
                  <c:v>114</c:v>
                </c:pt>
                <c:pt idx="458">
                  <c:v>73</c:v>
                </c:pt>
                <c:pt idx="459">
                  <c:v>25</c:v>
                </c:pt>
                <c:pt idx="460">
                  <c:v>44</c:v>
                </c:pt>
                <c:pt idx="461">
                  <c:v>34</c:v>
                </c:pt>
                <c:pt idx="462">
                  <c:v>89</c:v>
                </c:pt>
                <c:pt idx="463">
                  <c:v>54</c:v>
                </c:pt>
                <c:pt idx="464">
                  <c:v>25</c:v>
                </c:pt>
                <c:pt idx="465">
                  <c:v>91</c:v>
                </c:pt>
                <c:pt idx="466">
                  <c:v>144</c:v>
                </c:pt>
                <c:pt idx="467">
                  <c:v>81</c:v>
                </c:pt>
                <c:pt idx="468">
                  <c:v>92</c:v>
                </c:pt>
                <c:pt idx="469">
                  <c:v>115</c:v>
                </c:pt>
                <c:pt idx="470">
                  <c:v>56</c:v>
                </c:pt>
                <c:pt idx="471">
                  <c:v>154</c:v>
                </c:pt>
                <c:pt idx="472">
                  <c:v>51</c:v>
                </c:pt>
                <c:pt idx="473">
                  <c:v>21</c:v>
                </c:pt>
                <c:pt idx="474">
                  <c:v>80</c:v>
                </c:pt>
                <c:pt idx="475">
                  <c:v>139</c:v>
                </c:pt>
                <c:pt idx="476">
                  <c:v>50</c:v>
                </c:pt>
                <c:pt idx="477">
                  <c:v>88</c:v>
                </c:pt>
                <c:pt idx="478">
                  <c:v>19</c:v>
                </c:pt>
                <c:pt idx="479">
                  <c:v>104</c:v>
                </c:pt>
                <c:pt idx="480">
                  <c:v>67</c:v>
                </c:pt>
                <c:pt idx="481">
                  <c:v>107</c:v>
                </c:pt>
                <c:pt idx="482">
                  <c:v>93</c:v>
                </c:pt>
                <c:pt idx="483">
                  <c:v>117</c:v>
                </c:pt>
                <c:pt idx="484">
                  <c:v>76</c:v>
                </c:pt>
                <c:pt idx="485">
                  <c:v>64</c:v>
                </c:pt>
                <c:pt idx="486">
                  <c:v>33</c:v>
                </c:pt>
                <c:pt idx="487">
                  <c:v>115</c:v>
                </c:pt>
                <c:pt idx="488">
                  <c:v>155</c:v>
                </c:pt>
                <c:pt idx="489">
                  <c:v>117</c:v>
                </c:pt>
                <c:pt idx="490">
                  <c:v>63</c:v>
                </c:pt>
                <c:pt idx="491">
                  <c:v>59</c:v>
                </c:pt>
                <c:pt idx="492">
                  <c:v>133</c:v>
                </c:pt>
                <c:pt idx="493">
                  <c:v>101</c:v>
                </c:pt>
                <c:pt idx="494">
                  <c:v>151</c:v>
                </c:pt>
                <c:pt idx="495">
                  <c:v>146</c:v>
                </c:pt>
                <c:pt idx="496">
                  <c:v>148</c:v>
                </c:pt>
                <c:pt idx="497">
                  <c:v>81</c:v>
                </c:pt>
                <c:pt idx="498">
                  <c:v>115</c:v>
                </c:pt>
                <c:pt idx="499">
                  <c:v>117</c:v>
                </c:pt>
                <c:pt idx="500">
                  <c:v>110</c:v>
                </c:pt>
                <c:pt idx="501">
                  <c:v>103</c:v>
                </c:pt>
                <c:pt idx="502">
                  <c:v>45</c:v>
                </c:pt>
                <c:pt idx="503">
                  <c:v>110</c:v>
                </c:pt>
                <c:pt idx="504">
                  <c:v>43</c:v>
                </c:pt>
                <c:pt idx="505">
                  <c:v>104</c:v>
                </c:pt>
                <c:pt idx="506">
                  <c:v>101</c:v>
                </c:pt>
                <c:pt idx="507">
                  <c:v>55</c:v>
                </c:pt>
                <c:pt idx="508">
                  <c:v>40</c:v>
                </c:pt>
                <c:pt idx="509">
                  <c:v>122</c:v>
                </c:pt>
                <c:pt idx="510">
                  <c:v>98</c:v>
                </c:pt>
                <c:pt idx="511">
                  <c:v>110</c:v>
                </c:pt>
                <c:pt idx="512">
                  <c:v>62</c:v>
                </c:pt>
                <c:pt idx="513">
                  <c:v>134</c:v>
                </c:pt>
                <c:pt idx="514">
                  <c:v>94</c:v>
                </c:pt>
                <c:pt idx="515">
                  <c:v>63</c:v>
                </c:pt>
                <c:pt idx="516">
                  <c:v>95</c:v>
                </c:pt>
                <c:pt idx="517">
                  <c:v>106</c:v>
                </c:pt>
                <c:pt idx="518">
                  <c:v>94</c:v>
                </c:pt>
                <c:pt idx="519">
                  <c:v>51</c:v>
                </c:pt>
                <c:pt idx="520">
                  <c:v>39</c:v>
                </c:pt>
                <c:pt idx="521">
                  <c:v>111</c:v>
                </c:pt>
                <c:pt idx="522">
                  <c:v>141</c:v>
                </c:pt>
                <c:pt idx="523">
                  <c:v>147</c:v>
                </c:pt>
                <c:pt idx="524">
                  <c:v>49</c:v>
                </c:pt>
                <c:pt idx="525">
                  <c:v>75</c:v>
                </c:pt>
                <c:pt idx="526">
                  <c:v>48</c:v>
                </c:pt>
                <c:pt idx="527">
                  <c:v>48</c:v>
                </c:pt>
                <c:pt idx="528">
                  <c:v>138</c:v>
                </c:pt>
                <c:pt idx="529">
                  <c:v>144</c:v>
                </c:pt>
                <c:pt idx="530">
                  <c:v>119</c:v>
                </c:pt>
                <c:pt idx="531">
                  <c:v>101</c:v>
                </c:pt>
                <c:pt idx="532">
                  <c:v>59</c:v>
                </c:pt>
                <c:pt idx="533">
                  <c:v>125</c:v>
                </c:pt>
                <c:pt idx="534">
                  <c:v>147</c:v>
                </c:pt>
                <c:pt idx="535">
                  <c:v>76</c:v>
                </c:pt>
                <c:pt idx="536">
                  <c:v>99</c:v>
                </c:pt>
                <c:pt idx="537">
                  <c:v>111</c:v>
                </c:pt>
                <c:pt idx="538">
                  <c:v>147</c:v>
                </c:pt>
                <c:pt idx="539">
                  <c:v>141</c:v>
                </c:pt>
                <c:pt idx="540">
                  <c:v>71</c:v>
                </c:pt>
                <c:pt idx="541">
                  <c:v>121</c:v>
                </c:pt>
                <c:pt idx="542">
                  <c:v>60</c:v>
                </c:pt>
                <c:pt idx="543">
                  <c:v>158</c:v>
                </c:pt>
                <c:pt idx="544">
                  <c:v>159</c:v>
                </c:pt>
                <c:pt idx="545">
                  <c:v>70</c:v>
                </c:pt>
                <c:pt idx="546">
                  <c:v>78</c:v>
                </c:pt>
                <c:pt idx="547">
                  <c:v>103</c:v>
                </c:pt>
                <c:pt idx="548">
                  <c:v>108</c:v>
                </c:pt>
                <c:pt idx="549">
                  <c:v>44</c:v>
                </c:pt>
                <c:pt idx="550">
                  <c:v>127</c:v>
                </c:pt>
                <c:pt idx="551">
                  <c:v>132</c:v>
                </c:pt>
                <c:pt idx="552">
                  <c:v>106</c:v>
                </c:pt>
                <c:pt idx="553">
                  <c:v>107</c:v>
                </c:pt>
                <c:pt idx="554">
                  <c:v>85</c:v>
                </c:pt>
                <c:pt idx="555">
                  <c:v>49</c:v>
                </c:pt>
                <c:pt idx="556">
                  <c:v>117</c:v>
                </c:pt>
                <c:pt idx="557">
                  <c:v>136</c:v>
                </c:pt>
                <c:pt idx="558">
                  <c:v>130</c:v>
                </c:pt>
                <c:pt idx="559">
                  <c:v>73</c:v>
                </c:pt>
                <c:pt idx="560">
                  <c:v>80</c:v>
                </c:pt>
                <c:pt idx="561">
                  <c:v>44</c:v>
                </c:pt>
                <c:pt idx="562">
                  <c:v>102</c:v>
                </c:pt>
                <c:pt idx="563">
                  <c:v>74</c:v>
                </c:pt>
                <c:pt idx="564">
                  <c:v>52</c:v>
                </c:pt>
                <c:pt idx="565">
                  <c:v>74</c:v>
                </c:pt>
                <c:pt idx="566">
                  <c:v>96</c:v>
                </c:pt>
                <c:pt idx="567">
                  <c:v>104</c:v>
                </c:pt>
                <c:pt idx="568">
                  <c:v>123</c:v>
                </c:pt>
                <c:pt idx="569">
                  <c:v>100</c:v>
                </c:pt>
                <c:pt idx="570">
                  <c:v>35</c:v>
                </c:pt>
                <c:pt idx="571">
                  <c:v>123</c:v>
                </c:pt>
                <c:pt idx="572">
                  <c:v>133</c:v>
                </c:pt>
                <c:pt idx="573">
                  <c:v>126</c:v>
                </c:pt>
                <c:pt idx="574">
                  <c:v>39</c:v>
                </c:pt>
                <c:pt idx="575">
                  <c:v>31</c:v>
                </c:pt>
                <c:pt idx="576">
                  <c:v>25</c:v>
                </c:pt>
                <c:pt idx="577">
                  <c:v>132</c:v>
                </c:pt>
                <c:pt idx="578">
                  <c:v>63</c:v>
                </c:pt>
                <c:pt idx="579">
                  <c:v>135</c:v>
                </c:pt>
                <c:pt idx="580">
                  <c:v>101</c:v>
                </c:pt>
                <c:pt idx="581">
                  <c:v>80</c:v>
                </c:pt>
                <c:pt idx="582">
                  <c:v>28</c:v>
                </c:pt>
                <c:pt idx="583">
                  <c:v>102</c:v>
                </c:pt>
                <c:pt idx="584">
                  <c:v>60</c:v>
                </c:pt>
                <c:pt idx="585">
                  <c:v>103</c:v>
                </c:pt>
                <c:pt idx="586">
                  <c:v>90</c:v>
                </c:pt>
                <c:pt idx="587">
                  <c:v>88</c:v>
                </c:pt>
                <c:pt idx="588">
                  <c:v>37</c:v>
                </c:pt>
                <c:pt idx="589">
                  <c:v>142</c:v>
                </c:pt>
                <c:pt idx="590">
                  <c:v>153</c:v>
                </c:pt>
                <c:pt idx="591">
                  <c:v>128</c:v>
                </c:pt>
                <c:pt idx="592">
                  <c:v>110</c:v>
                </c:pt>
                <c:pt idx="593">
                  <c:v>139</c:v>
                </c:pt>
                <c:pt idx="594">
                  <c:v>109</c:v>
                </c:pt>
                <c:pt idx="595">
                  <c:v>57</c:v>
                </c:pt>
                <c:pt idx="596">
                  <c:v>68</c:v>
                </c:pt>
                <c:pt idx="597">
                  <c:v>128</c:v>
                </c:pt>
                <c:pt idx="598">
                  <c:v>102</c:v>
                </c:pt>
                <c:pt idx="599">
                  <c:v>52</c:v>
                </c:pt>
                <c:pt idx="600">
                  <c:v>55</c:v>
                </c:pt>
                <c:pt idx="601">
                  <c:v>107</c:v>
                </c:pt>
                <c:pt idx="602">
                  <c:v>88</c:v>
                </c:pt>
                <c:pt idx="603">
                  <c:v>49</c:v>
                </c:pt>
                <c:pt idx="604">
                  <c:v>72</c:v>
                </c:pt>
                <c:pt idx="605">
                  <c:v>50</c:v>
                </c:pt>
                <c:pt idx="606">
                  <c:v>52</c:v>
                </c:pt>
                <c:pt idx="607">
                  <c:v>85</c:v>
                </c:pt>
                <c:pt idx="608">
                  <c:v>98</c:v>
                </c:pt>
                <c:pt idx="609">
                  <c:v>52</c:v>
                </c:pt>
                <c:pt idx="610">
                  <c:v>154</c:v>
                </c:pt>
                <c:pt idx="611">
                  <c:v>131</c:v>
                </c:pt>
                <c:pt idx="612">
                  <c:v>73</c:v>
                </c:pt>
                <c:pt idx="613">
                  <c:v>45</c:v>
                </c:pt>
                <c:pt idx="614">
                  <c:v>114</c:v>
                </c:pt>
                <c:pt idx="615">
                  <c:v>69</c:v>
                </c:pt>
                <c:pt idx="616">
                  <c:v>33</c:v>
                </c:pt>
                <c:pt idx="617">
                  <c:v>31</c:v>
                </c:pt>
                <c:pt idx="618">
                  <c:v>168</c:v>
                </c:pt>
                <c:pt idx="619">
                  <c:v>111</c:v>
                </c:pt>
                <c:pt idx="620">
                  <c:v>80</c:v>
                </c:pt>
                <c:pt idx="621">
                  <c:v>37</c:v>
                </c:pt>
                <c:pt idx="622">
                  <c:v>137</c:v>
                </c:pt>
                <c:pt idx="623">
                  <c:v>123</c:v>
                </c:pt>
                <c:pt idx="624">
                  <c:v>105</c:v>
                </c:pt>
                <c:pt idx="625">
                  <c:v>76</c:v>
                </c:pt>
                <c:pt idx="626">
                  <c:v>144</c:v>
                </c:pt>
                <c:pt idx="627">
                  <c:v>109</c:v>
                </c:pt>
                <c:pt idx="628">
                  <c:v>172</c:v>
                </c:pt>
                <c:pt idx="629">
                  <c:v>56</c:v>
                </c:pt>
                <c:pt idx="630">
                  <c:v>121</c:v>
                </c:pt>
                <c:pt idx="631">
                  <c:v>41</c:v>
                </c:pt>
                <c:pt idx="632">
                  <c:v>60</c:v>
                </c:pt>
                <c:pt idx="633">
                  <c:v>144</c:v>
                </c:pt>
                <c:pt idx="634">
                  <c:v>67</c:v>
                </c:pt>
                <c:pt idx="635">
                  <c:v>162</c:v>
                </c:pt>
                <c:pt idx="636">
                  <c:v>87</c:v>
                </c:pt>
                <c:pt idx="637">
                  <c:v>10</c:v>
                </c:pt>
                <c:pt idx="638">
                  <c:v>138</c:v>
                </c:pt>
                <c:pt idx="639">
                  <c:v>31</c:v>
                </c:pt>
                <c:pt idx="640">
                  <c:v>75</c:v>
                </c:pt>
                <c:pt idx="641">
                  <c:v>65</c:v>
                </c:pt>
                <c:pt idx="642">
                  <c:v>106</c:v>
                </c:pt>
                <c:pt idx="643">
                  <c:v>107</c:v>
                </c:pt>
                <c:pt idx="644">
                  <c:v>78</c:v>
                </c:pt>
                <c:pt idx="645">
                  <c:v>122</c:v>
                </c:pt>
                <c:pt idx="646">
                  <c:v>58</c:v>
                </c:pt>
                <c:pt idx="647">
                  <c:v>33</c:v>
                </c:pt>
                <c:pt idx="648">
                  <c:v>164</c:v>
                </c:pt>
                <c:pt idx="649">
                  <c:v>163</c:v>
                </c:pt>
                <c:pt idx="650">
                  <c:v>71</c:v>
                </c:pt>
                <c:pt idx="651">
                  <c:v>103</c:v>
                </c:pt>
                <c:pt idx="652">
                  <c:v>69</c:v>
                </c:pt>
                <c:pt idx="653">
                  <c:v>111</c:v>
                </c:pt>
                <c:pt idx="654">
                  <c:v>97</c:v>
                </c:pt>
                <c:pt idx="655">
                  <c:v>144</c:v>
                </c:pt>
                <c:pt idx="656">
                  <c:v>56</c:v>
                </c:pt>
                <c:pt idx="657">
                  <c:v>132</c:v>
                </c:pt>
                <c:pt idx="658">
                  <c:v>72</c:v>
                </c:pt>
                <c:pt idx="659">
                  <c:v>18</c:v>
                </c:pt>
                <c:pt idx="660">
                  <c:v>115</c:v>
                </c:pt>
                <c:pt idx="661">
                  <c:v>124</c:v>
                </c:pt>
                <c:pt idx="662">
                  <c:v>130</c:v>
                </c:pt>
                <c:pt idx="663">
                  <c:v>120</c:v>
                </c:pt>
                <c:pt idx="664">
                  <c:v>75</c:v>
                </c:pt>
                <c:pt idx="665">
                  <c:v>63</c:v>
                </c:pt>
                <c:pt idx="666">
                  <c:v>74</c:v>
                </c:pt>
                <c:pt idx="667">
                  <c:v>134</c:v>
                </c:pt>
                <c:pt idx="668">
                  <c:v>103</c:v>
                </c:pt>
                <c:pt idx="669">
                  <c:v>155</c:v>
                </c:pt>
                <c:pt idx="670">
                  <c:v>128</c:v>
                </c:pt>
                <c:pt idx="671">
                  <c:v>89</c:v>
                </c:pt>
                <c:pt idx="672">
                  <c:v>81</c:v>
                </c:pt>
                <c:pt idx="673">
                  <c:v>66</c:v>
                </c:pt>
                <c:pt idx="674">
                  <c:v>61</c:v>
                </c:pt>
                <c:pt idx="675">
                  <c:v>128</c:v>
                </c:pt>
                <c:pt idx="676">
                  <c:v>30</c:v>
                </c:pt>
                <c:pt idx="677">
                  <c:v>63</c:v>
                </c:pt>
                <c:pt idx="678">
                  <c:v>64</c:v>
                </c:pt>
                <c:pt idx="679">
                  <c:v>151</c:v>
                </c:pt>
                <c:pt idx="680">
                  <c:v>116</c:v>
                </c:pt>
                <c:pt idx="681">
                  <c:v>111</c:v>
                </c:pt>
                <c:pt idx="682">
                  <c:v>15</c:v>
                </c:pt>
                <c:pt idx="683">
                  <c:v>18</c:v>
                </c:pt>
                <c:pt idx="684">
                  <c:v>146</c:v>
                </c:pt>
                <c:pt idx="685">
                  <c:v>73</c:v>
                </c:pt>
                <c:pt idx="686">
                  <c:v>108</c:v>
                </c:pt>
                <c:pt idx="687">
                  <c:v>52</c:v>
                </c:pt>
                <c:pt idx="688">
                  <c:v>165</c:v>
                </c:pt>
                <c:pt idx="689">
                  <c:v>104</c:v>
                </c:pt>
                <c:pt idx="690">
                  <c:v>131</c:v>
                </c:pt>
                <c:pt idx="691">
                  <c:v>80</c:v>
                </c:pt>
                <c:pt idx="692">
                  <c:v>49</c:v>
                </c:pt>
                <c:pt idx="693">
                  <c:v>73</c:v>
                </c:pt>
                <c:pt idx="694">
                  <c:v>117</c:v>
                </c:pt>
                <c:pt idx="695">
                  <c:v>38</c:v>
                </c:pt>
                <c:pt idx="696">
                  <c:v>109</c:v>
                </c:pt>
                <c:pt idx="697">
                  <c:v>70</c:v>
                </c:pt>
                <c:pt idx="698">
                  <c:v>51</c:v>
                </c:pt>
                <c:pt idx="699">
                  <c:v>100</c:v>
                </c:pt>
                <c:pt idx="700">
                  <c:v>124</c:v>
                </c:pt>
                <c:pt idx="701">
                  <c:v>143</c:v>
                </c:pt>
                <c:pt idx="702">
                  <c:v>96</c:v>
                </c:pt>
                <c:pt idx="703">
                  <c:v>84</c:v>
                </c:pt>
                <c:pt idx="704">
                  <c:v>111</c:v>
                </c:pt>
                <c:pt idx="705">
                  <c:v>103</c:v>
                </c:pt>
                <c:pt idx="706">
                  <c:v>61</c:v>
                </c:pt>
                <c:pt idx="707">
                  <c:v>113</c:v>
                </c:pt>
                <c:pt idx="708">
                  <c:v>96</c:v>
                </c:pt>
                <c:pt idx="709">
                  <c:v>131</c:v>
                </c:pt>
                <c:pt idx="710">
                  <c:v>52</c:v>
                </c:pt>
                <c:pt idx="711">
                  <c:v>100</c:v>
                </c:pt>
                <c:pt idx="712">
                  <c:v>58</c:v>
                </c:pt>
                <c:pt idx="713">
                  <c:v>144</c:v>
                </c:pt>
                <c:pt idx="714">
                  <c:v>53</c:v>
                </c:pt>
                <c:pt idx="715">
                  <c:v>97</c:v>
                </c:pt>
                <c:pt idx="716">
                  <c:v>64</c:v>
                </c:pt>
                <c:pt idx="717">
                  <c:v>106</c:v>
                </c:pt>
                <c:pt idx="718">
                  <c:v>36</c:v>
                </c:pt>
                <c:pt idx="719">
                  <c:v>74</c:v>
                </c:pt>
                <c:pt idx="720">
                  <c:v>143</c:v>
                </c:pt>
                <c:pt idx="721">
                  <c:v>94</c:v>
                </c:pt>
                <c:pt idx="722">
                  <c:v>124</c:v>
                </c:pt>
                <c:pt idx="723">
                  <c:v>156</c:v>
                </c:pt>
                <c:pt idx="724">
                  <c:v>107</c:v>
                </c:pt>
                <c:pt idx="725">
                  <c:v>58</c:v>
                </c:pt>
                <c:pt idx="726">
                  <c:v>66</c:v>
                </c:pt>
                <c:pt idx="727">
                  <c:v>75</c:v>
                </c:pt>
                <c:pt idx="728">
                  <c:v>8</c:v>
                </c:pt>
                <c:pt idx="729">
                  <c:v>76</c:v>
                </c:pt>
                <c:pt idx="730">
                  <c:v>110</c:v>
                </c:pt>
                <c:pt idx="731">
                  <c:v>50</c:v>
                </c:pt>
                <c:pt idx="732">
                  <c:v>78</c:v>
                </c:pt>
                <c:pt idx="733">
                  <c:v>59</c:v>
                </c:pt>
                <c:pt idx="734">
                  <c:v>126</c:v>
                </c:pt>
                <c:pt idx="735">
                  <c:v>43</c:v>
                </c:pt>
                <c:pt idx="736">
                  <c:v>79</c:v>
                </c:pt>
                <c:pt idx="737">
                  <c:v>71</c:v>
                </c:pt>
                <c:pt idx="738">
                  <c:v>94</c:v>
                </c:pt>
                <c:pt idx="739">
                  <c:v>108</c:v>
                </c:pt>
                <c:pt idx="740">
                  <c:v>76</c:v>
                </c:pt>
                <c:pt idx="741">
                  <c:v>136</c:v>
                </c:pt>
                <c:pt idx="742">
                  <c:v>129</c:v>
                </c:pt>
                <c:pt idx="743">
                  <c:v>120</c:v>
                </c:pt>
                <c:pt idx="744">
                  <c:v>108</c:v>
                </c:pt>
                <c:pt idx="745">
                  <c:v>79</c:v>
                </c:pt>
                <c:pt idx="746">
                  <c:v>45</c:v>
                </c:pt>
                <c:pt idx="747">
                  <c:v>96</c:v>
                </c:pt>
                <c:pt idx="748">
                  <c:v>81</c:v>
                </c:pt>
                <c:pt idx="749">
                  <c:v>95</c:v>
                </c:pt>
                <c:pt idx="750">
                  <c:v>159</c:v>
                </c:pt>
                <c:pt idx="751">
                  <c:v>109</c:v>
                </c:pt>
                <c:pt idx="752">
                  <c:v>107</c:v>
                </c:pt>
                <c:pt idx="753">
                  <c:v>67</c:v>
                </c:pt>
                <c:pt idx="754">
                  <c:v>96</c:v>
                </c:pt>
                <c:pt idx="755">
                  <c:v>142</c:v>
                </c:pt>
                <c:pt idx="756">
                  <c:v>71</c:v>
                </c:pt>
                <c:pt idx="757">
                  <c:v>152</c:v>
                </c:pt>
                <c:pt idx="758">
                  <c:v>108</c:v>
                </c:pt>
                <c:pt idx="759">
                  <c:v>156</c:v>
                </c:pt>
                <c:pt idx="760">
                  <c:v>126</c:v>
                </c:pt>
                <c:pt idx="761">
                  <c:v>135</c:v>
                </c:pt>
                <c:pt idx="762">
                  <c:v>110</c:v>
                </c:pt>
                <c:pt idx="763">
                  <c:v>64</c:v>
                </c:pt>
                <c:pt idx="764">
                  <c:v>127</c:v>
                </c:pt>
                <c:pt idx="765">
                  <c:v>124</c:v>
                </c:pt>
                <c:pt idx="766">
                  <c:v>125</c:v>
                </c:pt>
                <c:pt idx="767">
                  <c:v>70</c:v>
                </c:pt>
                <c:pt idx="768">
                  <c:v>93</c:v>
                </c:pt>
                <c:pt idx="769">
                  <c:v>120</c:v>
                </c:pt>
                <c:pt idx="770">
                  <c:v>96</c:v>
                </c:pt>
                <c:pt idx="771">
                  <c:v>67</c:v>
                </c:pt>
                <c:pt idx="772">
                  <c:v>119</c:v>
                </c:pt>
                <c:pt idx="773">
                  <c:v>61</c:v>
                </c:pt>
                <c:pt idx="774">
                  <c:v>29</c:v>
                </c:pt>
                <c:pt idx="775">
                  <c:v>134</c:v>
                </c:pt>
                <c:pt idx="776">
                  <c:v>113</c:v>
                </c:pt>
                <c:pt idx="777">
                  <c:v>12</c:v>
                </c:pt>
                <c:pt idx="778">
                  <c:v>78</c:v>
                </c:pt>
                <c:pt idx="779">
                  <c:v>82</c:v>
                </c:pt>
                <c:pt idx="780">
                  <c:v>149</c:v>
                </c:pt>
                <c:pt idx="781">
                  <c:v>56</c:v>
                </c:pt>
                <c:pt idx="782">
                  <c:v>80</c:v>
                </c:pt>
                <c:pt idx="783">
                  <c:v>131</c:v>
                </c:pt>
                <c:pt idx="784">
                  <c:v>109</c:v>
                </c:pt>
                <c:pt idx="785">
                  <c:v>142</c:v>
                </c:pt>
                <c:pt idx="786">
                  <c:v>114</c:v>
                </c:pt>
                <c:pt idx="787">
                  <c:v>93</c:v>
                </c:pt>
                <c:pt idx="788">
                  <c:v>43</c:v>
                </c:pt>
                <c:pt idx="789">
                  <c:v>78</c:v>
                </c:pt>
                <c:pt idx="790">
                  <c:v>89</c:v>
                </c:pt>
                <c:pt idx="791">
                  <c:v>82</c:v>
                </c:pt>
                <c:pt idx="792">
                  <c:v>86</c:v>
                </c:pt>
                <c:pt idx="793">
                  <c:v>57</c:v>
                </c:pt>
                <c:pt idx="794">
                  <c:v>103</c:v>
                </c:pt>
                <c:pt idx="795">
                  <c:v>138</c:v>
                </c:pt>
                <c:pt idx="796">
                  <c:v>88</c:v>
                </c:pt>
                <c:pt idx="797">
                  <c:v>118</c:v>
                </c:pt>
                <c:pt idx="798">
                  <c:v>4</c:v>
                </c:pt>
                <c:pt idx="799">
                  <c:v>78</c:v>
                </c:pt>
                <c:pt idx="800">
                  <c:v>69</c:v>
                </c:pt>
                <c:pt idx="801">
                  <c:v>90</c:v>
                </c:pt>
                <c:pt idx="802">
                  <c:v>134</c:v>
                </c:pt>
                <c:pt idx="803">
                  <c:v>65</c:v>
                </c:pt>
                <c:pt idx="804">
                  <c:v>54</c:v>
                </c:pt>
                <c:pt idx="805">
                  <c:v>90</c:v>
                </c:pt>
                <c:pt idx="806">
                  <c:v>66</c:v>
                </c:pt>
                <c:pt idx="807">
                  <c:v>150</c:v>
                </c:pt>
                <c:pt idx="808">
                  <c:v>18</c:v>
                </c:pt>
                <c:pt idx="809">
                  <c:v>87</c:v>
                </c:pt>
                <c:pt idx="810">
                  <c:v>94</c:v>
                </c:pt>
                <c:pt idx="811">
                  <c:v>56</c:v>
                </c:pt>
                <c:pt idx="812">
                  <c:v>41</c:v>
                </c:pt>
                <c:pt idx="813">
                  <c:v>119</c:v>
                </c:pt>
                <c:pt idx="814">
                  <c:v>108</c:v>
                </c:pt>
                <c:pt idx="815">
                  <c:v>63</c:v>
                </c:pt>
                <c:pt idx="816">
                  <c:v>59</c:v>
                </c:pt>
                <c:pt idx="817">
                  <c:v>90</c:v>
                </c:pt>
                <c:pt idx="818">
                  <c:v>55</c:v>
                </c:pt>
                <c:pt idx="819">
                  <c:v>84</c:v>
                </c:pt>
                <c:pt idx="820">
                  <c:v>150</c:v>
                </c:pt>
                <c:pt idx="821">
                  <c:v>69</c:v>
                </c:pt>
                <c:pt idx="822">
                  <c:v>120</c:v>
                </c:pt>
                <c:pt idx="823">
                  <c:v>126</c:v>
                </c:pt>
                <c:pt idx="824">
                  <c:v>120</c:v>
                </c:pt>
                <c:pt idx="825">
                  <c:v>139</c:v>
                </c:pt>
                <c:pt idx="826">
                  <c:v>124</c:v>
                </c:pt>
                <c:pt idx="827">
                  <c:v>108</c:v>
                </c:pt>
                <c:pt idx="828">
                  <c:v>132</c:v>
                </c:pt>
                <c:pt idx="829">
                  <c:v>67</c:v>
                </c:pt>
                <c:pt idx="830">
                  <c:v>125</c:v>
                </c:pt>
                <c:pt idx="831">
                  <c:v>23</c:v>
                </c:pt>
                <c:pt idx="832">
                  <c:v>131</c:v>
                </c:pt>
                <c:pt idx="833">
                  <c:v>56</c:v>
                </c:pt>
                <c:pt idx="834">
                  <c:v>70</c:v>
                </c:pt>
                <c:pt idx="835">
                  <c:v>55</c:v>
                </c:pt>
                <c:pt idx="836">
                  <c:v>77</c:v>
                </c:pt>
                <c:pt idx="837">
                  <c:v>133</c:v>
                </c:pt>
                <c:pt idx="838">
                  <c:v>77</c:v>
                </c:pt>
                <c:pt idx="839">
                  <c:v>103</c:v>
                </c:pt>
                <c:pt idx="840">
                  <c:v>32</c:v>
                </c:pt>
                <c:pt idx="841">
                  <c:v>30</c:v>
                </c:pt>
                <c:pt idx="842">
                  <c:v>87</c:v>
                </c:pt>
                <c:pt idx="843">
                  <c:v>137</c:v>
                </c:pt>
                <c:pt idx="844">
                  <c:v>96</c:v>
                </c:pt>
                <c:pt idx="845">
                  <c:v>155</c:v>
                </c:pt>
                <c:pt idx="846">
                  <c:v>173</c:v>
                </c:pt>
                <c:pt idx="847">
                  <c:v>127</c:v>
                </c:pt>
                <c:pt idx="848">
                  <c:v>117</c:v>
                </c:pt>
                <c:pt idx="849">
                  <c:v>133</c:v>
                </c:pt>
                <c:pt idx="850">
                  <c:v>166</c:v>
                </c:pt>
                <c:pt idx="851">
                  <c:v>50</c:v>
                </c:pt>
                <c:pt idx="852">
                  <c:v>43</c:v>
                </c:pt>
                <c:pt idx="853">
                  <c:v>124</c:v>
                </c:pt>
                <c:pt idx="854">
                  <c:v>94</c:v>
                </c:pt>
                <c:pt idx="855">
                  <c:v>126</c:v>
                </c:pt>
                <c:pt idx="856">
                  <c:v>105</c:v>
                </c:pt>
                <c:pt idx="857">
                  <c:v>60</c:v>
                </c:pt>
                <c:pt idx="858">
                  <c:v>72</c:v>
                </c:pt>
                <c:pt idx="859">
                  <c:v>40</c:v>
                </c:pt>
                <c:pt idx="860">
                  <c:v>54</c:v>
                </c:pt>
                <c:pt idx="861">
                  <c:v>81</c:v>
                </c:pt>
                <c:pt idx="862">
                  <c:v>76</c:v>
                </c:pt>
                <c:pt idx="863">
                  <c:v>37</c:v>
                </c:pt>
                <c:pt idx="864">
                  <c:v>96</c:v>
                </c:pt>
                <c:pt idx="865">
                  <c:v>19</c:v>
                </c:pt>
                <c:pt idx="866">
                  <c:v>72</c:v>
                </c:pt>
                <c:pt idx="867">
                  <c:v>73</c:v>
                </c:pt>
                <c:pt idx="868">
                  <c:v>87</c:v>
                </c:pt>
                <c:pt idx="869">
                  <c:v>68</c:v>
                </c:pt>
                <c:pt idx="870">
                  <c:v>101</c:v>
                </c:pt>
                <c:pt idx="871">
                  <c:v>107</c:v>
                </c:pt>
                <c:pt idx="872">
                  <c:v>109</c:v>
                </c:pt>
                <c:pt idx="873">
                  <c:v>171</c:v>
                </c:pt>
                <c:pt idx="874">
                  <c:v>21</c:v>
                </c:pt>
                <c:pt idx="875">
                  <c:v>94</c:v>
                </c:pt>
                <c:pt idx="876">
                  <c:v>97</c:v>
                </c:pt>
                <c:pt idx="877">
                  <c:v>72</c:v>
                </c:pt>
                <c:pt idx="878">
                  <c:v>143</c:v>
                </c:pt>
                <c:pt idx="879">
                  <c:v>64</c:v>
                </c:pt>
                <c:pt idx="880">
                  <c:v>69</c:v>
                </c:pt>
                <c:pt idx="881">
                  <c:v>18</c:v>
                </c:pt>
                <c:pt idx="882">
                  <c:v>100</c:v>
                </c:pt>
                <c:pt idx="883">
                  <c:v>110</c:v>
                </c:pt>
                <c:pt idx="884">
                  <c:v>41</c:v>
                </c:pt>
                <c:pt idx="885">
                  <c:v>147</c:v>
                </c:pt>
                <c:pt idx="886">
                  <c:v>31</c:v>
                </c:pt>
                <c:pt idx="887">
                  <c:v>142</c:v>
                </c:pt>
                <c:pt idx="888">
                  <c:v>61</c:v>
                </c:pt>
                <c:pt idx="889">
                  <c:v>86</c:v>
                </c:pt>
                <c:pt idx="890">
                  <c:v>165</c:v>
                </c:pt>
                <c:pt idx="891">
                  <c:v>62</c:v>
                </c:pt>
                <c:pt idx="892">
                  <c:v>103</c:v>
                </c:pt>
                <c:pt idx="893">
                  <c:v>56</c:v>
                </c:pt>
                <c:pt idx="894">
                  <c:v>114</c:v>
                </c:pt>
                <c:pt idx="895">
                  <c:v>112</c:v>
                </c:pt>
                <c:pt idx="896">
                  <c:v>52</c:v>
                </c:pt>
                <c:pt idx="897">
                  <c:v>105</c:v>
                </c:pt>
                <c:pt idx="898">
                  <c:v>91</c:v>
                </c:pt>
                <c:pt idx="899">
                  <c:v>74</c:v>
                </c:pt>
                <c:pt idx="900">
                  <c:v>30</c:v>
                </c:pt>
                <c:pt idx="901">
                  <c:v>56</c:v>
                </c:pt>
                <c:pt idx="902">
                  <c:v>151</c:v>
                </c:pt>
                <c:pt idx="903">
                  <c:v>108</c:v>
                </c:pt>
                <c:pt idx="904">
                  <c:v>124</c:v>
                </c:pt>
                <c:pt idx="905">
                  <c:v>110</c:v>
                </c:pt>
                <c:pt idx="906">
                  <c:v>89</c:v>
                </c:pt>
                <c:pt idx="907">
                  <c:v>95</c:v>
                </c:pt>
                <c:pt idx="908">
                  <c:v>84</c:v>
                </c:pt>
                <c:pt idx="909">
                  <c:v>89</c:v>
                </c:pt>
                <c:pt idx="910">
                  <c:v>146</c:v>
                </c:pt>
                <c:pt idx="911">
                  <c:v>62</c:v>
                </c:pt>
                <c:pt idx="912">
                  <c:v>82</c:v>
                </c:pt>
                <c:pt idx="913">
                  <c:v>91</c:v>
                </c:pt>
                <c:pt idx="914">
                  <c:v>39</c:v>
                </c:pt>
                <c:pt idx="915">
                  <c:v>149</c:v>
                </c:pt>
                <c:pt idx="916">
                  <c:v>138</c:v>
                </c:pt>
                <c:pt idx="917">
                  <c:v>113</c:v>
                </c:pt>
                <c:pt idx="918">
                  <c:v>88</c:v>
                </c:pt>
                <c:pt idx="919">
                  <c:v>64</c:v>
                </c:pt>
                <c:pt idx="920">
                  <c:v>53</c:v>
                </c:pt>
                <c:pt idx="921">
                  <c:v>63</c:v>
                </c:pt>
                <c:pt idx="922">
                  <c:v>54</c:v>
                </c:pt>
                <c:pt idx="923">
                  <c:v>54</c:v>
                </c:pt>
                <c:pt idx="924">
                  <c:v>71</c:v>
                </c:pt>
                <c:pt idx="925">
                  <c:v>93</c:v>
                </c:pt>
                <c:pt idx="926">
                  <c:v>96</c:v>
                </c:pt>
                <c:pt idx="927">
                  <c:v>31</c:v>
                </c:pt>
                <c:pt idx="928">
                  <c:v>107</c:v>
                </c:pt>
                <c:pt idx="929">
                  <c:v>50</c:v>
                </c:pt>
                <c:pt idx="930">
                  <c:v>69</c:v>
                </c:pt>
                <c:pt idx="931">
                  <c:v>26</c:v>
                </c:pt>
                <c:pt idx="932">
                  <c:v>158</c:v>
                </c:pt>
                <c:pt idx="933">
                  <c:v>99</c:v>
                </c:pt>
                <c:pt idx="934">
                  <c:v>78</c:v>
                </c:pt>
                <c:pt idx="935">
                  <c:v>102</c:v>
                </c:pt>
                <c:pt idx="936">
                  <c:v>158</c:v>
                </c:pt>
                <c:pt idx="937">
                  <c:v>56</c:v>
                </c:pt>
                <c:pt idx="938">
                  <c:v>17</c:v>
                </c:pt>
                <c:pt idx="939">
                  <c:v>104</c:v>
                </c:pt>
                <c:pt idx="940">
                  <c:v>96</c:v>
                </c:pt>
                <c:pt idx="941">
                  <c:v>83</c:v>
                </c:pt>
                <c:pt idx="942">
                  <c:v>80</c:v>
                </c:pt>
                <c:pt idx="943">
                  <c:v>152</c:v>
                </c:pt>
                <c:pt idx="944">
                  <c:v>34</c:v>
                </c:pt>
                <c:pt idx="945">
                  <c:v>2</c:v>
                </c:pt>
                <c:pt idx="946">
                  <c:v>140</c:v>
                </c:pt>
                <c:pt idx="947">
                  <c:v>126</c:v>
                </c:pt>
                <c:pt idx="948">
                  <c:v>79</c:v>
                </c:pt>
                <c:pt idx="949">
                  <c:v>133</c:v>
                </c:pt>
                <c:pt idx="950">
                  <c:v>97</c:v>
                </c:pt>
                <c:pt idx="951">
                  <c:v>102</c:v>
                </c:pt>
                <c:pt idx="952">
                  <c:v>62</c:v>
                </c:pt>
                <c:pt idx="953">
                  <c:v>149</c:v>
                </c:pt>
                <c:pt idx="954">
                  <c:v>133</c:v>
                </c:pt>
                <c:pt idx="955">
                  <c:v>51</c:v>
                </c:pt>
                <c:pt idx="956">
                  <c:v>110</c:v>
                </c:pt>
                <c:pt idx="957">
                  <c:v>38</c:v>
                </c:pt>
                <c:pt idx="958">
                  <c:v>78</c:v>
                </c:pt>
                <c:pt idx="959">
                  <c:v>25</c:v>
                </c:pt>
                <c:pt idx="960">
                  <c:v>50</c:v>
                </c:pt>
                <c:pt idx="961">
                  <c:v>103</c:v>
                </c:pt>
                <c:pt idx="962">
                  <c:v>63</c:v>
                </c:pt>
                <c:pt idx="963">
                  <c:v>96</c:v>
                </c:pt>
                <c:pt idx="964">
                  <c:v>94</c:v>
                </c:pt>
                <c:pt idx="965">
                  <c:v>46</c:v>
                </c:pt>
                <c:pt idx="966">
                  <c:v>127</c:v>
                </c:pt>
                <c:pt idx="967">
                  <c:v>96</c:v>
                </c:pt>
                <c:pt idx="968">
                  <c:v>151</c:v>
                </c:pt>
                <c:pt idx="969">
                  <c:v>158</c:v>
                </c:pt>
                <c:pt idx="970">
                  <c:v>45</c:v>
                </c:pt>
                <c:pt idx="971">
                  <c:v>141</c:v>
                </c:pt>
                <c:pt idx="972">
                  <c:v>147</c:v>
                </c:pt>
                <c:pt idx="973">
                  <c:v>126</c:v>
                </c:pt>
                <c:pt idx="974">
                  <c:v>126</c:v>
                </c:pt>
                <c:pt idx="975">
                  <c:v>32</c:v>
                </c:pt>
                <c:pt idx="976">
                  <c:v>84</c:v>
                </c:pt>
                <c:pt idx="977">
                  <c:v>120</c:v>
                </c:pt>
                <c:pt idx="978">
                  <c:v>93</c:v>
                </c:pt>
                <c:pt idx="979">
                  <c:v>76</c:v>
                </c:pt>
                <c:pt idx="980">
                  <c:v>89</c:v>
                </c:pt>
                <c:pt idx="981">
                  <c:v>91</c:v>
                </c:pt>
                <c:pt idx="982">
                  <c:v>7</c:v>
                </c:pt>
                <c:pt idx="983">
                  <c:v>140</c:v>
                </c:pt>
                <c:pt idx="984">
                  <c:v>58</c:v>
                </c:pt>
                <c:pt idx="985">
                  <c:v>90</c:v>
                </c:pt>
                <c:pt idx="986">
                  <c:v>106</c:v>
                </c:pt>
                <c:pt idx="987">
                  <c:v>72</c:v>
                </c:pt>
                <c:pt idx="988">
                  <c:v>124</c:v>
                </c:pt>
                <c:pt idx="989">
                  <c:v>86</c:v>
                </c:pt>
                <c:pt idx="990">
                  <c:v>164</c:v>
                </c:pt>
                <c:pt idx="991">
                  <c:v>40</c:v>
                </c:pt>
                <c:pt idx="992">
                  <c:v>76</c:v>
                </c:pt>
                <c:pt idx="993">
                  <c:v>95</c:v>
                </c:pt>
                <c:pt idx="994">
                  <c:v>113</c:v>
                </c:pt>
                <c:pt idx="995">
                  <c:v>81</c:v>
                </c:pt>
                <c:pt idx="996">
                  <c:v>127</c:v>
                </c:pt>
                <c:pt idx="997">
                  <c:v>146</c:v>
                </c:pt>
                <c:pt idx="998">
                  <c:v>123</c:v>
                </c:pt>
                <c:pt idx="999">
                  <c:v>114</c:v>
                </c:pt>
              </c:numCache>
            </c:numRef>
          </c:xVal>
          <c:yVal>
            <c:numRef>
              <c:f>'Call Centre Data'!$G$2:$G$1001</c:f>
              <c:numCache>
                <c:formatCode>General</c:formatCode>
                <c:ptCount val="1000"/>
                <c:pt idx="0">
                  <c:v>4.9000000000000004</c:v>
                </c:pt>
                <c:pt idx="1">
                  <c:v>2.9</c:v>
                </c:pt>
                <c:pt idx="2">
                  <c:v>4.7</c:v>
                </c:pt>
                <c:pt idx="3">
                  <c:v>2.9</c:v>
                </c:pt>
                <c:pt idx="4">
                  <c:v>2.8</c:v>
                </c:pt>
                <c:pt idx="5">
                  <c:v>4.8</c:v>
                </c:pt>
                <c:pt idx="6">
                  <c:v>4.7</c:v>
                </c:pt>
                <c:pt idx="7">
                  <c:v>4.4000000000000004</c:v>
                </c:pt>
                <c:pt idx="8">
                  <c:v>3.6</c:v>
                </c:pt>
                <c:pt idx="9">
                  <c:v>2.9</c:v>
                </c:pt>
                <c:pt idx="10">
                  <c:v>4.9000000000000004</c:v>
                </c:pt>
                <c:pt idx="11">
                  <c:v>3.4</c:v>
                </c:pt>
                <c:pt idx="12">
                  <c:v>3.5</c:v>
                </c:pt>
                <c:pt idx="13">
                  <c:v>4</c:v>
                </c:pt>
                <c:pt idx="14">
                  <c:v>4.9000000000000004</c:v>
                </c:pt>
                <c:pt idx="15">
                  <c:v>4.8</c:v>
                </c:pt>
                <c:pt idx="16">
                  <c:v>3.9</c:v>
                </c:pt>
                <c:pt idx="17">
                  <c:v>3.8</c:v>
                </c:pt>
                <c:pt idx="18">
                  <c:v>4.3</c:v>
                </c:pt>
                <c:pt idx="19">
                  <c:v>4.4000000000000004</c:v>
                </c:pt>
                <c:pt idx="20">
                  <c:v>5</c:v>
                </c:pt>
                <c:pt idx="21">
                  <c:v>4.9000000000000004</c:v>
                </c:pt>
                <c:pt idx="22">
                  <c:v>4.5</c:v>
                </c:pt>
                <c:pt idx="23">
                  <c:v>2.1</c:v>
                </c:pt>
                <c:pt idx="24">
                  <c:v>3.3</c:v>
                </c:pt>
                <c:pt idx="25">
                  <c:v>4.0999999999999996</c:v>
                </c:pt>
                <c:pt idx="26">
                  <c:v>4.2</c:v>
                </c:pt>
                <c:pt idx="27">
                  <c:v>4.5999999999999996</c:v>
                </c:pt>
                <c:pt idx="28">
                  <c:v>2.9</c:v>
                </c:pt>
                <c:pt idx="29">
                  <c:v>4.8</c:v>
                </c:pt>
                <c:pt idx="30">
                  <c:v>4.2</c:v>
                </c:pt>
                <c:pt idx="31">
                  <c:v>3.7</c:v>
                </c:pt>
                <c:pt idx="32">
                  <c:v>5</c:v>
                </c:pt>
                <c:pt idx="33">
                  <c:v>5</c:v>
                </c:pt>
                <c:pt idx="34">
                  <c:v>4.8</c:v>
                </c:pt>
                <c:pt idx="35">
                  <c:v>2.4</c:v>
                </c:pt>
                <c:pt idx="36">
                  <c:v>3.1</c:v>
                </c:pt>
                <c:pt idx="37">
                  <c:v>3.2</c:v>
                </c:pt>
                <c:pt idx="38">
                  <c:v>2.4</c:v>
                </c:pt>
                <c:pt idx="39">
                  <c:v>5</c:v>
                </c:pt>
                <c:pt idx="40">
                  <c:v>4.7</c:v>
                </c:pt>
                <c:pt idx="41">
                  <c:v>4.7</c:v>
                </c:pt>
                <c:pt idx="42">
                  <c:v>4.0999999999999996</c:v>
                </c:pt>
                <c:pt idx="43">
                  <c:v>4.0999999999999996</c:v>
                </c:pt>
                <c:pt idx="44">
                  <c:v>3.6</c:v>
                </c:pt>
                <c:pt idx="45">
                  <c:v>4.4000000000000004</c:v>
                </c:pt>
                <c:pt idx="46">
                  <c:v>4.4000000000000004</c:v>
                </c:pt>
                <c:pt idx="47">
                  <c:v>4</c:v>
                </c:pt>
                <c:pt idx="48">
                  <c:v>3.8</c:v>
                </c:pt>
                <c:pt idx="49">
                  <c:v>3.6</c:v>
                </c:pt>
                <c:pt idx="50">
                  <c:v>4.3</c:v>
                </c:pt>
                <c:pt idx="51">
                  <c:v>3.8</c:v>
                </c:pt>
                <c:pt idx="52">
                  <c:v>4.5</c:v>
                </c:pt>
                <c:pt idx="53">
                  <c:v>4.5</c:v>
                </c:pt>
                <c:pt idx="54">
                  <c:v>4.5999999999999996</c:v>
                </c:pt>
                <c:pt idx="55">
                  <c:v>4.5</c:v>
                </c:pt>
                <c:pt idx="56">
                  <c:v>3.3</c:v>
                </c:pt>
                <c:pt idx="57">
                  <c:v>2.2999999999999998</c:v>
                </c:pt>
                <c:pt idx="58">
                  <c:v>4.3</c:v>
                </c:pt>
                <c:pt idx="59">
                  <c:v>4.5999999999999996</c:v>
                </c:pt>
                <c:pt idx="60">
                  <c:v>4</c:v>
                </c:pt>
                <c:pt idx="61">
                  <c:v>2.5</c:v>
                </c:pt>
                <c:pt idx="62">
                  <c:v>5</c:v>
                </c:pt>
                <c:pt idx="63">
                  <c:v>3.8</c:v>
                </c:pt>
                <c:pt idx="64">
                  <c:v>4.4000000000000004</c:v>
                </c:pt>
                <c:pt idx="65">
                  <c:v>3.8</c:v>
                </c:pt>
                <c:pt idx="66">
                  <c:v>2</c:v>
                </c:pt>
                <c:pt idx="67">
                  <c:v>4.0999999999999996</c:v>
                </c:pt>
                <c:pt idx="68">
                  <c:v>2.6</c:v>
                </c:pt>
                <c:pt idx="69">
                  <c:v>0</c:v>
                </c:pt>
                <c:pt idx="70">
                  <c:v>3.9</c:v>
                </c:pt>
                <c:pt idx="71">
                  <c:v>4.8</c:v>
                </c:pt>
                <c:pt idx="72">
                  <c:v>2.6</c:v>
                </c:pt>
                <c:pt idx="73">
                  <c:v>2.6</c:v>
                </c:pt>
                <c:pt idx="74">
                  <c:v>3.6</c:v>
                </c:pt>
                <c:pt idx="75">
                  <c:v>3.3</c:v>
                </c:pt>
                <c:pt idx="76">
                  <c:v>1.9</c:v>
                </c:pt>
                <c:pt idx="77">
                  <c:v>4.9000000000000004</c:v>
                </c:pt>
                <c:pt idx="78">
                  <c:v>3.6</c:v>
                </c:pt>
                <c:pt idx="79">
                  <c:v>4.5</c:v>
                </c:pt>
                <c:pt idx="80">
                  <c:v>3.7</c:v>
                </c:pt>
                <c:pt idx="81">
                  <c:v>4.8</c:v>
                </c:pt>
                <c:pt idx="82">
                  <c:v>3.3</c:v>
                </c:pt>
                <c:pt idx="83">
                  <c:v>3.1</c:v>
                </c:pt>
                <c:pt idx="84">
                  <c:v>4.0999999999999996</c:v>
                </c:pt>
                <c:pt idx="85">
                  <c:v>4.9000000000000004</c:v>
                </c:pt>
                <c:pt idx="86">
                  <c:v>4</c:v>
                </c:pt>
                <c:pt idx="87">
                  <c:v>2.1</c:v>
                </c:pt>
                <c:pt idx="88">
                  <c:v>4.5</c:v>
                </c:pt>
                <c:pt idx="89">
                  <c:v>4.9000000000000004</c:v>
                </c:pt>
                <c:pt idx="90">
                  <c:v>4.0999999999999996</c:v>
                </c:pt>
                <c:pt idx="91">
                  <c:v>4.5</c:v>
                </c:pt>
                <c:pt idx="92">
                  <c:v>4.8</c:v>
                </c:pt>
                <c:pt idx="93">
                  <c:v>4.5999999999999996</c:v>
                </c:pt>
                <c:pt idx="94">
                  <c:v>4.5999999999999996</c:v>
                </c:pt>
                <c:pt idx="95">
                  <c:v>4.3</c:v>
                </c:pt>
                <c:pt idx="96">
                  <c:v>5</c:v>
                </c:pt>
                <c:pt idx="97">
                  <c:v>4</c:v>
                </c:pt>
                <c:pt idx="98">
                  <c:v>4.5999999999999996</c:v>
                </c:pt>
                <c:pt idx="99">
                  <c:v>4.5</c:v>
                </c:pt>
                <c:pt idx="100">
                  <c:v>4.5999999999999996</c:v>
                </c:pt>
                <c:pt idx="101">
                  <c:v>2.6</c:v>
                </c:pt>
                <c:pt idx="102">
                  <c:v>4.3</c:v>
                </c:pt>
                <c:pt idx="103">
                  <c:v>3.9</c:v>
                </c:pt>
                <c:pt idx="104">
                  <c:v>5</c:v>
                </c:pt>
                <c:pt idx="105">
                  <c:v>3.5</c:v>
                </c:pt>
                <c:pt idx="106">
                  <c:v>4.7</c:v>
                </c:pt>
                <c:pt idx="107">
                  <c:v>2.9</c:v>
                </c:pt>
                <c:pt idx="108">
                  <c:v>3.4</c:v>
                </c:pt>
                <c:pt idx="109">
                  <c:v>3.2</c:v>
                </c:pt>
                <c:pt idx="110">
                  <c:v>4.8</c:v>
                </c:pt>
                <c:pt idx="111">
                  <c:v>3.6</c:v>
                </c:pt>
                <c:pt idx="112">
                  <c:v>4.9000000000000004</c:v>
                </c:pt>
                <c:pt idx="113">
                  <c:v>4.8</c:v>
                </c:pt>
                <c:pt idx="114">
                  <c:v>3.6</c:v>
                </c:pt>
                <c:pt idx="115">
                  <c:v>3.9</c:v>
                </c:pt>
                <c:pt idx="116">
                  <c:v>1.9</c:v>
                </c:pt>
                <c:pt idx="117">
                  <c:v>3.6</c:v>
                </c:pt>
                <c:pt idx="118">
                  <c:v>4.0999999999999996</c:v>
                </c:pt>
                <c:pt idx="119">
                  <c:v>4.2</c:v>
                </c:pt>
                <c:pt idx="120">
                  <c:v>4.3</c:v>
                </c:pt>
                <c:pt idx="121">
                  <c:v>2.2000000000000002</c:v>
                </c:pt>
                <c:pt idx="122">
                  <c:v>3.3</c:v>
                </c:pt>
                <c:pt idx="123">
                  <c:v>4.8</c:v>
                </c:pt>
                <c:pt idx="124">
                  <c:v>4</c:v>
                </c:pt>
                <c:pt idx="125">
                  <c:v>1.1000000000000001</c:v>
                </c:pt>
                <c:pt idx="126">
                  <c:v>3.9</c:v>
                </c:pt>
                <c:pt idx="127">
                  <c:v>1.8</c:v>
                </c:pt>
                <c:pt idx="128">
                  <c:v>1</c:v>
                </c:pt>
                <c:pt idx="129">
                  <c:v>4.3</c:v>
                </c:pt>
                <c:pt idx="130">
                  <c:v>3.4</c:v>
                </c:pt>
                <c:pt idx="131">
                  <c:v>3.4</c:v>
                </c:pt>
                <c:pt idx="132">
                  <c:v>4.0999999999999996</c:v>
                </c:pt>
                <c:pt idx="133">
                  <c:v>4.8</c:v>
                </c:pt>
                <c:pt idx="134">
                  <c:v>2</c:v>
                </c:pt>
                <c:pt idx="135">
                  <c:v>4.5999999999999996</c:v>
                </c:pt>
                <c:pt idx="136">
                  <c:v>2.6</c:v>
                </c:pt>
                <c:pt idx="137">
                  <c:v>4.9000000000000004</c:v>
                </c:pt>
                <c:pt idx="138">
                  <c:v>2.7</c:v>
                </c:pt>
                <c:pt idx="139">
                  <c:v>4.0999999999999996</c:v>
                </c:pt>
                <c:pt idx="140">
                  <c:v>4.4000000000000004</c:v>
                </c:pt>
                <c:pt idx="141">
                  <c:v>4.8</c:v>
                </c:pt>
                <c:pt idx="142">
                  <c:v>3</c:v>
                </c:pt>
                <c:pt idx="143">
                  <c:v>3.1</c:v>
                </c:pt>
                <c:pt idx="144">
                  <c:v>2.6</c:v>
                </c:pt>
                <c:pt idx="145">
                  <c:v>4.5999999999999996</c:v>
                </c:pt>
                <c:pt idx="146">
                  <c:v>3.7</c:v>
                </c:pt>
                <c:pt idx="147">
                  <c:v>3.8</c:v>
                </c:pt>
                <c:pt idx="148">
                  <c:v>3.6</c:v>
                </c:pt>
                <c:pt idx="149">
                  <c:v>4.4000000000000004</c:v>
                </c:pt>
                <c:pt idx="150">
                  <c:v>3.2</c:v>
                </c:pt>
                <c:pt idx="151">
                  <c:v>4.7</c:v>
                </c:pt>
                <c:pt idx="152">
                  <c:v>4.8</c:v>
                </c:pt>
                <c:pt idx="153">
                  <c:v>2.7</c:v>
                </c:pt>
                <c:pt idx="154">
                  <c:v>3.8</c:v>
                </c:pt>
                <c:pt idx="155">
                  <c:v>4.3</c:v>
                </c:pt>
                <c:pt idx="156">
                  <c:v>5</c:v>
                </c:pt>
                <c:pt idx="157">
                  <c:v>4.8</c:v>
                </c:pt>
                <c:pt idx="158">
                  <c:v>4.9000000000000004</c:v>
                </c:pt>
                <c:pt idx="159">
                  <c:v>4.0999999999999996</c:v>
                </c:pt>
                <c:pt idx="160">
                  <c:v>4.4000000000000004</c:v>
                </c:pt>
                <c:pt idx="161">
                  <c:v>3.4</c:v>
                </c:pt>
                <c:pt idx="162">
                  <c:v>4</c:v>
                </c:pt>
                <c:pt idx="163">
                  <c:v>2.4</c:v>
                </c:pt>
                <c:pt idx="164">
                  <c:v>2.1</c:v>
                </c:pt>
                <c:pt idx="165">
                  <c:v>3</c:v>
                </c:pt>
                <c:pt idx="166">
                  <c:v>3.2</c:v>
                </c:pt>
                <c:pt idx="167">
                  <c:v>3.4</c:v>
                </c:pt>
                <c:pt idx="168">
                  <c:v>2.7</c:v>
                </c:pt>
                <c:pt idx="169">
                  <c:v>5</c:v>
                </c:pt>
                <c:pt idx="170">
                  <c:v>3.4</c:v>
                </c:pt>
                <c:pt idx="171">
                  <c:v>4.7</c:v>
                </c:pt>
                <c:pt idx="172">
                  <c:v>4.5</c:v>
                </c:pt>
                <c:pt idx="173">
                  <c:v>4.0999999999999996</c:v>
                </c:pt>
                <c:pt idx="174">
                  <c:v>5</c:v>
                </c:pt>
                <c:pt idx="175">
                  <c:v>4.7</c:v>
                </c:pt>
                <c:pt idx="176">
                  <c:v>4.2</c:v>
                </c:pt>
                <c:pt idx="177">
                  <c:v>3.9</c:v>
                </c:pt>
                <c:pt idx="178">
                  <c:v>3</c:v>
                </c:pt>
                <c:pt idx="179">
                  <c:v>3.6</c:v>
                </c:pt>
                <c:pt idx="180">
                  <c:v>0.7</c:v>
                </c:pt>
                <c:pt idx="181">
                  <c:v>4.7</c:v>
                </c:pt>
                <c:pt idx="182">
                  <c:v>4.5</c:v>
                </c:pt>
                <c:pt idx="183">
                  <c:v>4.3</c:v>
                </c:pt>
                <c:pt idx="184">
                  <c:v>3.4</c:v>
                </c:pt>
                <c:pt idx="185">
                  <c:v>3.6</c:v>
                </c:pt>
                <c:pt idx="186">
                  <c:v>4</c:v>
                </c:pt>
                <c:pt idx="187">
                  <c:v>4.5</c:v>
                </c:pt>
                <c:pt idx="188">
                  <c:v>3</c:v>
                </c:pt>
                <c:pt idx="189">
                  <c:v>3</c:v>
                </c:pt>
                <c:pt idx="190">
                  <c:v>1.6</c:v>
                </c:pt>
                <c:pt idx="191">
                  <c:v>3</c:v>
                </c:pt>
                <c:pt idx="192">
                  <c:v>3.7</c:v>
                </c:pt>
                <c:pt idx="193">
                  <c:v>4.9000000000000004</c:v>
                </c:pt>
                <c:pt idx="194">
                  <c:v>3.4</c:v>
                </c:pt>
                <c:pt idx="195">
                  <c:v>5</c:v>
                </c:pt>
                <c:pt idx="196">
                  <c:v>5</c:v>
                </c:pt>
                <c:pt idx="197">
                  <c:v>4</c:v>
                </c:pt>
                <c:pt idx="198">
                  <c:v>3.6</c:v>
                </c:pt>
                <c:pt idx="199">
                  <c:v>3.7</c:v>
                </c:pt>
                <c:pt idx="200">
                  <c:v>4.2</c:v>
                </c:pt>
                <c:pt idx="201">
                  <c:v>2.1</c:v>
                </c:pt>
                <c:pt idx="202">
                  <c:v>4</c:v>
                </c:pt>
                <c:pt idx="203">
                  <c:v>4.2</c:v>
                </c:pt>
                <c:pt idx="204">
                  <c:v>3.1</c:v>
                </c:pt>
                <c:pt idx="205">
                  <c:v>4.8</c:v>
                </c:pt>
                <c:pt idx="206">
                  <c:v>4.7</c:v>
                </c:pt>
                <c:pt idx="207">
                  <c:v>3.3</c:v>
                </c:pt>
                <c:pt idx="208">
                  <c:v>3.7</c:v>
                </c:pt>
                <c:pt idx="209">
                  <c:v>4.9000000000000004</c:v>
                </c:pt>
                <c:pt idx="210">
                  <c:v>3.5</c:v>
                </c:pt>
                <c:pt idx="211">
                  <c:v>4.4000000000000004</c:v>
                </c:pt>
                <c:pt idx="212">
                  <c:v>2.8</c:v>
                </c:pt>
                <c:pt idx="213">
                  <c:v>4.0999999999999996</c:v>
                </c:pt>
                <c:pt idx="214">
                  <c:v>3.5</c:v>
                </c:pt>
                <c:pt idx="215">
                  <c:v>3.8</c:v>
                </c:pt>
                <c:pt idx="216">
                  <c:v>3.9</c:v>
                </c:pt>
                <c:pt idx="217">
                  <c:v>2.5</c:v>
                </c:pt>
                <c:pt idx="218">
                  <c:v>4.9000000000000004</c:v>
                </c:pt>
                <c:pt idx="219">
                  <c:v>3.4</c:v>
                </c:pt>
                <c:pt idx="220">
                  <c:v>3.3</c:v>
                </c:pt>
                <c:pt idx="221">
                  <c:v>4.7</c:v>
                </c:pt>
                <c:pt idx="222">
                  <c:v>4</c:v>
                </c:pt>
                <c:pt idx="223">
                  <c:v>3.8</c:v>
                </c:pt>
                <c:pt idx="224">
                  <c:v>3.1</c:v>
                </c:pt>
                <c:pt idx="225">
                  <c:v>4.8</c:v>
                </c:pt>
                <c:pt idx="226">
                  <c:v>2.7</c:v>
                </c:pt>
                <c:pt idx="227">
                  <c:v>3.6</c:v>
                </c:pt>
                <c:pt idx="228">
                  <c:v>4.7</c:v>
                </c:pt>
                <c:pt idx="229">
                  <c:v>4.4000000000000004</c:v>
                </c:pt>
                <c:pt idx="230">
                  <c:v>4.3</c:v>
                </c:pt>
                <c:pt idx="231">
                  <c:v>4.9000000000000004</c:v>
                </c:pt>
                <c:pt idx="232">
                  <c:v>4.8</c:v>
                </c:pt>
                <c:pt idx="233">
                  <c:v>3.2</c:v>
                </c:pt>
                <c:pt idx="234">
                  <c:v>3.4</c:v>
                </c:pt>
                <c:pt idx="235">
                  <c:v>3.5</c:v>
                </c:pt>
                <c:pt idx="236">
                  <c:v>4.9000000000000004</c:v>
                </c:pt>
                <c:pt idx="237">
                  <c:v>4.0999999999999996</c:v>
                </c:pt>
                <c:pt idx="238">
                  <c:v>4.9000000000000004</c:v>
                </c:pt>
                <c:pt idx="239">
                  <c:v>4.3</c:v>
                </c:pt>
                <c:pt idx="240">
                  <c:v>4.0999999999999996</c:v>
                </c:pt>
                <c:pt idx="241">
                  <c:v>4.4000000000000004</c:v>
                </c:pt>
                <c:pt idx="242">
                  <c:v>4.5</c:v>
                </c:pt>
                <c:pt idx="243">
                  <c:v>3.5</c:v>
                </c:pt>
                <c:pt idx="244">
                  <c:v>4.4000000000000004</c:v>
                </c:pt>
                <c:pt idx="245">
                  <c:v>3.5</c:v>
                </c:pt>
                <c:pt idx="246">
                  <c:v>3.8</c:v>
                </c:pt>
                <c:pt idx="247">
                  <c:v>3.3</c:v>
                </c:pt>
                <c:pt idx="248">
                  <c:v>4.4000000000000004</c:v>
                </c:pt>
                <c:pt idx="249">
                  <c:v>3.9</c:v>
                </c:pt>
                <c:pt idx="250">
                  <c:v>2.7</c:v>
                </c:pt>
                <c:pt idx="251">
                  <c:v>2.9</c:v>
                </c:pt>
                <c:pt idx="252">
                  <c:v>4</c:v>
                </c:pt>
                <c:pt idx="253">
                  <c:v>4.4000000000000004</c:v>
                </c:pt>
                <c:pt idx="254">
                  <c:v>5</c:v>
                </c:pt>
                <c:pt idx="255">
                  <c:v>4.0999999999999996</c:v>
                </c:pt>
                <c:pt idx="256">
                  <c:v>4.4000000000000004</c:v>
                </c:pt>
                <c:pt idx="257">
                  <c:v>4.0999999999999996</c:v>
                </c:pt>
                <c:pt idx="258">
                  <c:v>4.5</c:v>
                </c:pt>
                <c:pt idx="259">
                  <c:v>4.2</c:v>
                </c:pt>
                <c:pt idx="260">
                  <c:v>4.5999999999999996</c:v>
                </c:pt>
                <c:pt idx="261">
                  <c:v>4.5</c:v>
                </c:pt>
                <c:pt idx="262">
                  <c:v>4.0999999999999996</c:v>
                </c:pt>
                <c:pt idx="263">
                  <c:v>4.8</c:v>
                </c:pt>
                <c:pt idx="264">
                  <c:v>3.1</c:v>
                </c:pt>
                <c:pt idx="265">
                  <c:v>4.9000000000000004</c:v>
                </c:pt>
                <c:pt idx="266">
                  <c:v>4.0999999999999996</c:v>
                </c:pt>
                <c:pt idx="267">
                  <c:v>4.4000000000000004</c:v>
                </c:pt>
                <c:pt idx="268">
                  <c:v>4.4000000000000004</c:v>
                </c:pt>
                <c:pt idx="269">
                  <c:v>3</c:v>
                </c:pt>
                <c:pt idx="270">
                  <c:v>4.4000000000000004</c:v>
                </c:pt>
                <c:pt idx="271">
                  <c:v>3.7</c:v>
                </c:pt>
                <c:pt idx="272">
                  <c:v>3.9</c:v>
                </c:pt>
                <c:pt idx="273">
                  <c:v>3.5</c:v>
                </c:pt>
                <c:pt idx="274">
                  <c:v>3.5</c:v>
                </c:pt>
                <c:pt idx="275">
                  <c:v>3.4</c:v>
                </c:pt>
                <c:pt idx="276">
                  <c:v>4.5</c:v>
                </c:pt>
                <c:pt idx="277">
                  <c:v>4.2</c:v>
                </c:pt>
                <c:pt idx="278">
                  <c:v>5</c:v>
                </c:pt>
                <c:pt idx="279">
                  <c:v>4.7</c:v>
                </c:pt>
                <c:pt idx="280">
                  <c:v>2.8</c:v>
                </c:pt>
                <c:pt idx="281">
                  <c:v>3.4</c:v>
                </c:pt>
                <c:pt idx="282">
                  <c:v>1.8</c:v>
                </c:pt>
                <c:pt idx="283">
                  <c:v>4.2</c:v>
                </c:pt>
                <c:pt idx="284">
                  <c:v>4.4000000000000004</c:v>
                </c:pt>
                <c:pt idx="285">
                  <c:v>2.7</c:v>
                </c:pt>
                <c:pt idx="286">
                  <c:v>5</c:v>
                </c:pt>
                <c:pt idx="287">
                  <c:v>3.9</c:v>
                </c:pt>
                <c:pt idx="288">
                  <c:v>3.8</c:v>
                </c:pt>
                <c:pt idx="289">
                  <c:v>4.5999999999999996</c:v>
                </c:pt>
                <c:pt idx="290">
                  <c:v>4.5999999999999996</c:v>
                </c:pt>
                <c:pt idx="291">
                  <c:v>4.5</c:v>
                </c:pt>
                <c:pt idx="292">
                  <c:v>4.2</c:v>
                </c:pt>
                <c:pt idx="293">
                  <c:v>4.5</c:v>
                </c:pt>
                <c:pt idx="294">
                  <c:v>4.0999999999999996</c:v>
                </c:pt>
                <c:pt idx="295">
                  <c:v>3.3</c:v>
                </c:pt>
                <c:pt idx="296">
                  <c:v>3.8</c:v>
                </c:pt>
                <c:pt idx="297">
                  <c:v>3</c:v>
                </c:pt>
                <c:pt idx="298">
                  <c:v>4.5999999999999996</c:v>
                </c:pt>
                <c:pt idx="299">
                  <c:v>2.9</c:v>
                </c:pt>
                <c:pt idx="300">
                  <c:v>3.2</c:v>
                </c:pt>
                <c:pt idx="301">
                  <c:v>1.5</c:v>
                </c:pt>
                <c:pt idx="302">
                  <c:v>4</c:v>
                </c:pt>
                <c:pt idx="303">
                  <c:v>3.6</c:v>
                </c:pt>
                <c:pt idx="304">
                  <c:v>3.7</c:v>
                </c:pt>
                <c:pt idx="305">
                  <c:v>4.8</c:v>
                </c:pt>
                <c:pt idx="306">
                  <c:v>1.2</c:v>
                </c:pt>
                <c:pt idx="307">
                  <c:v>4.7</c:v>
                </c:pt>
                <c:pt idx="308">
                  <c:v>4.7</c:v>
                </c:pt>
                <c:pt idx="309">
                  <c:v>4.5</c:v>
                </c:pt>
                <c:pt idx="310">
                  <c:v>3.5</c:v>
                </c:pt>
                <c:pt idx="311">
                  <c:v>4.0999999999999996</c:v>
                </c:pt>
                <c:pt idx="312">
                  <c:v>4.4000000000000004</c:v>
                </c:pt>
                <c:pt idx="313">
                  <c:v>3.6</c:v>
                </c:pt>
                <c:pt idx="314">
                  <c:v>4.0999999999999996</c:v>
                </c:pt>
                <c:pt idx="315">
                  <c:v>4.8</c:v>
                </c:pt>
                <c:pt idx="316">
                  <c:v>3.9</c:v>
                </c:pt>
                <c:pt idx="317">
                  <c:v>3.8</c:v>
                </c:pt>
                <c:pt idx="318">
                  <c:v>3.9</c:v>
                </c:pt>
                <c:pt idx="319">
                  <c:v>4.0999999999999996</c:v>
                </c:pt>
                <c:pt idx="320">
                  <c:v>2.2000000000000002</c:v>
                </c:pt>
                <c:pt idx="321">
                  <c:v>5</c:v>
                </c:pt>
                <c:pt idx="322">
                  <c:v>3.8</c:v>
                </c:pt>
                <c:pt idx="323">
                  <c:v>4.5999999999999996</c:v>
                </c:pt>
                <c:pt idx="324">
                  <c:v>4</c:v>
                </c:pt>
                <c:pt idx="325">
                  <c:v>2.8</c:v>
                </c:pt>
                <c:pt idx="326">
                  <c:v>4.4000000000000004</c:v>
                </c:pt>
                <c:pt idx="327">
                  <c:v>2.4</c:v>
                </c:pt>
                <c:pt idx="328">
                  <c:v>4</c:v>
                </c:pt>
                <c:pt idx="329">
                  <c:v>4.4000000000000004</c:v>
                </c:pt>
                <c:pt idx="330">
                  <c:v>2.9</c:v>
                </c:pt>
                <c:pt idx="331">
                  <c:v>4.8</c:v>
                </c:pt>
                <c:pt idx="332">
                  <c:v>3.7</c:v>
                </c:pt>
                <c:pt idx="333">
                  <c:v>4.8</c:v>
                </c:pt>
                <c:pt idx="334">
                  <c:v>3.2</c:v>
                </c:pt>
                <c:pt idx="335">
                  <c:v>4.9000000000000004</c:v>
                </c:pt>
                <c:pt idx="336">
                  <c:v>2.2000000000000002</c:v>
                </c:pt>
                <c:pt idx="337">
                  <c:v>5</c:v>
                </c:pt>
                <c:pt idx="338">
                  <c:v>3.3</c:v>
                </c:pt>
                <c:pt idx="339">
                  <c:v>3.7</c:v>
                </c:pt>
                <c:pt idx="340">
                  <c:v>3.7</c:v>
                </c:pt>
                <c:pt idx="341">
                  <c:v>3.6</c:v>
                </c:pt>
                <c:pt idx="342">
                  <c:v>4.7</c:v>
                </c:pt>
                <c:pt idx="343">
                  <c:v>3.1</c:v>
                </c:pt>
                <c:pt idx="344">
                  <c:v>3.3</c:v>
                </c:pt>
                <c:pt idx="345">
                  <c:v>4.5</c:v>
                </c:pt>
                <c:pt idx="346">
                  <c:v>3.9</c:v>
                </c:pt>
                <c:pt idx="347">
                  <c:v>4.9000000000000004</c:v>
                </c:pt>
                <c:pt idx="348">
                  <c:v>4.8</c:v>
                </c:pt>
                <c:pt idx="349">
                  <c:v>3.6</c:v>
                </c:pt>
                <c:pt idx="350">
                  <c:v>3.5</c:v>
                </c:pt>
                <c:pt idx="351">
                  <c:v>3.8</c:v>
                </c:pt>
                <c:pt idx="352">
                  <c:v>4.4000000000000004</c:v>
                </c:pt>
                <c:pt idx="353">
                  <c:v>3</c:v>
                </c:pt>
                <c:pt idx="354">
                  <c:v>4.5</c:v>
                </c:pt>
                <c:pt idx="355">
                  <c:v>4.5</c:v>
                </c:pt>
                <c:pt idx="356">
                  <c:v>4</c:v>
                </c:pt>
                <c:pt idx="357">
                  <c:v>3.8</c:v>
                </c:pt>
                <c:pt idx="358">
                  <c:v>3.3</c:v>
                </c:pt>
                <c:pt idx="359">
                  <c:v>4.3</c:v>
                </c:pt>
                <c:pt idx="360">
                  <c:v>4.2</c:v>
                </c:pt>
                <c:pt idx="361">
                  <c:v>4.3</c:v>
                </c:pt>
                <c:pt idx="362">
                  <c:v>4.5999999999999996</c:v>
                </c:pt>
                <c:pt idx="363">
                  <c:v>3</c:v>
                </c:pt>
                <c:pt idx="364">
                  <c:v>2.7</c:v>
                </c:pt>
                <c:pt idx="365">
                  <c:v>3.1</c:v>
                </c:pt>
                <c:pt idx="366">
                  <c:v>2.6</c:v>
                </c:pt>
                <c:pt idx="367">
                  <c:v>4.5999999999999996</c:v>
                </c:pt>
                <c:pt idx="368">
                  <c:v>4</c:v>
                </c:pt>
                <c:pt idx="369">
                  <c:v>4.5</c:v>
                </c:pt>
                <c:pt idx="370">
                  <c:v>1.9</c:v>
                </c:pt>
                <c:pt idx="371">
                  <c:v>2.6</c:v>
                </c:pt>
                <c:pt idx="372">
                  <c:v>4.3</c:v>
                </c:pt>
                <c:pt idx="373">
                  <c:v>4.4000000000000004</c:v>
                </c:pt>
                <c:pt idx="374">
                  <c:v>4.3</c:v>
                </c:pt>
                <c:pt idx="375">
                  <c:v>4.5</c:v>
                </c:pt>
                <c:pt idx="376">
                  <c:v>4.2</c:v>
                </c:pt>
                <c:pt idx="377">
                  <c:v>3.9</c:v>
                </c:pt>
                <c:pt idx="378">
                  <c:v>3.6</c:v>
                </c:pt>
                <c:pt idx="379">
                  <c:v>3.8</c:v>
                </c:pt>
                <c:pt idx="380">
                  <c:v>4.9000000000000004</c:v>
                </c:pt>
                <c:pt idx="381">
                  <c:v>4</c:v>
                </c:pt>
                <c:pt idx="382">
                  <c:v>4.0999999999999996</c:v>
                </c:pt>
                <c:pt idx="383">
                  <c:v>4.8</c:v>
                </c:pt>
                <c:pt idx="384">
                  <c:v>2.2999999999999998</c:v>
                </c:pt>
                <c:pt idx="385">
                  <c:v>4.4000000000000004</c:v>
                </c:pt>
                <c:pt idx="386">
                  <c:v>3.8</c:v>
                </c:pt>
                <c:pt idx="387">
                  <c:v>5</c:v>
                </c:pt>
                <c:pt idx="388">
                  <c:v>3.3</c:v>
                </c:pt>
                <c:pt idx="389">
                  <c:v>5</c:v>
                </c:pt>
                <c:pt idx="390">
                  <c:v>2.2999999999999998</c:v>
                </c:pt>
                <c:pt idx="391">
                  <c:v>4.8</c:v>
                </c:pt>
                <c:pt idx="392">
                  <c:v>3.7</c:v>
                </c:pt>
                <c:pt idx="393">
                  <c:v>4.2</c:v>
                </c:pt>
                <c:pt idx="394">
                  <c:v>4.8</c:v>
                </c:pt>
                <c:pt idx="395">
                  <c:v>4.7</c:v>
                </c:pt>
                <c:pt idx="396">
                  <c:v>3.9</c:v>
                </c:pt>
                <c:pt idx="397">
                  <c:v>4.3</c:v>
                </c:pt>
                <c:pt idx="398">
                  <c:v>4</c:v>
                </c:pt>
                <c:pt idx="399">
                  <c:v>4</c:v>
                </c:pt>
                <c:pt idx="400">
                  <c:v>3.2</c:v>
                </c:pt>
                <c:pt idx="401">
                  <c:v>3.8</c:v>
                </c:pt>
                <c:pt idx="402">
                  <c:v>3.4</c:v>
                </c:pt>
                <c:pt idx="403">
                  <c:v>3.2</c:v>
                </c:pt>
                <c:pt idx="404">
                  <c:v>4.7</c:v>
                </c:pt>
                <c:pt idx="405">
                  <c:v>4</c:v>
                </c:pt>
                <c:pt idx="406">
                  <c:v>4.8</c:v>
                </c:pt>
                <c:pt idx="407">
                  <c:v>3.9</c:v>
                </c:pt>
                <c:pt idx="408">
                  <c:v>4.3</c:v>
                </c:pt>
                <c:pt idx="409">
                  <c:v>4.2</c:v>
                </c:pt>
                <c:pt idx="410">
                  <c:v>4.9000000000000004</c:v>
                </c:pt>
                <c:pt idx="411">
                  <c:v>4</c:v>
                </c:pt>
                <c:pt idx="412">
                  <c:v>4.9000000000000004</c:v>
                </c:pt>
                <c:pt idx="413">
                  <c:v>3.6</c:v>
                </c:pt>
                <c:pt idx="414">
                  <c:v>4.0999999999999996</c:v>
                </c:pt>
                <c:pt idx="415">
                  <c:v>4.9000000000000004</c:v>
                </c:pt>
                <c:pt idx="416">
                  <c:v>3.9</c:v>
                </c:pt>
                <c:pt idx="417">
                  <c:v>4.0999999999999996</c:v>
                </c:pt>
                <c:pt idx="418">
                  <c:v>3.8</c:v>
                </c:pt>
                <c:pt idx="419">
                  <c:v>4.8</c:v>
                </c:pt>
                <c:pt idx="420">
                  <c:v>4.7</c:v>
                </c:pt>
                <c:pt idx="421">
                  <c:v>4.2</c:v>
                </c:pt>
                <c:pt idx="422">
                  <c:v>3.2</c:v>
                </c:pt>
                <c:pt idx="423">
                  <c:v>3.4</c:v>
                </c:pt>
                <c:pt idx="424">
                  <c:v>4.5999999999999996</c:v>
                </c:pt>
                <c:pt idx="425">
                  <c:v>1.9</c:v>
                </c:pt>
                <c:pt idx="426">
                  <c:v>3.3</c:v>
                </c:pt>
                <c:pt idx="427">
                  <c:v>3.1</c:v>
                </c:pt>
                <c:pt idx="428">
                  <c:v>4.8</c:v>
                </c:pt>
                <c:pt idx="429">
                  <c:v>3.3</c:v>
                </c:pt>
                <c:pt idx="430">
                  <c:v>2.9</c:v>
                </c:pt>
                <c:pt idx="431">
                  <c:v>2.4</c:v>
                </c:pt>
                <c:pt idx="432">
                  <c:v>4.5999999999999996</c:v>
                </c:pt>
                <c:pt idx="433">
                  <c:v>4.8</c:v>
                </c:pt>
                <c:pt idx="434">
                  <c:v>4.8</c:v>
                </c:pt>
                <c:pt idx="435">
                  <c:v>3.6</c:v>
                </c:pt>
                <c:pt idx="436">
                  <c:v>4.8</c:v>
                </c:pt>
                <c:pt idx="437">
                  <c:v>4.2</c:v>
                </c:pt>
                <c:pt idx="438">
                  <c:v>2.6</c:v>
                </c:pt>
                <c:pt idx="439">
                  <c:v>3.7</c:v>
                </c:pt>
                <c:pt idx="440">
                  <c:v>4.8</c:v>
                </c:pt>
                <c:pt idx="441">
                  <c:v>4.7</c:v>
                </c:pt>
                <c:pt idx="442">
                  <c:v>4.0999999999999996</c:v>
                </c:pt>
                <c:pt idx="443">
                  <c:v>3.2</c:v>
                </c:pt>
                <c:pt idx="444">
                  <c:v>4.3</c:v>
                </c:pt>
                <c:pt idx="445">
                  <c:v>0.7</c:v>
                </c:pt>
                <c:pt idx="446">
                  <c:v>3.7</c:v>
                </c:pt>
                <c:pt idx="447">
                  <c:v>3.9</c:v>
                </c:pt>
                <c:pt idx="448">
                  <c:v>4.5</c:v>
                </c:pt>
                <c:pt idx="449">
                  <c:v>2.8</c:v>
                </c:pt>
                <c:pt idx="450">
                  <c:v>4.9000000000000004</c:v>
                </c:pt>
                <c:pt idx="451">
                  <c:v>4.2</c:v>
                </c:pt>
                <c:pt idx="452">
                  <c:v>4.4000000000000004</c:v>
                </c:pt>
                <c:pt idx="453">
                  <c:v>3.5</c:v>
                </c:pt>
                <c:pt idx="454">
                  <c:v>4.7</c:v>
                </c:pt>
                <c:pt idx="455">
                  <c:v>4.9000000000000004</c:v>
                </c:pt>
                <c:pt idx="456">
                  <c:v>4.5</c:v>
                </c:pt>
                <c:pt idx="457">
                  <c:v>4.9000000000000004</c:v>
                </c:pt>
                <c:pt idx="458">
                  <c:v>3.6</c:v>
                </c:pt>
                <c:pt idx="459">
                  <c:v>3.8</c:v>
                </c:pt>
                <c:pt idx="460">
                  <c:v>3.5</c:v>
                </c:pt>
                <c:pt idx="461">
                  <c:v>4.8</c:v>
                </c:pt>
                <c:pt idx="462">
                  <c:v>4.5</c:v>
                </c:pt>
                <c:pt idx="463">
                  <c:v>3.3</c:v>
                </c:pt>
                <c:pt idx="464">
                  <c:v>3.2</c:v>
                </c:pt>
                <c:pt idx="465">
                  <c:v>4.9000000000000004</c:v>
                </c:pt>
                <c:pt idx="466">
                  <c:v>4.8</c:v>
                </c:pt>
                <c:pt idx="467">
                  <c:v>1.3</c:v>
                </c:pt>
                <c:pt idx="468">
                  <c:v>3.1</c:v>
                </c:pt>
                <c:pt idx="469">
                  <c:v>3.4</c:v>
                </c:pt>
                <c:pt idx="470">
                  <c:v>4.5999999999999996</c:v>
                </c:pt>
                <c:pt idx="471">
                  <c:v>4.3</c:v>
                </c:pt>
                <c:pt idx="472">
                  <c:v>2.7</c:v>
                </c:pt>
                <c:pt idx="473">
                  <c:v>4.2</c:v>
                </c:pt>
                <c:pt idx="474">
                  <c:v>4.9000000000000004</c:v>
                </c:pt>
                <c:pt idx="475">
                  <c:v>3.2</c:v>
                </c:pt>
                <c:pt idx="476">
                  <c:v>4.7</c:v>
                </c:pt>
                <c:pt idx="477">
                  <c:v>4.3</c:v>
                </c:pt>
                <c:pt idx="478">
                  <c:v>4.3</c:v>
                </c:pt>
                <c:pt idx="479">
                  <c:v>3.7</c:v>
                </c:pt>
                <c:pt idx="480">
                  <c:v>4.7</c:v>
                </c:pt>
                <c:pt idx="481">
                  <c:v>4.9000000000000004</c:v>
                </c:pt>
                <c:pt idx="482">
                  <c:v>3.9</c:v>
                </c:pt>
                <c:pt idx="483">
                  <c:v>4.5</c:v>
                </c:pt>
                <c:pt idx="484">
                  <c:v>4.5999999999999996</c:v>
                </c:pt>
                <c:pt idx="485">
                  <c:v>3.3</c:v>
                </c:pt>
                <c:pt idx="486">
                  <c:v>3.8</c:v>
                </c:pt>
                <c:pt idx="487">
                  <c:v>4.7</c:v>
                </c:pt>
                <c:pt idx="488">
                  <c:v>4</c:v>
                </c:pt>
                <c:pt idx="489">
                  <c:v>4.7</c:v>
                </c:pt>
                <c:pt idx="490">
                  <c:v>2.5</c:v>
                </c:pt>
                <c:pt idx="491">
                  <c:v>3.6</c:v>
                </c:pt>
                <c:pt idx="492">
                  <c:v>3.7</c:v>
                </c:pt>
                <c:pt idx="493">
                  <c:v>3.9</c:v>
                </c:pt>
                <c:pt idx="494">
                  <c:v>3.7</c:v>
                </c:pt>
                <c:pt idx="495">
                  <c:v>4.3</c:v>
                </c:pt>
                <c:pt idx="496">
                  <c:v>2.9</c:v>
                </c:pt>
                <c:pt idx="497">
                  <c:v>4.3</c:v>
                </c:pt>
                <c:pt idx="498">
                  <c:v>4.9000000000000004</c:v>
                </c:pt>
                <c:pt idx="499">
                  <c:v>4</c:v>
                </c:pt>
                <c:pt idx="500">
                  <c:v>4</c:v>
                </c:pt>
                <c:pt idx="501">
                  <c:v>3.4</c:v>
                </c:pt>
                <c:pt idx="502">
                  <c:v>3.9</c:v>
                </c:pt>
                <c:pt idx="503">
                  <c:v>2.1</c:v>
                </c:pt>
                <c:pt idx="504">
                  <c:v>4.9000000000000004</c:v>
                </c:pt>
                <c:pt idx="505">
                  <c:v>3.4</c:v>
                </c:pt>
                <c:pt idx="506">
                  <c:v>5</c:v>
                </c:pt>
                <c:pt idx="507">
                  <c:v>4.5</c:v>
                </c:pt>
                <c:pt idx="508">
                  <c:v>2.6</c:v>
                </c:pt>
                <c:pt idx="509">
                  <c:v>4.2</c:v>
                </c:pt>
                <c:pt idx="510">
                  <c:v>4.5</c:v>
                </c:pt>
                <c:pt idx="511">
                  <c:v>4.4000000000000004</c:v>
                </c:pt>
                <c:pt idx="512">
                  <c:v>3.5</c:v>
                </c:pt>
                <c:pt idx="513">
                  <c:v>3</c:v>
                </c:pt>
                <c:pt idx="514">
                  <c:v>4.7</c:v>
                </c:pt>
                <c:pt idx="515">
                  <c:v>3</c:v>
                </c:pt>
                <c:pt idx="516">
                  <c:v>3.6</c:v>
                </c:pt>
                <c:pt idx="517">
                  <c:v>4.0999999999999996</c:v>
                </c:pt>
                <c:pt idx="518">
                  <c:v>3.7</c:v>
                </c:pt>
                <c:pt idx="519">
                  <c:v>4.5</c:v>
                </c:pt>
                <c:pt idx="520">
                  <c:v>4.5999999999999996</c:v>
                </c:pt>
                <c:pt idx="521">
                  <c:v>4.3</c:v>
                </c:pt>
                <c:pt idx="522">
                  <c:v>4.8</c:v>
                </c:pt>
                <c:pt idx="523">
                  <c:v>4.7</c:v>
                </c:pt>
                <c:pt idx="524">
                  <c:v>2.2000000000000002</c:v>
                </c:pt>
                <c:pt idx="525">
                  <c:v>4.4000000000000004</c:v>
                </c:pt>
                <c:pt idx="526">
                  <c:v>4.0999999999999996</c:v>
                </c:pt>
                <c:pt idx="527">
                  <c:v>4.0999999999999996</c:v>
                </c:pt>
                <c:pt idx="528">
                  <c:v>4.4000000000000004</c:v>
                </c:pt>
                <c:pt idx="529">
                  <c:v>3.7</c:v>
                </c:pt>
                <c:pt idx="530">
                  <c:v>3.8</c:v>
                </c:pt>
                <c:pt idx="531">
                  <c:v>4.3</c:v>
                </c:pt>
                <c:pt idx="532">
                  <c:v>3.5</c:v>
                </c:pt>
                <c:pt idx="533">
                  <c:v>4.0999999999999996</c:v>
                </c:pt>
                <c:pt idx="534">
                  <c:v>4.2</c:v>
                </c:pt>
                <c:pt idx="535">
                  <c:v>4.5</c:v>
                </c:pt>
                <c:pt idx="536">
                  <c:v>3.8</c:v>
                </c:pt>
                <c:pt idx="537">
                  <c:v>4.0999999999999996</c:v>
                </c:pt>
                <c:pt idx="538">
                  <c:v>4.4000000000000004</c:v>
                </c:pt>
                <c:pt idx="539">
                  <c:v>4.5999999999999996</c:v>
                </c:pt>
                <c:pt idx="540">
                  <c:v>3.4</c:v>
                </c:pt>
                <c:pt idx="541">
                  <c:v>4.5999999999999996</c:v>
                </c:pt>
                <c:pt idx="542">
                  <c:v>3.9</c:v>
                </c:pt>
                <c:pt idx="543">
                  <c:v>4</c:v>
                </c:pt>
                <c:pt idx="544">
                  <c:v>3.4</c:v>
                </c:pt>
                <c:pt idx="545">
                  <c:v>3.2</c:v>
                </c:pt>
                <c:pt idx="546">
                  <c:v>3.9</c:v>
                </c:pt>
                <c:pt idx="547">
                  <c:v>5</c:v>
                </c:pt>
                <c:pt idx="548">
                  <c:v>3.5</c:v>
                </c:pt>
                <c:pt idx="549">
                  <c:v>3.8</c:v>
                </c:pt>
                <c:pt idx="550">
                  <c:v>4.8</c:v>
                </c:pt>
                <c:pt idx="551">
                  <c:v>4.2</c:v>
                </c:pt>
                <c:pt idx="552">
                  <c:v>3.7</c:v>
                </c:pt>
                <c:pt idx="553">
                  <c:v>4.8</c:v>
                </c:pt>
                <c:pt idx="554">
                  <c:v>4.8</c:v>
                </c:pt>
                <c:pt idx="555">
                  <c:v>2.9</c:v>
                </c:pt>
                <c:pt idx="556">
                  <c:v>3.5</c:v>
                </c:pt>
                <c:pt idx="557">
                  <c:v>0.9</c:v>
                </c:pt>
                <c:pt idx="558">
                  <c:v>3.4</c:v>
                </c:pt>
                <c:pt idx="559">
                  <c:v>2.7</c:v>
                </c:pt>
                <c:pt idx="560">
                  <c:v>4.7</c:v>
                </c:pt>
                <c:pt idx="561">
                  <c:v>3</c:v>
                </c:pt>
                <c:pt idx="562">
                  <c:v>4.2</c:v>
                </c:pt>
                <c:pt idx="563">
                  <c:v>4.8</c:v>
                </c:pt>
                <c:pt idx="564">
                  <c:v>4.0999999999999996</c:v>
                </c:pt>
                <c:pt idx="565">
                  <c:v>2.7</c:v>
                </c:pt>
                <c:pt idx="566">
                  <c:v>2.9</c:v>
                </c:pt>
                <c:pt idx="567">
                  <c:v>5</c:v>
                </c:pt>
                <c:pt idx="568">
                  <c:v>4.5999999999999996</c:v>
                </c:pt>
                <c:pt idx="569">
                  <c:v>3</c:v>
                </c:pt>
                <c:pt idx="570">
                  <c:v>4.5999999999999996</c:v>
                </c:pt>
                <c:pt idx="571">
                  <c:v>4.5</c:v>
                </c:pt>
                <c:pt idx="572">
                  <c:v>3.7</c:v>
                </c:pt>
                <c:pt idx="573">
                  <c:v>2.4</c:v>
                </c:pt>
                <c:pt idx="574">
                  <c:v>4.3</c:v>
                </c:pt>
                <c:pt idx="575">
                  <c:v>3.9</c:v>
                </c:pt>
                <c:pt idx="576">
                  <c:v>4.5</c:v>
                </c:pt>
                <c:pt idx="577">
                  <c:v>5</c:v>
                </c:pt>
                <c:pt idx="578">
                  <c:v>1.6</c:v>
                </c:pt>
                <c:pt idx="579">
                  <c:v>4.3</c:v>
                </c:pt>
                <c:pt idx="580">
                  <c:v>3.5</c:v>
                </c:pt>
                <c:pt idx="581">
                  <c:v>3.1</c:v>
                </c:pt>
                <c:pt idx="582">
                  <c:v>2.9</c:v>
                </c:pt>
                <c:pt idx="583">
                  <c:v>3.2</c:v>
                </c:pt>
                <c:pt idx="584">
                  <c:v>3.2</c:v>
                </c:pt>
                <c:pt idx="585">
                  <c:v>4.5</c:v>
                </c:pt>
                <c:pt idx="586">
                  <c:v>3.9</c:v>
                </c:pt>
                <c:pt idx="587">
                  <c:v>4.2</c:v>
                </c:pt>
                <c:pt idx="588">
                  <c:v>1.8</c:v>
                </c:pt>
                <c:pt idx="589">
                  <c:v>4.2</c:v>
                </c:pt>
                <c:pt idx="590">
                  <c:v>3.1</c:v>
                </c:pt>
                <c:pt idx="591">
                  <c:v>4.3</c:v>
                </c:pt>
                <c:pt idx="592">
                  <c:v>4.4000000000000004</c:v>
                </c:pt>
                <c:pt idx="593">
                  <c:v>4.4000000000000004</c:v>
                </c:pt>
                <c:pt idx="594">
                  <c:v>2.4</c:v>
                </c:pt>
                <c:pt idx="595">
                  <c:v>3.5</c:v>
                </c:pt>
                <c:pt idx="596">
                  <c:v>3.1</c:v>
                </c:pt>
                <c:pt idx="597">
                  <c:v>2.2999999999999998</c:v>
                </c:pt>
                <c:pt idx="598">
                  <c:v>2.8</c:v>
                </c:pt>
                <c:pt idx="599">
                  <c:v>4.5</c:v>
                </c:pt>
                <c:pt idx="600">
                  <c:v>4.5</c:v>
                </c:pt>
                <c:pt idx="601">
                  <c:v>4.5</c:v>
                </c:pt>
                <c:pt idx="602">
                  <c:v>4.8</c:v>
                </c:pt>
                <c:pt idx="603">
                  <c:v>4.5999999999999996</c:v>
                </c:pt>
                <c:pt idx="604">
                  <c:v>4.5</c:v>
                </c:pt>
                <c:pt idx="605">
                  <c:v>5</c:v>
                </c:pt>
                <c:pt idx="606">
                  <c:v>4.8</c:v>
                </c:pt>
                <c:pt idx="607">
                  <c:v>3.5</c:v>
                </c:pt>
                <c:pt idx="608">
                  <c:v>3.4</c:v>
                </c:pt>
                <c:pt idx="609">
                  <c:v>3.3</c:v>
                </c:pt>
                <c:pt idx="610">
                  <c:v>4.9000000000000004</c:v>
                </c:pt>
                <c:pt idx="611">
                  <c:v>4.5</c:v>
                </c:pt>
                <c:pt idx="612">
                  <c:v>4.8</c:v>
                </c:pt>
                <c:pt idx="613">
                  <c:v>4.8</c:v>
                </c:pt>
                <c:pt idx="614">
                  <c:v>3.9</c:v>
                </c:pt>
                <c:pt idx="615">
                  <c:v>3.9</c:v>
                </c:pt>
                <c:pt idx="616">
                  <c:v>3.7</c:v>
                </c:pt>
                <c:pt idx="617">
                  <c:v>4.8</c:v>
                </c:pt>
                <c:pt idx="618">
                  <c:v>3.5</c:v>
                </c:pt>
                <c:pt idx="619">
                  <c:v>4.2</c:v>
                </c:pt>
                <c:pt idx="620">
                  <c:v>4.9000000000000004</c:v>
                </c:pt>
                <c:pt idx="621">
                  <c:v>4.5999999999999996</c:v>
                </c:pt>
                <c:pt idx="622">
                  <c:v>2.6</c:v>
                </c:pt>
                <c:pt idx="623">
                  <c:v>2.7</c:v>
                </c:pt>
                <c:pt idx="624">
                  <c:v>4.7</c:v>
                </c:pt>
                <c:pt idx="625">
                  <c:v>3.9</c:v>
                </c:pt>
                <c:pt idx="626">
                  <c:v>2.8</c:v>
                </c:pt>
                <c:pt idx="627">
                  <c:v>3.1</c:v>
                </c:pt>
                <c:pt idx="628">
                  <c:v>4.2</c:v>
                </c:pt>
                <c:pt idx="629">
                  <c:v>4.3</c:v>
                </c:pt>
                <c:pt idx="630">
                  <c:v>2.7</c:v>
                </c:pt>
                <c:pt idx="631">
                  <c:v>2.2999999999999998</c:v>
                </c:pt>
                <c:pt idx="632">
                  <c:v>2.2999999999999998</c:v>
                </c:pt>
                <c:pt idx="633">
                  <c:v>2.9</c:v>
                </c:pt>
                <c:pt idx="634">
                  <c:v>4.2</c:v>
                </c:pt>
                <c:pt idx="635">
                  <c:v>4.5999999999999996</c:v>
                </c:pt>
                <c:pt idx="636">
                  <c:v>4.5</c:v>
                </c:pt>
                <c:pt idx="637">
                  <c:v>3.7</c:v>
                </c:pt>
                <c:pt idx="638">
                  <c:v>4.0999999999999996</c:v>
                </c:pt>
                <c:pt idx="639">
                  <c:v>3.4</c:v>
                </c:pt>
                <c:pt idx="640">
                  <c:v>3.3</c:v>
                </c:pt>
                <c:pt idx="641">
                  <c:v>4.4000000000000004</c:v>
                </c:pt>
                <c:pt idx="642">
                  <c:v>4.2</c:v>
                </c:pt>
                <c:pt idx="643">
                  <c:v>3.4</c:v>
                </c:pt>
                <c:pt idx="644">
                  <c:v>4.4000000000000004</c:v>
                </c:pt>
                <c:pt idx="645">
                  <c:v>2.7</c:v>
                </c:pt>
                <c:pt idx="646">
                  <c:v>4.5</c:v>
                </c:pt>
                <c:pt idx="647">
                  <c:v>1.7</c:v>
                </c:pt>
                <c:pt idx="648">
                  <c:v>4.7</c:v>
                </c:pt>
                <c:pt idx="649">
                  <c:v>4.4000000000000004</c:v>
                </c:pt>
                <c:pt idx="650">
                  <c:v>3.5</c:v>
                </c:pt>
                <c:pt idx="651">
                  <c:v>4.7</c:v>
                </c:pt>
                <c:pt idx="652">
                  <c:v>4.3</c:v>
                </c:pt>
                <c:pt idx="653">
                  <c:v>4.0999999999999996</c:v>
                </c:pt>
                <c:pt idx="654">
                  <c:v>2.9</c:v>
                </c:pt>
                <c:pt idx="655">
                  <c:v>3.4</c:v>
                </c:pt>
                <c:pt idx="656">
                  <c:v>4.5999999999999996</c:v>
                </c:pt>
                <c:pt idx="657">
                  <c:v>4.9000000000000004</c:v>
                </c:pt>
                <c:pt idx="658">
                  <c:v>3.6</c:v>
                </c:pt>
                <c:pt idx="659">
                  <c:v>3.5</c:v>
                </c:pt>
                <c:pt idx="660">
                  <c:v>3.3</c:v>
                </c:pt>
                <c:pt idx="661">
                  <c:v>3.8</c:v>
                </c:pt>
                <c:pt idx="662">
                  <c:v>2.5</c:v>
                </c:pt>
                <c:pt idx="663">
                  <c:v>4.5999999999999996</c:v>
                </c:pt>
                <c:pt idx="664">
                  <c:v>4.7</c:v>
                </c:pt>
                <c:pt idx="665">
                  <c:v>3.6</c:v>
                </c:pt>
                <c:pt idx="666">
                  <c:v>4.3</c:v>
                </c:pt>
                <c:pt idx="667">
                  <c:v>4.7</c:v>
                </c:pt>
                <c:pt idx="668">
                  <c:v>4.9000000000000004</c:v>
                </c:pt>
                <c:pt idx="669">
                  <c:v>4.9000000000000004</c:v>
                </c:pt>
                <c:pt idx="670">
                  <c:v>1.9</c:v>
                </c:pt>
                <c:pt idx="671">
                  <c:v>4.5</c:v>
                </c:pt>
                <c:pt idx="672">
                  <c:v>4.9000000000000004</c:v>
                </c:pt>
                <c:pt idx="673">
                  <c:v>4.5</c:v>
                </c:pt>
                <c:pt idx="674">
                  <c:v>2.7</c:v>
                </c:pt>
                <c:pt idx="675">
                  <c:v>2.1</c:v>
                </c:pt>
                <c:pt idx="676">
                  <c:v>4.2</c:v>
                </c:pt>
                <c:pt idx="677">
                  <c:v>4.7</c:v>
                </c:pt>
                <c:pt idx="678">
                  <c:v>3.9</c:v>
                </c:pt>
                <c:pt idx="679">
                  <c:v>4.0999999999999996</c:v>
                </c:pt>
                <c:pt idx="680">
                  <c:v>3.8</c:v>
                </c:pt>
                <c:pt idx="681">
                  <c:v>1.8</c:v>
                </c:pt>
                <c:pt idx="682">
                  <c:v>4.0999999999999996</c:v>
                </c:pt>
                <c:pt idx="683">
                  <c:v>4.4000000000000004</c:v>
                </c:pt>
                <c:pt idx="684">
                  <c:v>4.0999999999999996</c:v>
                </c:pt>
                <c:pt idx="685">
                  <c:v>3.8</c:v>
                </c:pt>
                <c:pt idx="686">
                  <c:v>4.3</c:v>
                </c:pt>
                <c:pt idx="687">
                  <c:v>4.5</c:v>
                </c:pt>
                <c:pt idx="688">
                  <c:v>3.4</c:v>
                </c:pt>
                <c:pt idx="689">
                  <c:v>4.8</c:v>
                </c:pt>
                <c:pt idx="690">
                  <c:v>4.9000000000000004</c:v>
                </c:pt>
                <c:pt idx="691">
                  <c:v>4.7</c:v>
                </c:pt>
                <c:pt idx="692">
                  <c:v>3.3</c:v>
                </c:pt>
                <c:pt idx="693">
                  <c:v>2.8</c:v>
                </c:pt>
                <c:pt idx="694">
                  <c:v>4.0999999999999996</c:v>
                </c:pt>
                <c:pt idx="695">
                  <c:v>3.5</c:v>
                </c:pt>
                <c:pt idx="696">
                  <c:v>2.2999999999999998</c:v>
                </c:pt>
                <c:pt idx="697">
                  <c:v>4.0999999999999996</c:v>
                </c:pt>
                <c:pt idx="698">
                  <c:v>4.3</c:v>
                </c:pt>
                <c:pt idx="699">
                  <c:v>4.9000000000000004</c:v>
                </c:pt>
                <c:pt idx="700">
                  <c:v>4</c:v>
                </c:pt>
                <c:pt idx="701">
                  <c:v>4.7</c:v>
                </c:pt>
                <c:pt idx="702">
                  <c:v>3.4</c:v>
                </c:pt>
                <c:pt idx="703">
                  <c:v>4</c:v>
                </c:pt>
                <c:pt idx="704">
                  <c:v>4.5</c:v>
                </c:pt>
                <c:pt idx="705">
                  <c:v>4.5</c:v>
                </c:pt>
                <c:pt idx="706">
                  <c:v>4.9000000000000004</c:v>
                </c:pt>
                <c:pt idx="707">
                  <c:v>4.4000000000000004</c:v>
                </c:pt>
                <c:pt idx="708">
                  <c:v>2.9</c:v>
                </c:pt>
                <c:pt idx="709">
                  <c:v>4.4000000000000004</c:v>
                </c:pt>
                <c:pt idx="710">
                  <c:v>4.3</c:v>
                </c:pt>
                <c:pt idx="711">
                  <c:v>4.7</c:v>
                </c:pt>
                <c:pt idx="712">
                  <c:v>3.2</c:v>
                </c:pt>
                <c:pt idx="713">
                  <c:v>2.2999999999999998</c:v>
                </c:pt>
                <c:pt idx="714">
                  <c:v>3.6</c:v>
                </c:pt>
                <c:pt idx="715">
                  <c:v>4.5999999999999996</c:v>
                </c:pt>
                <c:pt idx="716">
                  <c:v>4</c:v>
                </c:pt>
                <c:pt idx="717">
                  <c:v>4.7</c:v>
                </c:pt>
                <c:pt idx="718">
                  <c:v>4.3</c:v>
                </c:pt>
                <c:pt idx="719">
                  <c:v>2.8</c:v>
                </c:pt>
                <c:pt idx="720">
                  <c:v>4</c:v>
                </c:pt>
                <c:pt idx="721">
                  <c:v>3.9</c:v>
                </c:pt>
                <c:pt idx="722">
                  <c:v>3.1</c:v>
                </c:pt>
                <c:pt idx="723">
                  <c:v>2.7</c:v>
                </c:pt>
                <c:pt idx="724">
                  <c:v>4.7</c:v>
                </c:pt>
                <c:pt idx="725">
                  <c:v>4.3</c:v>
                </c:pt>
                <c:pt idx="726">
                  <c:v>3.8</c:v>
                </c:pt>
                <c:pt idx="727">
                  <c:v>4.4000000000000004</c:v>
                </c:pt>
                <c:pt idx="728">
                  <c:v>3.9</c:v>
                </c:pt>
                <c:pt idx="729">
                  <c:v>4.9000000000000004</c:v>
                </c:pt>
                <c:pt idx="730">
                  <c:v>4.2</c:v>
                </c:pt>
                <c:pt idx="731">
                  <c:v>4</c:v>
                </c:pt>
                <c:pt idx="732">
                  <c:v>4.2</c:v>
                </c:pt>
                <c:pt idx="733">
                  <c:v>4.8</c:v>
                </c:pt>
                <c:pt idx="734">
                  <c:v>1.1000000000000001</c:v>
                </c:pt>
                <c:pt idx="735">
                  <c:v>4</c:v>
                </c:pt>
                <c:pt idx="736">
                  <c:v>4.8</c:v>
                </c:pt>
                <c:pt idx="737">
                  <c:v>4.2</c:v>
                </c:pt>
                <c:pt idx="738">
                  <c:v>4.5999999999999996</c:v>
                </c:pt>
                <c:pt idx="739">
                  <c:v>4</c:v>
                </c:pt>
                <c:pt idx="740">
                  <c:v>3.9</c:v>
                </c:pt>
                <c:pt idx="741">
                  <c:v>2.8</c:v>
                </c:pt>
                <c:pt idx="742">
                  <c:v>4.7</c:v>
                </c:pt>
                <c:pt idx="743">
                  <c:v>4.2</c:v>
                </c:pt>
                <c:pt idx="744">
                  <c:v>3.9</c:v>
                </c:pt>
                <c:pt idx="745">
                  <c:v>4.5999999999999996</c:v>
                </c:pt>
                <c:pt idx="746">
                  <c:v>4.3</c:v>
                </c:pt>
                <c:pt idx="747">
                  <c:v>3.6</c:v>
                </c:pt>
                <c:pt idx="748">
                  <c:v>4.9000000000000004</c:v>
                </c:pt>
                <c:pt idx="749">
                  <c:v>2.4</c:v>
                </c:pt>
                <c:pt idx="750">
                  <c:v>4.2</c:v>
                </c:pt>
                <c:pt idx="751">
                  <c:v>3.9</c:v>
                </c:pt>
                <c:pt idx="752">
                  <c:v>4.2</c:v>
                </c:pt>
                <c:pt idx="753">
                  <c:v>3.9</c:v>
                </c:pt>
                <c:pt idx="754">
                  <c:v>4.5</c:v>
                </c:pt>
                <c:pt idx="755">
                  <c:v>3.8</c:v>
                </c:pt>
                <c:pt idx="756">
                  <c:v>3.9</c:v>
                </c:pt>
                <c:pt idx="757">
                  <c:v>4.7</c:v>
                </c:pt>
                <c:pt idx="758">
                  <c:v>3.2</c:v>
                </c:pt>
                <c:pt idx="759">
                  <c:v>5</c:v>
                </c:pt>
                <c:pt idx="760">
                  <c:v>3.7</c:v>
                </c:pt>
                <c:pt idx="761">
                  <c:v>3.9</c:v>
                </c:pt>
                <c:pt idx="762">
                  <c:v>3.1</c:v>
                </c:pt>
                <c:pt idx="763">
                  <c:v>2</c:v>
                </c:pt>
                <c:pt idx="764">
                  <c:v>4.5999999999999996</c:v>
                </c:pt>
                <c:pt idx="765">
                  <c:v>3.7</c:v>
                </c:pt>
                <c:pt idx="766">
                  <c:v>4.4000000000000004</c:v>
                </c:pt>
                <c:pt idx="767">
                  <c:v>2.1</c:v>
                </c:pt>
                <c:pt idx="768">
                  <c:v>2.2000000000000002</c:v>
                </c:pt>
                <c:pt idx="769">
                  <c:v>3.4</c:v>
                </c:pt>
                <c:pt idx="770">
                  <c:v>2.7</c:v>
                </c:pt>
                <c:pt idx="771">
                  <c:v>3.7</c:v>
                </c:pt>
                <c:pt idx="772">
                  <c:v>3.1</c:v>
                </c:pt>
                <c:pt idx="773">
                  <c:v>4.0999999999999996</c:v>
                </c:pt>
                <c:pt idx="774">
                  <c:v>4.8</c:v>
                </c:pt>
                <c:pt idx="775">
                  <c:v>4</c:v>
                </c:pt>
                <c:pt idx="776">
                  <c:v>3</c:v>
                </c:pt>
                <c:pt idx="777">
                  <c:v>4.8</c:v>
                </c:pt>
                <c:pt idx="778">
                  <c:v>4.0999999999999996</c:v>
                </c:pt>
                <c:pt idx="779">
                  <c:v>4.2</c:v>
                </c:pt>
                <c:pt idx="780">
                  <c:v>3.3</c:v>
                </c:pt>
                <c:pt idx="781">
                  <c:v>4.7</c:v>
                </c:pt>
                <c:pt idx="782">
                  <c:v>3.7</c:v>
                </c:pt>
                <c:pt idx="783">
                  <c:v>4.7</c:v>
                </c:pt>
                <c:pt idx="784">
                  <c:v>4.5999999999999996</c:v>
                </c:pt>
                <c:pt idx="785">
                  <c:v>4.8</c:v>
                </c:pt>
                <c:pt idx="786">
                  <c:v>2</c:v>
                </c:pt>
                <c:pt idx="787">
                  <c:v>3.9</c:v>
                </c:pt>
                <c:pt idx="788">
                  <c:v>3</c:v>
                </c:pt>
                <c:pt idx="789">
                  <c:v>4.5999999999999996</c:v>
                </c:pt>
                <c:pt idx="790">
                  <c:v>3.8</c:v>
                </c:pt>
                <c:pt idx="791">
                  <c:v>4.4000000000000004</c:v>
                </c:pt>
                <c:pt idx="792">
                  <c:v>2.4</c:v>
                </c:pt>
                <c:pt idx="793">
                  <c:v>4.5</c:v>
                </c:pt>
                <c:pt idx="794">
                  <c:v>4.5</c:v>
                </c:pt>
                <c:pt idx="795">
                  <c:v>2.7</c:v>
                </c:pt>
                <c:pt idx="796">
                  <c:v>4.9000000000000004</c:v>
                </c:pt>
                <c:pt idx="797">
                  <c:v>3.7</c:v>
                </c:pt>
                <c:pt idx="798">
                  <c:v>3.9</c:v>
                </c:pt>
                <c:pt idx="799">
                  <c:v>3.5</c:v>
                </c:pt>
                <c:pt idx="800">
                  <c:v>2.7</c:v>
                </c:pt>
                <c:pt idx="801">
                  <c:v>3.9</c:v>
                </c:pt>
                <c:pt idx="802">
                  <c:v>3.4</c:v>
                </c:pt>
                <c:pt idx="803">
                  <c:v>5</c:v>
                </c:pt>
                <c:pt idx="804">
                  <c:v>4.4000000000000004</c:v>
                </c:pt>
                <c:pt idx="805">
                  <c:v>4.3</c:v>
                </c:pt>
                <c:pt idx="806">
                  <c:v>4.7</c:v>
                </c:pt>
                <c:pt idx="807">
                  <c:v>4.0999999999999996</c:v>
                </c:pt>
                <c:pt idx="808">
                  <c:v>4.8</c:v>
                </c:pt>
                <c:pt idx="809">
                  <c:v>4.2</c:v>
                </c:pt>
                <c:pt idx="810">
                  <c:v>3.4</c:v>
                </c:pt>
                <c:pt idx="811">
                  <c:v>3.3</c:v>
                </c:pt>
                <c:pt idx="812">
                  <c:v>3.8</c:v>
                </c:pt>
                <c:pt idx="813">
                  <c:v>3.9</c:v>
                </c:pt>
                <c:pt idx="814">
                  <c:v>2.5</c:v>
                </c:pt>
                <c:pt idx="815">
                  <c:v>4.9000000000000004</c:v>
                </c:pt>
                <c:pt idx="816">
                  <c:v>4.8</c:v>
                </c:pt>
                <c:pt idx="817">
                  <c:v>4.7</c:v>
                </c:pt>
                <c:pt idx="818">
                  <c:v>4.7</c:v>
                </c:pt>
                <c:pt idx="819">
                  <c:v>3.3</c:v>
                </c:pt>
                <c:pt idx="820">
                  <c:v>4.7</c:v>
                </c:pt>
                <c:pt idx="821">
                  <c:v>4.5</c:v>
                </c:pt>
                <c:pt idx="822">
                  <c:v>4.5999999999999996</c:v>
                </c:pt>
                <c:pt idx="823">
                  <c:v>4.8</c:v>
                </c:pt>
                <c:pt idx="824">
                  <c:v>4.3</c:v>
                </c:pt>
                <c:pt idx="825">
                  <c:v>4.7</c:v>
                </c:pt>
                <c:pt idx="826">
                  <c:v>4.8</c:v>
                </c:pt>
                <c:pt idx="827">
                  <c:v>4.7</c:v>
                </c:pt>
                <c:pt idx="828">
                  <c:v>4.3</c:v>
                </c:pt>
                <c:pt idx="829">
                  <c:v>3.8</c:v>
                </c:pt>
                <c:pt idx="830">
                  <c:v>4.5999999999999996</c:v>
                </c:pt>
                <c:pt idx="831">
                  <c:v>2.9</c:v>
                </c:pt>
                <c:pt idx="832">
                  <c:v>4.8</c:v>
                </c:pt>
                <c:pt idx="833">
                  <c:v>4.9000000000000004</c:v>
                </c:pt>
                <c:pt idx="834">
                  <c:v>3.4</c:v>
                </c:pt>
                <c:pt idx="835">
                  <c:v>4.3</c:v>
                </c:pt>
                <c:pt idx="836">
                  <c:v>3.9</c:v>
                </c:pt>
                <c:pt idx="837">
                  <c:v>3.9</c:v>
                </c:pt>
                <c:pt idx="838">
                  <c:v>1.5</c:v>
                </c:pt>
                <c:pt idx="839">
                  <c:v>3</c:v>
                </c:pt>
                <c:pt idx="840">
                  <c:v>4.2</c:v>
                </c:pt>
                <c:pt idx="841">
                  <c:v>3.7</c:v>
                </c:pt>
                <c:pt idx="842">
                  <c:v>4.2</c:v>
                </c:pt>
                <c:pt idx="843">
                  <c:v>4.4000000000000004</c:v>
                </c:pt>
                <c:pt idx="844">
                  <c:v>4</c:v>
                </c:pt>
                <c:pt idx="845">
                  <c:v>4.7</c:v>
                </c:pt>
                <c:pt idx="846">
                  <c:v>2.8</c:v>
                </c:pt>
                <c:pt idx="847">
                  <c:v>2.5</c:v>
                </c:pt>
                <c:pt idx="848">
                  <c:v>3.4</c:v>
                </c:pt>
                <c:pt idx="849">
                  <c:v>4.8</c:v>
                </c:pt>
                <c:pt idx="850">
                  <c:v>4.3</c:v>
                </c:pt>
                <c:pt idx="851">
                  <c:v>4.5</c:v>
                </c:pt>
                <c:pt idx="852">
                  <c:v>3.6</c:v>
                </c:pt>
                <c:pt idx="853">
                  <c:v>3.7</c:v>
                </c:pt>
                <c:pt idx="854">
                  <c:v>3.5</c:v>
                </c:pt>
                <c:pt idx="855">
                  <c:v>4.7</c:v>
                </c:pt>
                <c:pt idx="856">
                  <c:v>3.5</c:v>
                </c:pt>
                <c:pt idx="857">
                  <c:v>3.9</c:v>
                </c:pt>
                <c:pt idx="858">
                  <c:v>4.8</c:v>
                </c:pt>
                <c:pt idx="859">
                  <c:v>4</c:v>
                </c:pt>
                <c:pt idx="860">
                  <c:v>4.7</c:v>
                </c:pt>
                <c:pt idx="861">
                  <c:v>3.6</c:v>
                </c:pt>
                <c:pt idx="862">
                  <c:v>4.5</c:v>
                </c:pt>
                <c:pt idx="863">
                  <c:v>4</c:v>
                </c:pt>
                <c:pt idx="864">
                  <c:v>4.5</c:v>
                </c:pt>
                <c:pt idx="865">
                  <c:v>3.9</c:v>
                </c:pt>
                <c:pt idx="866">
                  <c:v>4.3</c:v>
                </c:pt>
                <c:pt idx="867">
                  <c:v>3.6</c:v>
                </c:pt>
                <c:pt idx="868">
                  <c:v>3.6</c:v>
                </c:pt>
                <c:pt idx="869">
                  <c:v>4</c:v>
                </c:pt>
                <c:pt idx="870">
                  <c:v>4.2</c:v>
                </c:pt>
                <c:pt idx="871">
                  <c:v>4.3</c:v>
                </c:pt>
                <c:pt idx="872">
                  <c:v>3.8</c:v>
                </c:pt>
                <c:pt idx="873">
                  <c:v>4.4000000000000004</c:v>
                </c:pt>
                <c:pt idx="874">
                  <c:v>4.7</c:v>
                </c:pt>
                <c:pt idx="875">
                  <c:v>3.6</c:v>
                </c:pt>
                <c:pt idx="876">
                  <c:v>2.2000000000000002</c:v>
                </c:pt>
                <c:pt idx="877">
                  <c:v>4.8</c:v>
                </c:pt>
                <c:pt idx="878">
                  <c:v>4.3</c:v>
                </c:pt>
                <c:pt idx="879">
                  <c:v>2.2000000000000002</c:v>
                </c:pt>
                <c:pt idx="880">
                  <c:v>4.8</c:v>
                </c:pt>
                <c:pt idx="881">
                  <c:v>2.6</c:v>
                </c:pt>
                <c:pt idx="882">
                  <c:v>2.6</c:v>
                </c:pt>
                <c:pt idx="883">
                  <c:v>3.4</c:v>
                </c:pt>
                <c:pt idx="884">
                  <c:v>3.7</c:v>
                </c:pt>
                <c:pt idx="885">
                  <c:v>2.1</c:v>
                </c:pt>
                <c:pt idx="886">
                  <c:v>3.6</c:v>
                </c:pt>
                <c:pt idx="887">
                  <c:v>3.8</c:v>
                </c:pt>
                <c:pt idx="888">
                  <c:v>3.1</c:v>
                </c:pt>
                <c:pt idx="889">
                  <c:v>4.4000000000000004</c:v>
                </c:pt>
                <c:pt idx="890">
                  <c:v>4.8</c:v>
                </c:pt>
                <c:pt idx="891">
                  <c:v>3.5</c:v>
                </c:pt>
                <c:pt idx="892">
                  <c:v>4.4000000000000004</c:v>
                </c:pt>
                <c:pt idx="893">
                  <c:v>3.8</c:v>
                </c:pt>
                <c:pt idx="894">
                  <c:v>3.8</c:v>
                </c:pt>
                <c:pt idx="895">
                  <c:v>4.5999999999999996</c:v>
                </c:pt>
                <c:pt idx="896">
                  <c:v>5</c:v>
                </c:pt>
                <c:pt idx="897">
                  <c:v>3.2</c:v>
                </c:pt>
                <c:pt idx="898">
                  <c:v>3.7</c:v>
                </c:pt>
                <c:pt idx="899">
                  <c:v>2.7</c:v>
                </c:pt>
                <c:pt idx="900">
                  <c:v>4</c:v>
                </c:pt>
                <c:pt idx="901">
                  <c:v>2.6</c:v>
                </c:pt>
                <c:pt idx="902">
                  <c:v>4.5999999999999996</c:v>
                </c:pt>
                <c:pt idx="903">
                  <c:v>2.7</c:v>
                </c:pt>
                <c:pt idx="904">
                  <c:v>3.5</c:v>
                </c:pt>
                <c:pt idx="905">
                  <c:v>3.6</c:v>
                </c:pt>
                <c:pt idx="906">
                  <c:v>4.9000000000000004</c:v>
                </c:pt>
                <c:pt idx="907">
                  <c:v>3.9</c:v>
                </c:pt>
                <c:pt idx="908">
                  <c:v>4.7</c:v>
                </c:pt>
                <c:pt idx="909">
                  <c:v>4.5</c:v>
                </c:pt>
                <c:pt idx="910">
                  <c:v>4.5</c:v>
                </c:pt>
                <c:pt idx="911">
                  <c:v>4.4000000000000004</c:v>
                </c:pt>
                <c:pt idx="912">
                  <c:v>4.0999999999999996</c:v>
                </c:pt>
                <c:pt idx="913">
                  <c:v>3.8</c:v>
                </c:pt>
                <c:pt idx="914">
                  <c:v>4.2</c:v>
                </c:pt>
                <c:pt idx="915">
                  <c:v>2.2000000000000002</c:v>
                </c:pt>
                <c:pt idx="916">
                  <c:v>3.9</c:v>
                </c:pt>
                <c:pt idx="917">
                  <c:v>3.9</c:v>
                </c:pt>
                <c:pt idx="918">
                  <c:v>4.0999999999999996</c:v>
                </c:pt>
                <c:pt idx="919">
                  <c:v>4.5999999999999996</c:v>
                </c:pt>
                <c:pt idx="920">
                  <c:v>4.0999999999999996</c:v>
                </c:pt>
                <c:pt idx="921">
                  <c:v>5</c:v>
                </c:pt>
                <c:pt idx="922">
                  <c:v>2.8</c:v>
                </c:pt>
                <c:pt idx="923">
                  <c:v>2.7</c:v>
                </c:pt>
                <c:pt idx="924">
                  <c:v>3.9</c:v>
                </c:pt>
                <c:pt idx="925">
                  <c:v>4.3</c:v>
                </c:pt>
                <c:pt idx="926">
                  <c:v>2.5</c:v>
                </c:pt>
                <c:pt idx="927">
                  <c:v>3.4</c:v>
                </c:pt>
                <c:pt idx="928">
                  <c:v>3.4</c:v>
                </c:pt>
                <c:pt idx="929">
                  <c:v>1.8</c:v>
                </c:pt>
                <c:pt idx="930">
                  <c:v>3.7</c:v>
                </c:pt>
                <c:pt idx="931">
                  <c:v>4.0999999999999996</c:v>
                </c:pt>
                <c:pt idx="932">
                  <c:v>3</c:v>
                </c:pt>
                <c:pt idx="933">
                  <c:v>3.9</c:v>
                </c:pt>
                <c:pt idx="934">
                  <c:v>4</c:v>
                </c:pt>
                <c:pt idx="935">
                  <c:v>4.5</c:v>
                </c:pt>
                <c:pt idx="936">
                  <c:v>4</c:v>
                </c:pt>
                <c:pt idx="937">
                  <c:v>4.3</c:v>
                </c:pt>
                <c:pt idx="938">
                  <c:v>4.8</c:v>
                </c:pt>
                <c:pt idx="939">
                  <c:v>4.7</c:v>
                </c:pt>
                <c:pt idx="940">
                  <c:v>5</c:v>
                </c:pt>
                <c:pt idx="941">
                  <c:v>1.5</c:v>
                </c:pt>
                <c:pt idx="942">
                  <c:v>4.0999999999999996</c:v>
                </c:pt>
                <c:pt idx="943">
                  <c:v>3.9</c:v>
                </c:pt>
                <c:pt idx="944">
                  <c:v>4.0999999999999996</c:v>
                </c:pt>
                <c:pt idx="945">
                  <c:v>2.8</c:v>
                </c:pt>
                <c:pt idx="946">
                  <c:v>4.5999999999999996</c:v>
                </c:pt>
                <c:pt idx="947">
                  <c:v>4.8</c:v>
                </c:pt>
                <c:pt idx="948">
                  <c:v>2.2999999999999998</c:v>
                </c:pt>
                <c:pt idx="949">
                  <c:v>2.6</c:v>
                </c:pt>
                <c:pt idx="950">
                  <c:v>4.8</c:v>
                </c:pt>
                <c:pt idx="951">
                  <c:v>3.7</c:v>
                </c:pt>
                <c:pt idx="952">
                  <c:v>4.2</c:v>
                </c:pt>
                <c:pt idx="953">
                  <c:v>3.3</c:v>
                </c:pt>
                <c:pt idx="954">
                  <c:v>4.3</c:v>
                </c:pt>
                <c:pt idx="955">
                  <c:v>3.7</c:v>
                </c:pt>
                <c:pt idx="956">
                  <c:v>3.7</c:v>
                </c:pt>
                <c:pt idx="957">
                  <c:v>3.1</c:v>
                </c:pt>
                <c:pt idx="958">
                  <c:v>2.4</c:v>
                </c:pt>
                <c:pt idx="959">
                  <c:v>3.5</c:v>
                </c:pt>
                <c:pt idx="960">
                  <c:v>4.3</c:v>
                </c:pt>
                <c:pt idx="961">
                  <c:v>3.4</c:v>
                </c:pt>
                <c:pt idx="962">
                  <c:v>3.7</c:v>
                </c:pt>
                <c:pt idx="963">
                  <c:v>4.8</c:v>
                </c:pt>
                <c:pt idx="964">
                  <c:v>3.3</c:v>
                </c:pt>
                <c:pt idx="965">
                  <c:v>4.2</c:v>
                </c:pt>
                <c:pt idx="966">
                  <c:v>2.6</c:v>
                </c:pt>
                <c:pt idx="967">
                  <c:v>4.9000000000000004</c:v>
                </c:pt>
                <c:pt idx="968">
                  <c:v>2</c:v>
                </c:pt>
                <c:pt idx="969">
                  <c:v>4.7</c:v>
                </c:pt>
                <c:pt idx="970">
                  <c:v>2.8</c:v>
                </c:pt>
                <c:pt idx="971">
                  <c:v>3.2</c:v>
                </c:pt>
                <c:pt idx="972">
                  <c:v>4.7</c:v>
                </c:pt>
                <c:pt idx="973">
                  <c:v>4.8</c:v>
                </c:pt>
                <c:pt idx="974">
                  <c:v>4.7</c:v>
                </c:pt>
                <c:pt idx="975">
                  <c:v>4</c:v>
                </c:pt>
                <c:pt idx="976">
                  <c:v>4.9000000000000004</c:v>
                </c:pt>
                <c:pt idx="977">
                  <c:v>3.7</c:v>
                </c:pt>
                <c:pt idx="978">
                  <c:v>4.5</c:v>
                </c:pt>
                <c:pt idx="979">
                  <c:v>2.1</c:v>
                </c:pt>
                <c:pt idx="980">
                  <c:v>2.8</c:v>
                </c:pt>
                <c:pt idx="981">
                  <c:v>4.0999999999999996</c:v>
                </c:pt>
                <c:pt idx="982">
                  <c:v>3.3</c:v>
                </c:pt>
                <c:pt idx="983">
                  <c:v>1.7</c:v>
                </c:pt>
                <c:pt idx="984">
                  <c:v>3.6</c:v>
                </c:pt>
                <c:pt idx="985">
                  <c:v>3.6</c:v>
                </c:pt>
                <c:pt idx="986">
                  <c:v>4.5999999999999996</c:v>
                </c:pt>
                <c:pt idx="987">
                  <c:v>4.8</c:v>
                </c:pt>
                <c:pt idx="988">
                  <c:v>4.5</c:v>
                </c:pt>
                <c:pt idx="989">
                  <c:v>4.5</c:v>
                </c:pt>
                <c:pt idx="990">
                  <c:v>4.5999999999999996</c:v>
                </c:pt>
                <c:pt idx="991">
                  <c:v>4.5999999999999996</c:v>
                </c:pt>
                <c:pt idx="992">
                  <c:v>3.5</c:v>
                </c:pt>
                <c:pt idx="993">
                  <c:v>2.9</c:v>
                </c:pt>
                <c:pt idx="994">
                  <c:v>4.7</c:v>
                </c:pt>
                <c:pt idx="995">
                  <c:v>3.9</c:v>
                </c:pt>
                <c:pt idx="996">
                  <c:v>3.8</c:v>
                </c:pt>
                <c:pt idx="997">
                  <c:v>2.2999999999999998</c:v>
                </c:pt>
                <c:pt idx="998">
                  <c:v>3.7</c:v>
                </c:pt>
                <c:pt idx="999">
                  <c:v>3.9</c:v>
                </c:pt>
              </c:numCache>
            </c:numRef>
          </c:yVal>
          <c:smooth val="0"/>
          <c:extLst>
            <c:ext xmlns:c16="http://schemas.microsoft.com/office/drawing/2014/chart" uri="{C3380CC4-5D6E-409C-BE32-E72D297353CC}">
              <c16:uniqueId val="{00000000-C19F-4D6D-B89E-5A297CDA3345}"/>
            </c:ext>
          </c:extLst>
        </c:ser>
        <c:dLbls>
          <c:showLegendKey val="0"/>
          <c:showVal val="0"/>
          <c:showCatName val="0"/>
          <c:showSerName val="0"/>
          <c:showPercent val="0"/>
          <c:showBubbleSize val="0"/>
        </c:dLbls>
        <c:axId val="1553630831"/>
        <c:axId val="1408343887"/>
      </c:scatterChart>
      <c:valAx>
        <c:axId val="1553630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Call Duration (minutes)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43887"/>
        <c:crosses val="autoZero"/>
        <c:crossBetween val="midCat"/>
      </c:valAx>
      <c:valAx>
        <c:axId val="140834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Satisfaction Rating</a:t>
                </a:r>
                <a:endParaRPr lang="en-IN"/>
              </a:p>
            </c:rich>
          </c:tx>
          <c:layout>
            <c:manualLayout>
              <c:xMode val="edge"/>
              <c:yMode val="edge"/>
              <c:x val="1.9444444444444445E-2"/>
              <c:y val="0.296809565470982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6308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Duration vs Rounded Satisfaction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2</c:v>
          </c:tx>
          <c:spPr>
            <a:ln w="38100" cap="rnd">
              <a:noFill/>
              <a:round/>
            </a:ln>
            <a:effectLst/>
          </c:spPr>
          <c:marker>
            <c:symbol val="circle"/>
            <c:size val="5"/>
            <c:spPr>
              <a:solidFill>
                <a:schemeClr val="accent1"/>
              </a:solidFill>
              <a:ln w="9525">
                <a:solidFill>
                  <a:schemeClr val="accent1"/>
                </a:solidFill>
              </a:ln>
              <a:effectLst/>
            </c:spPr>
          </c:marker>
          <c:xVal>
            <c:numRef>
              <c:f>'Call Centre Data'!$C$2:$C$1001</c:f>
              <c:numCache>
                <c:formatCode>0</c:formatCode>
                <c:ptCount val="1000"/>
                <c:pt idx="0">
                  <c:v>116</c:v>
                </c:pt>
                <c:pt idx="1">
                  <c:v>119</c:v>
                </c:pt>
                <c:pt idx="2">
                  <c:v>68</c:v>
                </c:pt>
                <c:pt idx="3">
                  <c:v>119</c:v>
                </c:pt>
                <c:pt idx="4">
                  <c:v>128</c:v>
                </c:pt>
                <c:pt idx="5">
                  <c:v>49</c:v>
                </c:pt>
                <c:pt idx="6">
                  <c:v>84</c:v>
                </c:pt>
                <c:pt idx="7">
                  <c:v>103</c:v>
                </c:pt>
                <c:pt idx="8">
                  <c:v>31</c:v>
                </c:pt>
                <c:pt idx="9">
                  <c:v>44</c:v>
                </c:pt>
                <c:pt idx="10">
                  <c:v>102</c:v>
                </c:pt>
                <c:pt idx="11">
                  <c:v>135</c:v>
                </c:pt>
                <c:pt idx="12">
                  <c:v>98</c:v>
                </c:pt>
                <c:pt idx="13">
                  <c:v>139</c:v>
                </c:pt>
                <c:pt idx="14">
                  <c:v>48</c:v>
                </c:pt>
                <c:pt idx="15">
                  <c:v>176</c:v>
                </c:pt>
                <c:pt idx="16">
                  <c:v>99</c:v>
                </c:pt>
                <c:pt idx="17">
                  <c:v>28</c:v>
                </c:pt>
                <c:pt idx="18">
                  <c:v>54</c:v>
                </c:pt>
                <c:pt idx="19">
                  <c:v>48</c:v>
                </c:pt>
                <c:pt idx="20">
                  <c:v>128</c:v>
                </c:pt>
                <c:pt idx="21">
                  <c:v>38</c:v>
                </c:pt>
                <c:pt idx="22">
                  <c:v>67</c:v>
                </c:pt>
                <c:pt idx="23">
                  <c:v>58</c:v>
                </c:pt>
                <c:pt idx="24">
                  <c:v>54</c:v>
                </c:pt>
                <c:pt idx="25">
                  <c:v>28</c:v>
                </c:pt>
                <c:pt idx="26">
                  <c:v>73</c:v>
                </c:pt>
                <c:pt idx="27">
                  <c:v>81</c:v>
                </c:pt>
                <c:pt idx="28">
                  <c:v>31</c:v>
                </c:pt>
                <c:pt idx="29">
                  <c:v>155</c:v>
                </c:pt>
                <c:pt idx="30">
                  <c:v>80</c:v>
                </c:pt>
                <c:pt idx="31">
                  <c:v>82</c:v>
                </c:pt>
                <c:pt idx="32">
                  <c:v>29</c:v>
                </c:pt>
                <c:pt idx="33">
                  <c:v>160</c:v>
                </c:pt>
                <c:pt idx="34">
                  <c:v>105</c:v>
                </c:pt>
                <c:pt idx="35">
                  <c:v>75</c:v>
                </c:pt>
                <c:pt idx="36">
                  <c:v>94</c:v>
                </c:pt>
                <c:pt idx="37">
                  <c:v>90</c:v>
                </c:pt>
                <c:pt idx="38">
                  <c:v>81</c:v>
                </c:pt>
                <c:pt idx="39">
                  <c:v>106</c:v>
                </c:pt>
                <c:pt idx="40">
                  <c:v>74</c:v>
                </c:pt>
                <c:pt idx="41">
                  <c:v>105</c:v>
                </c:pt>
                <c:pt idx="42">
                  <c:v>89</c:v>
                </c:pt>
                <c:pt idx="43">
                  <c:v>132</c:v>
                </c:pt>
                <c:pt idx="44">
                  <c:v>105</c:v>
                </c:pt>
                <c:pt idx="45">
                  <c:v>13</c:v>
                </c:pt>
                <c:pt idx="46">
                  <c:v>131</c:v>
                </c:pt>
                <c:pt idx="47">
                  <c:v>104</c:v>
                </c:pt>
                <c:pt idx="48">
                  <c:v>90</c:v>
                </c:pt>
                <c:pt idx="49">
                  <c:v>37</c:v>
                </c:pt>
                <c:pt idx="50">
                  <c:v>149</c:v>
                </c:pt>
                <c:pt idx="51">
                  <c:v>100</c:v>
                </c:pt>
                <c:pt idx="52">
                  <c:v>79</c:v>
                </c:pt>
                <c:pt idx="53">
                  <c:v>157</c:v>
                </c:pt>
                <c:pt idx="54">
                  <c:v>59</c:v>
                </c:pt>
                <c:pt idx="55">
                  <c:v>83</c:v>
                </c:pt>
                <c:pt idx="56">
                  <c:v>58</c:v>
                </c:pt>
                <c:pt idx="57">
                  <c:v>118</c:v>
                </c:pt>
                <c:pt idx="58">
                  <c:v>63</c:v>
                </c:pt>
                <c:pt idx="59">
                  <c:v>95</c:v>
                </c:pt>
                <c:pt idx="60">
                  <c:v>74</c:v>
                </c:pt>
                <c:pt idx="61">
                  <c:v>130</c:v>
                </c:pt>
                <c:pt idx="62">
                  <c:v>110</c:v>
                </c:pt>
                <c:pt idx="63">
                  <c:v>71</c:v>
                </c:pt>
                <c:pt idx="64">
                  <c:v>147</c:v>
                </c:pt>
                <c:pt idx="65">
                  <c:v>69</c:v>
                </c:pt>
                <c:pt idx="66">
                  <c:v>50</c:v>
                </c:pt>
                <c:pt idx="67">
                  <c:v>124</c:v>
                </c:pt>
                <c:pt idx="68">
                  <c:v>81</c:v>
                </c:pt>
                <c:pt idx="69">
                  <c:v>141</c:v>
                </c:pt>
                <c:pt idx="70">
                  <c:v>168</c:v>
                </c:pt>
                <c:pt idx="71">
                  <c:v>101</c:v>
                </c:pt>
                <c:pt idx="72">
                  <c:v>67</c:v>
                </c:pt>
                <c:pt idx="73">
                  <c:v>114</c:v>
                </c:pt>
                <c:pt idx="74">
                  <c:v>42</c:v>
                </c:pt>
                <c:pt idx="75">
                  <c:v>69</c:v>
                </c:pt>
                <c:pt idx="76">
                  <c:v>145</c:v>
                </c:pt>
                <c:pt idx="77">
                  <c:v>43</c:v>
                </c:pt>
                <c:pt idx="78">
                  <c:v>62</c:v>
                </c:pt>
                <c:pt idx="79">
                  <c:v>79</c:v>
                </c:pt>
                <c:pt idx="80">
                  <c:v>45</c:v>
                </c:pt>
                <c:pt idx="81">
                  <c:v>137</c:v>
                </c:pt>
                <c:pt idx="82">
                  <c:v>109</c:v>
                </c:pt>
                <c:pt idx="83">
                  <c:v>78</c:v>
                </c:pt>
                <c:pt idx="84">
                  <c:v>137</c:v>
                </c:pt>
                <c:pt idx="85">
                  <c:v>99</c:v>
                </c:pt>
                <c:pt idx="86">
                  <c:v>100</c:v>
                </c:pt>
                <c:pt idx="87">
                  <c:v>47</c:v>
                </c:pt>
                <c:pt idx="88">
                  <c:v>87</c:v>
                </c:pt>
                <c:pt idx="89">
                  <c:v>143</c:v>
                </c:pt>
                <c:pt idx="90">
                  <c:v>84</c:v>
                </c:pt>
                <c:pt idx="91">
                  <c:v>55</c:v>
                </c:pt>
                <c:pt idx="92">
                  <c:v>135</c:v>
                </c:pt>
                <c:pt idx="93">
                  <c:v>152</c:v>
                </c:pt>
                <c:pt idx="94">
                  <c:v>132</c:v>
                </c:pt>
                <c:pt idx="95">
                  <c:v>60</c:v>
                </c:pt>
                <c:pt idx="96">
                  <c:v>95</c:v>
                </c:pt>
                <c:pt idx="97">
                  <c:v>96</c:v>
                </c:pt>
                <c:pt idx="98">
                  <c:v>45</c:v>
                </c:pt>
                <c:pt idx="99">
                  <c:v>132</c:v>
                </c:pt>
                <c:pt idx="100">
                  <c:v>95</c:v>
                </c:pt>
                <c:pt idx="101">
                  <c:v>131</c:v>
                </c:pt>
                <c:pt idx="102">
                  <c:v>67</c:v>
                </c:pt>
                <c:pt idx="103">
                  <c:v>111</c:v>
                </c:pt>
                <c:pt idx="104">
                  <c:v>78</c:v>
                </c:pt>
                <c:pt idx="105">
                  <c:v>28</c:v>
                </c:pt>
                <c:pt idx="106">
                  <c:v>127</c:v>
                </c:pt>
                <c:pt idx="107">
                  <c:v>137</c:v>
                </c:pt>
                <c:pt idx="108">
                  <c:v>76</c:v>
                </c:pt>
                <c:pt idx="109">
                  <c:v>80</c:v>
                </c:pt>
                <c:pt idx="110">
                  <c:v>95</c:v>
                </c:pt>
                <c:pt idx="111">
                  <c:v>30</c:v>
                </c:pt>
                <c:pt idx="112">
                  <c:v>19</c:v>
                </c:pt>
                <c:pt idx="113">
                  <c:v>38</c:v>
                </c:pt>
                <c:pt idx="114">
                  <c:v>55</c:v>
                </c:pt>
                <c:pt idx="115">
                  <c:v>27</c:v>
                </c:pt>
                <c:pt idx="116">
                  <c:v>32</c:v>
                </c:pt>
                <c:pt idx="117">
                  <c:v>116</c:v>
                </c:pt>
                <c:pt idx="118">
                  <c:v>99</c:v>
                </c:pt>
                <c:pt idx="119">
                  <c:v>75</c:v>
                </c:pt>
                <c:pt idx="120">
                  <c:v>57</c:v>
                </c:pt>
                <c:pt idx="121">
                  <c:v>155</c:v>
                </c:pt>
                <c:pt idx="122">
                  <c:v>68</c:v>
                </c:pt>
                <c:pt idx="123">
                  <c:v>95</c:v>
                </c:pt>
                <c:pt idx="124">
                  <c:v>65</c:v>
                </c:pt>
                <c:pt idx="125">
                  <c:v>114</c:v>
                </c:pt>
                <c:pt idx="126">
                  <c:v>155</c:v>
                </c:pt>
                <c:pt idx="127">
                  <c:v>114</c:v>
                </c:pt>
                <c:pt idx="128">
                  <c:v>130</c:v>
                </c:pt>
                <c:pt idx="129">
                  <c:v>89</c:v>
                </c:pt>
                <c:pt idx="130">
                  <c:v>61</c:v>
                </c:pt>
                <c:pt idx="131">
                  <c:v>154</c:v>
                </c:pt>
                <c:pt idx="132">
                  <c:v>115</c:v>
                </c:pt>
                <c:pt idx="133">
                  <c:v>138</c:v>
                </c:pt>
                <c:pt idx="134">
                  <c:v>153</c:v>
                </c:pt>
                <c:pt idx="135">
                  <c:v>61</c:v>
                </c:pt>
                <c:pt idx="136">
                  <c:v>62</c:v>
                </c:pt>
                <c:pt idx="137">
                  <c:v>151</c:v>
                </c:pt>
                <c:pt idx="138">
                  <c:v>102</c:v>
                </c:pt>
                <c:pt idx="139">
                  <c:v>64</c:v>
                </c:pt>
                <c:pt idx="140">
                  <c:v>6</c:v>
                </c:pt>
                <c:pt idx="141">
                  <c:v>129</c:v>
                </c:pt>
                <c:pt idx="142">
                  <c:v>42</c:v>
                </c:pt>
                <c:pt idx="143">
                  <c:v>71</c:v>
                </c:pt>
                <c:pt idx="144">
                  <c:v>53</c:v>
                </c:pt>
                <c:pt idx="145">
                  <c:v>155</c:v>
                </c:pt>
                <c:pt idx="146">
                  <c:v>90</c:v>
                </c:pt>
                <c:pt idx="147">
                  <c:v>166</c:v>
                </c:pt>
                <c:pt idx="148">
                  <c:v>89</c:v>
                </c:pt>
                <c:pt idx="149">
                  <c:v>152</c:v>
                </c:pt>
                <c:pt idx="150">
                  <c:v>137</c:v>
                </c:pt>
                <c:pt idx="151">
                  <c:v>43</c:v>
                </c:pt>
                <c:pt idx="152">
                  <c:v>114</c:v>
                </c:pt>
                <c:pt idx="153">
                  <c:v>103</c:v>
                </c:pt>
                <c:pt idx="154">
                  <c:v>98</c:v>
                </c:pt>
                <c:pt idx="155">
                  <c:v>106</c:v>
                </c:pt>
                <c:pt idx="156">
                  <c:v>96</c:v>
                </c:pt>
                <c:pt idx="157">
                  <c:v>70</c:v>
                </c:pt>
                <c:pt idx="158">
                  <c:v>86</c:v>
                </c:pt>
                <c:pt idx="159">
                  <c:v>64</c:v>
                </c:pt>
                <c:pt idx="160">
                  <c:v>113</c:v>
                </c:pt>
                <c:pt idx="161">
                  <c:v>21</c:v>
                </c:pt>
                <c:pt idx="162">
                  <c:v>107</c:v>
                </c:pt>
                <c:pt idx="163">
                  <c:v>131</c:v>
                </c:pt>
                <c:pt idx="164">
                  <c:v>11</c:v>
                </c:pt>
                <c:pt idx="165">
                  <c:v>86</c:v>
                </c:pt>
                <c:pt idx="166">
                  <c:v>28</c:v>
                </c:pt>
                <c:pt idx="167">
                  <c:v>139</c:v>
                </c:pt>
                <c:pt idx="168">
                  <c:v>82</c:v>
                </c:pt>
                <c:pt idx="169">
                  <c:v>101</c:v>
                </c:pt>
                <c:pt idx="170">
                  <c:v>75</c:v>
                </c:pt>
                <c:pt idx="171">
                  <c:v>40</c:v>
                </c:pt>
                <c:pt idx="172">
                  <c:v>86</c:v>
                </c:pt>
                <c:pt idx="173">
                  <c:v>131</c:v>
                </c:pt>
                <c:pt idx="174">
                  <c:v>67</c:v>
                </c:pt>
                <c:pt idx="175">
                  <c:v>71</c:v>
                </c:pt>
                <c:pt idx="176">
                  <c:v>113</c:v>
                </c:pt>
                <c:pt idx="177">
                  <c:v>53</c:v>
                </c:pt>
                <c:pt idx="178">
                  <c:v>153</c:v>
                </c:pt>
                <c:pt idx="179">
                  <c:v>73</c:v>
                </c:pt>
                <c:pt idx="180">
                  <c:v>62</c:v>
                </c:pt>
                <c:pt idx="181">
                  <c:v>115</c:v>
                </c:pt>
                <c:pt idx="182">
                  <c:v>69</c:v>
                </c:pt>
                <c:pt idx="183">
                  <c:v>103</c:v>
                </c:pt>
                <c:pt idx="184">
                  <c:v>75</c:v>
                </c:pt>
                <c:pt idx="185">
                  <c:v>92</c:v>
                </c:pt>
                <c:pt idx="186">
                  <c:v>41</c:v>
                </c:pt>
                <c:pt idx="187">
                  <c:v>134</c:v>
                </c:pt>
                <c:pt idx="188">
                  <c:v>80</c:v>
                </c:pt>
                <c:pt idx="189">
                  <c:v>103</c:v>
                </c:pt>
                <c:pt idx="190">
                  <c:v>20</c:v>
                </c:pt>
                <c:pt idx="191">
                  <c:v>75</c:v>
                </c:pt>
                <c:pt idx="192">
                  <c:v>80</c:v>
                </c:pt>
                <c:pt idx="193">
                  <c:v>85</c:v>
                </c:pt>
                <c:pt idx="194">
                  <c:v>155</c:v>
                </c:pt>
                <c:pt idx="195">
                  <c:v>63</c:v>
                </c:pt>
                <c:pt idx="196">
                  <c:v>105</c:v>
                </c:pt>
                <c:pt idx="197">
                  <c:v>71</c:v>
                </c:pt>
                <c:pt idx="198">
                  <c:v>100</c:v>
                </c:pt>
                <c:pt idx="199">
                  <c:v>93</c:v>
                </c:pt>
                <c:pt idx="200">
                  <c:v>84</c:v>
                </c:pt>
                <c:pt idx="201">
                  <c:v>56</c:v>
                </c:pt>
                <c:pt idx="202">
                  <c:v>63</c:v>
                </c:pt>
                <c:pt idx="203">
                  <c:v>83</c:v>
                </c:pt>
                <c:pt idx="204">
                  <c:v>134</c:v>
                </c:pt>
                <c:pt idx="205">
                  <c:v>73</c:v>
                </c:pt>
                <c:pt idx="206">
                  <c:v>6</c:v>
                </c:pt>
                <c:pt idx="207">
                  <c:v>46</c:v>
                </c:pt>
                <c:pt idx="208">
                  <c:v>121</c:v>
                </c:pt>
                <c:pt idx="209">
                  <c:v>61</c:v>
                </c:pt>
                <c:pt idx="210">
                  <c:v>144</c:v>
                </c:pt>
                <c:pt idx="211">
                  <c:v>145</c:v>
                </c:pt>
                <c:pt idx="212">
                  <c:v>85</c:v>
                </c:pt>
                <c:pt idx="213">
                  <c:v>13</c:v>
                </c:pt>
                <c:pt idx="214">
                  <c:v>142</c:v>
                </c:pt>
                <c:pt idx="215">
                  <c:v>28</c:v>
                </c:pt>
                <c:pt idx="216">
                  <c:v>119</c:v>
                </c:pt>
                <c:pt idx="217">
                  <c:v>65</c:v>
                </c:pt>
                <c:pt idx="218">
                  <c:v>68</c:v>
                </c:pt>
                <c:pt idx="219">
                  <c:v>72</c:v>
                </c:pt>
                <c:pt idx="220">
                  <c:v>63</c:v>
                </c:pt>
                <c:pt idx="221">
                  <c:v>139</c:v>
                </c:pt>
                <c:pt idx="222">
                  <c:v>59</c:v>
                </c:pt>
                <c:pt idx="223">
                  <c:v>138</c:v>
                </c:pt>
                <c:pt idx="224">
                  <c:v>47</c:v>
                </c:pt>
                <c:pt idx="225">
                  <c:v>74</c:v>
                </c:pt>
                <c:pt idx="226">
                  <c:v>65</c:v>
                </c:pt>
                <c:pt idx="227">
                  <c:v>123</c:v>
                </c:pt>
                <c:pt idx="228">
                  <c:v>90</c:v>
                </c:pt>
                <c:pt idx="229">
                  <c:v>127</c:v>
                </c:pt>
                <c:pt idx="230">
                  <c:v>60</c:v>
                </c:pt>
                <c:pt idx="231">
                  <c:v>94</c:v>
                </c:pt>
                <c:pt idx="232">
                  <c:v>54</c:v>
                </c:pt>
                <c:pt idx="233">
                  <c:v>104</c:v>
                </c:pt>
                <c:pt idx="234">
                  <c:v>100</c:v>
                </c:pt>
                <c:pt idx="235">
                  <c:v>84</c:v>
                </c:pt>
                <c:pt idx="236">
                  <c:v>92</c:v>
                </c:pt>
                <c:pt idx="237">
                  <c:v>64</c:v>
                </c:pt>
                <c:pt idx="238">
                  <c:v>89</c:v>
                </c:pt>
                <c:pt idx="239">
                  <c:v>40</c:v>
                </c:pt>
                <c:pt idx="240">
                  <c:v>75</c:v>
                </c:pt>
                <c:pt idx="241">
                  <c:v>106</c:v>
                </c:pt>
                <c:pt idx="242">
                  <c:v>58</c:v>
                </c:pt>
                <c:pt idx="243">
                  <c:v>84</c:v>
                </c:pt>
                <c:pt idx="244">
                  <c:v>140</c:v>
                </c:pt>
                <c:pt idx="245">
                  <c:v>67</c:v>
                </c:pt>
                <c:pt idx="246">
                  <c:v>126</c:v>
                </c:pt>
                <c:pt idx="247">
                  <c:v>89</c:v>
                </c:pt>
                <c:pt idx="248">
                  <c:v>56</c:v>
                </c:pt>
                <c:pt idx="249">
                  <c:v>48</c:v>
                </c:pt>
                <c:pt idx="250">
                  <c:v>55</c:v>
                </c:pt>
                <c:pt idx="251">
                  <c:v>88</c:v>
                </c:pt>
                <c:pt idx="252">
                  <c:v>102</c:v>
                </c:pt>
                <c:pt idx="253">
                  <c:v>155</c:v>
                </c:pt>
                <c:pt idx="254">
                  <c:v>63</c:v>
                </c:pt>
                <c:pt idx="255">
                  <c:v>59</c:v>
                </c:pt>
                <c:pt idx="256">
                  <c:v>144</c:v>
                </c:pt>
                <c:pt idx="257">
                  <c:v>113</c:v>
                </c:pt>
                <c:pt idx="258">
                  <c:v>154</c:v>
                </c:pt>
                <c:pt idx="259">
                  <c:v>58</c:v>
                </c:pt>
                <c:pt idx="260">
                  <c:v>63</c:v>
                </c:pt>
                <c:pt idx="261">
                  <c:v>59</c:v>
                </c:pt>
                <c:pt idx="262">
                  <c:v>129</c:v>
                </c:pt>
                <c:pt idx="263">
                  <c:v>101</c:v>
                </c:pt>
                <c:pt idx="264">
                  <c:v>154</c:v>
                </c:pt>
                <c:pt idx="265">
                  <c:v>131</c:v>
                </c:pt>
                <c:pt idx="266">
                  <c:v>111</c:v>
                </c:pt>
                <c:pt idx="267">
                  <c:v>142</c:v>
                </c:pt>
                <c:pt idx="268">
                  <c:v>93</c:v>
                </c:pt>
                <c:pt idx="269">
                  <c:v>125</c:v>
                </c:pt>
                <c:pt idx="270">
                  <c:v>76</c:v>
                </c:pt>
                <c:pt idx="271">
                  <c:v>69</c:v>
                </c:pt>
                <c:pt idx="272">
                  <c:v>149</c:v>
                </c:pt>
                <c:pt idx="273">
                  <c:v>57</c:v>
                </c:pt>
                <c:pt idx="274">
                  <c:v>113</c:v>
                </c:pt>
                <c:pt idx="275">
                  <c:v>160</c:v>
                </c:pt>
                <c:pt idx="276">
                  <c:v>158</c:v>
                </c:pt>
                <c:pt idx="277">
                  <c:v>77</c:v>
                </c:pt>
                <c:pt idx="278">
                  <c:v>118</c:v>
                </c:pt>
                <c:pt idx="279">
                  <c:v>75</c:v>
                </c:pt>
                <c:pt idx="280">
                  <c:v>103</c:v>
                </c:pt>
                <c:pt idx="281">
                  <c:v>116</c:v>
                </c:pt>
                <c:pt idx="282">
                  <c:v>61</c:v>
                </c:pt>
                <c:pt idx="283">
                  <c:v>126</c:v>
                </c:pt>
                <c:pt idx="284">
                  <c:v>141</c:v>
                </c:pt>
                <c:pt idx="285">
                  <c:v>95</c:v>
                </c:pt>
                <c:pt idx="286">
                  <c:v>39</c:v>
                </c:pt>
                <c:pt idx="287">
                  <c:v>127</c:v>
                </c:pt>
                <c:pt idx="288">
                  <c:v>78</c:v>
                </c:pt>
                <c:pt idx="289">
                  <c:v>40</c:v>
                </c:pt>
                <c:pt idx="290">
                  <c:v>56</c:v>
                </c:pt>
                <c:pt idx="291">
                  <c:v>59</c:v>
                </c:pt>
                <c:pt idx="292">
                  <c:v>30</c:v>
                </c:pt>
                <c:pt idx="293">
                  <c:v>63</c:v>
                </c:pt>
                <c:pt idx="294">
                  <c:v>56</c:v>
                </c:pt>
                <c:pt idx="295">
                  <c:v>95</c:v>
                </c:pt>
                <c:pt idx="296">
                  <c:v>128</c:v>
                </c:pt>
                <c:pt idx="297">
                  <c:v>49</c:v>
                </c:pt>
                <c:pt idx="298">
                  <c:v>89</c:v>
                </c:pt>
                <c:pt idx="299">
                  <c:v>87</c:v>
                </c:pt>
                <c:pt idx="300">
                  <c:v>60</c:v>
                </c:pt>
                <c:pt idx="301">
                  <c:v>42</c:v>
                </c:pt>
                <c:pt idx="302">
                  <c:v>99</c:v>
                </c:pt>
                <c:pt idx="303">
                  <c:v>20</c:v>
                </c:pt>
                <c:pt idx="304">
                  <c:v>65</c:v>
                </c:pt>
                <c:pt idx="305">
                  <c:v>71</c:v>
                </c:pt>
                <c:pt idx="306">
                  <c:v>95</c:v>
                </c:pt>
                <c:pt idx="307">
                  <c:v>81</c:v>
                </c:pt>
                <c:pt idx="308">
                  <c:v>137</c:v>
                </c:pt>
                <c:pt idx="309">
                  <c:v>40</c:v>
                </c:pt>
                <c:pt idx="310">
                  <c:v>111</c:v>
                </c:pt>
                <c:pt idx="311">
                  <c:v>106</c:v>
                </c:pt>
                <c:pt idx="312">
                  <c:v>133</c:v>
                </c:pt>
                <c:pt idx="313">
                  <c:v>38</c:v>
                </c:pt>
                <c:pt idx="314">
                  <c:v>130</c:v>
                </c:pt>
                <c:pt idx="315">
                  <c:v>23</c:v>
                </c:pt>
                <c:pt idx="316">
                  <c:v>124</c:v>
                </c:pt>
                <c:pt idx="317">
                  <c:v>107</c:v>
                </c:pt>
                <c:pt idx="318">
                  <c:v>60</c:v>
                </c:pt>
                <c:pt idx="319">
                  <c:v>158</c:v>
                </c:pt>
                <c:pt idx="320">
                  <c:v>110</c:v>
                </c:pt>
                <c:pt idx="321">
                  <c:v>70</c:v>
                </c:pt>
                <c:pt idx="322">
                  <c:v>150</c:v>
                </c:pt>
                <c:pt idx="323">
                  <c:v>36</c:v>
                </c:pt>
                <c:pt idx="324">
                  <c:v>74</c:v>
                </c:pt>
                <c:pt idx="325">
                  <c:v>75</c:v>
                </c:pt>
                <c:pt idx="326">
                  <c:v>70</c:v>
                </c:pt>
                <c:pt idx="327">
                  <c:v>23</c:v>
                </c:pt>
                <c:pt idx="328">
                  <c:v>104</c:v>
                </c:pt>
                <c:pt idx="329">
                  <c:v>95</c:v>
                </c:pt>
                <c:pt idx="330">
                  <c:v>49</c:v>
                </c:pt>
                <c:pt idx="331">
                  <c:v>8</c:v>
                </c:pt>
                <c:pt idx="332">
                  <c:v>157</c:v>
                </c:pt>
                <c:pt idx="333">
                  <c:v>74</c:v>
                </c:pt>
                <c:pt idx="334">
                  <c:v>72</c:v>
                </c:pt>
                <c:pt idx="335">
                  <c:v>79</c:v>
                </c:pt>
                <c:pt idx="336">
                  <c:v>23</c:v>
                </c:pt>
                <c:pt idx="337">
                  <c:v>69</c:v>
                </c:pt>
                <c:pt idx="338">
                  <c:v>64</c:v>
                </c:pt>
                <c:pt idx="339">
                  <c:v>47</c:v>
                </c:pt>
                <c:pt idx="340">
                  <c:v>55</c:v>
                </c:pt>
                <c:pt idx="341">
                  <c:v>104</c:v>
                </c:pt>
                <c:pt idx="342">
                  <c:v>116</c:v>
                </c:pt>
                <c:pt idx="343">
                  <c:v>99</c:v>
                </c:pt>
                <c:pt idx="344">
                  <c:v>84</c:v>
                </c:pt>
                <c:pt idx="345">
                  <c:v>159</c:v>
                </c:pt>
                <c:pt idx="346">
                  <c:v>25</c:v>
                </c:pt>
                <c:pt idx="347">
                  <c:v>53</c:v>
                </c:pt>
                <c:pt idx="348">
                  <c:v>89</c:v>
                </c:pt>
                <c:pt idx="349">
                  <c:v>73</c:v>
                </c:pt>
                <c:pt idx="350">
                  <c:v>50</c:v>
                </c:pt>
                <c:pt idx="351">
                  <c:v>98</c:v>
                </c:pt>
                <c:pt idx="352">
                  <c:v>114</c:v>
                </c:pt>
                <c:pt idx="353">
                  <c:v>67</c:v>
                </c:pt>
                <c:pt idx="354">
                  <c:v>91</c:v>
                </c:pt>
                <c:pt idx="355">
                  <c:v>67</c:v>
                </c:pt>
                <c:pt idx="356">
                  <c:v>139</c:v>
                </c:pt>
                <c:pt idx="357">
                  <c:v>102</c:v>
                </c:pt>
                <c:pt idx="358">
                  <c:v>108</c:v>
                </c:pt>
                <c:pt idx="359">
                  <c:v>66</c:v>
                </c:pt>
                <c:pt idx="360">
                  <c:v>85</c:v>
                </c:pt>
                <c:pt idx="361">
                  <c:v>55</c:v>
                </c:pt>
                <c:pt idx="362">
                  <c:v>17</c:v>
                </c:pt>
                <c:pt idx="363">
                  <c:v>128</c:v>
                </c:pt>
                <c:pt idx="364">
                  <c:v>45</c:v>
                </c:pt>
                <c:pt idx="365">
                  <c:v>41</c:v>
                </c:pt>
                <c:pt idx="366">
                  <c:v>49</c:v>
                </c:pt>
                <c:pt idx="367">
                  <c:v>21</c:v>
                </c:pt>
                <c:pt idx="368">
                  <c:v>133</c:v>
                </c:pt>
                <c:pt idx="369">
                  <c:v>135</c:v>
                </c:pt>
                <c:pt idx="370">
                  <c:v>69</c:v>
                </c:pt>
                <c:pt idx="371">
                  <c:v>110</c:v>
                </c:pt>
                <c:pt idx="372">
                  <c:v>64</c:v>
                </c:pt>
                <c:pt idx="373">
                  <c:v>105</c:v>
                </c:pt>
                <c:pt idx="374">
                  <c:v>165</c:v>
                </c:pt>
                <c:pt idx="375">
                  <c:v>125</c:v>
                </c:pt>
                <c:pt idx="376">
                  <c:v>88</c:v>
                </c:pt>
                <c:pt idx="377">
                  <c:v>6</c:v>
                </c:pt>
                <c:pt idx="378">
                  <c:v>69</c:v>
                </c:pt>
                <c:pt idx="379">
                  <c:v>107</c:v>
                </c:pt>
                <c:pt idx="380">
                  <c:v>90</c:v>
                </c:pt>
                <c:pt idx="381">
                  <c:v>120</c:v>
                </c:pt>
                <c:pt idx="382">
                  <c:v>47</c:v>
                </c:pt>
                <c:pt idx="383">
                  <c:v>60</c:v>
                </c:pt>
                <c:pt idx="384">
                  <c:v>64</c:v>
                </c:pt>
                <c:pt idx="385">
                  <c:v>62</c:v>
                </c:pt>
                <c:pt idx="386">
                  <c:v>88</c:v>
                </c:pt>
                <c:pt idx="387">
                  <c:v>116</c:v>
                </c:pt>
                <c:pt idx="388">
                  <c:v>82</c:v>
                </c:pt>
                <c:pt idx="389">
                  <c:v>99</c:v>
                </c:pt>
                <c:pt idx="390">
                  <c:v>55</c:v>
                </c:pt>
                <c:pt idx="391">
                  <c:v>61</c:v>
                </c:pt>
                <c:pt idx="392">
                  <c:v>36</c:v>
                </c:pt>
                <c:pt idx="393">
                  <c:v>123</c:v>
                </c:pt>
                <c:pt idx="394">
                  <c:v>24</c:v>
                </c:pt>
                <c:pt idx="395">
                  <c:v>43</c:v>
                </c:pt>
                <c:pt idx="396">
                  <c:v>95</c:v>
                </c:pt>
                <c:pt idx="397">
                  <c:v>53</c:v>
                </c:pt>
                <c:pt idx="398">
                  <c:v>113</c:v>
                </c:pt>
                <c:pt idx="399">
                  <c:v>89</c:v>
                </c:pt>
                <c:pt idx="400">
                  <c:v>84</c:v>
                </c:pt>
                <c:pt idx="401">
                  <c:v>130</c:v>
                </c:pt>
                <c:pt idx="402">
                  <c:v>163</c:v>
                </c:pt>
                <c:pt idx="403">
                  <c:v>127</c:v>
                </c:pt>
                <c:pt idx="404">
                  <c:v>50</c:v>
                </c:pt>
                <c:pt idx="405">
                  <c:v>88</c:v>
                </c:pt>
                <c:pt idx="406">
                  <c:v>139</c:v>
                </c:pt>
                <c:pt idx="407">
                  <c:v>111</c:v>
                </c:pt>
                <c:pt idx="408">
                  <c:v>115</c:v>
                </c:pt>
                <c:pt idx="409">
                  <c:v>26</c:v>
                </c:pt>
                <c:pt idx="410">
                  <c:v>131</c:v>
                </c:pt>
                <c:pt idx="411">
                  <c:v>27</c:v>
                </c:pt>
                <c:pt idx="412">
                  <c:v>75</c:v>
                </c:pt>
                <c:pt idx="413">
                  <c:v>123</c:v>
                </c:pt>
                <c:pt idx="414">
                  <c:v>129</c:v>
                </c:pt>
                <c:pt idx="415">
                  <c:v>124</c:v>
                </c:pt>
                <c:pt idx="416">
                  <c:v>108</c:v>
                </c:pt>
                <c:pt idx="417">
                  <c:v>15</c:v>
                </c:pt>
                <c:pt idx="418">
                  <c:v>66</c:v>
                </c:pt>
                <c:pt idx="419">
                  <c:v>126</c:v>
                </c:pt>
                <c:pt idx="420">
                  <c:v>26</c:v>
                </c:pt>
                <c:pt idx="421">
                  <c:v>105</c:v>
                </c:pt>
                <c:pt idx="422">
                  <c:v>31</c:v>
                </c:pt>
                <c:pt idx="423">
                  <c:v>109</c:v>
                </c:pt>
                <c:pt idx="424">
                  <c:v>113</c:v>
                </c:pt>
                <c:pt idx="425">
                  <c:v>101</c:v>
                </c:pt>
                <c:pt idx="426">
                  <c:v>156</c:v>
                </c:pt>
                <c:pt idx="427">
                  <c:v>145</c:v>
                </c:pt>
                <c:pt idx="428">
                  <c:v>36</c:v>
                </c:pt>
                <c:pt idx="429">
                  <c:v>135</c:v>
                </c:pt>
                <c:pt idx="430">
                  <c:v>81</c:v>
                </c:pt>
                <c:pt idx="431">
                  <c:v>81</c:v>
                </c:pt>
                <c:pt idx="432">
                  <c:v>93</c:v>
                </c:pt>
                <c:pt idx="433">
                  <c:v>14</c:v>
                </c:pt>
                <c:pt idx="434">
                  <c:v>95</c:v>
                </c:pt>
                <c:pt idx="435">
                  <c:v>81</c:v>
                </c:pt>
                <c:pt idx="436">
                  <c:v>60</c:v>
                </c:pt>
                <c:pt idx="437">
                  <c:v>137</c:v>
                </c:pt>
                <c:pt idx="438">
                  <c:v>112</c:v>
                </c:pt>
                <c:pt idx="439">
                  <c:v>76</c:v>
                </c:pt>
                <c:pt idx="440">
                  <c:v>73</c:v>
                </c:pt>
                <c:pt idx="441">
                  <c:v>119</c:v>
                </c:pt>
                <c:pt idx="442">
                  <c:v>135</c:v>
                </c:pt>
                <c:pt idx="443">
                  <c:v>41</c:v>
                </c:pt>
                <c:pt idx="444">
                  <c:v>35</c:v>
                </c:pt>
                <c:pt idx="445">
                  <c:v>96</c:v>
                </c:pt>
                <c:pt idx="446">
                  <c:v>61</c:v>
                </c:pt>
                <c:pt idx="447">
                  <c:v>91</c:v>
                </c:pt>
                <c:pt idx="448">
                  <c:v>30</c:v>
                </c:pt>
                <c:pt idx="449">
                  <c:v>111</c:v>
                </c:pt>
                <c:pt idx="450">
                  <c:v>81</c:v>
                </c:pt>
                <c:pt idx="451">
                  <c:v>40</c:v>
                </c:pt>
                <c:pt idx="452">
                  <c:v>143</c:v>
                </c:pt>
                <c:pt idx="453">
                  <c:v>70</c:v>
                </c:pt>
                <c:pt idx="454">
                  <c:v>137</c:v>
                </c:pt>
                <c:pt idx="455">
                  <c:v>52</c:v>
                </c:pt>
                <c:pt idx="456">
                  <c:v>31</c:v>
                </c:pt>
                <c:pt idx="457">
                  <c:v>114</c:v>
                </c:pt>
                <c:pt idx="458">
                  <c:v>73</c:v>
                </c:pt>
                <c:pt idx="459">
                  <c:v>25</c:v>
                </c:pt>
                <c:pt idx="460">
                  <c:v>44</c:v>
                </c:pt>
                <c:pt idx="461">
                  <c:v>34</c:v>
                </c:pt>
                <c:pt idx="462">
                  <c:v>89</c:v>
                </c:pt>
                <c:pt idx="463">
                  <c:v>54</c:v>
                </c:pt>
                <c:pt idx="464">
                  <c:v>25</c:v>
                </c:pt>
                <c:pt idx="465">
                  <c:v>91</c:v>
                </c:pt>
                <c:pt idx="466">
                  <c:v>144</c:v>
                </c:pt>
                <c:pt idx="467">
                  <c:v>81</c:v>
                </c:pt>
                <c:pt idx="468">
                  <c:v>92</c:v>
                </c:pt>
                <c:pt idx="469">
                  <c:v>115</c:v>
                </c:pt>
                <c:pt idx="470">
                  <c:v>56</c:v>
                </c:pt>
                <c:pt idx="471">
                  <c:v>154</c:v>
                </c:pt>
                <c:pt idx="472">
                  <c:v>51</c:v>
                </c:pt>
                <c:pt idx="473">
                  <c:v>21</c:v>
                </c:pt>
                <c:pt idx="474">
                  <c:v>80</c:v>
                </c:pt>
                <c:pt idx="475">
                  <c:v>139</c:v>
                </c:pt>
                <c:pt idx="476">
                  <c:v>50</c:v>
                </c:pt>
                <c:pt idx="477">
                  <c:v>88</c:v>
                </c:pt>
                <c:pt idx="478">
                  <c:v>19</c:v>
                </c:pt>
                <c:pt idx="479">
                  <c:v>104</c:v>
                </c:pt>
                <c:pt idx="480">
                  <c:v>67</c:v>
                </c:pt>
                <c:pt idx="481">
                  <c:v>107</c:v>
                </c:pt>
                <c:pt idx="482">
                  <c:v>93</c:v>
                </c:pt>
                <c:pt idx="483">
                  <c:v>117</c:v>
                </c:pt>
                <c:pt idx="484">
                  <c:v>76</c:v>
                </c:pt>
                <c:pt idx="485">
                  <c:v>64</c:v>
                </c:pt>
                <c:pt idx="486">
                  <c:v>33</c:v>
                </c:pt>
                <c:pt idx="487">
                  <c:v>115</c:v>
                </c:pt>
                <c:pt idx="488">
                  <c:v>155</c:v>
                </c:pt>
                <c:pt idx="489">
                  <c:v>117</c:v>
                </c:pt>
                <c:pt idx="490">
                  <c:v>63</c:v>
                </c:pt>
                <c:pt idx="491">
                  <c:v>59</c:v>
                </c:pt>
                <c:pt idx="492">
                  <c:v>133</c:v>
                </c:pt>
                <c:pt idx="493">
                  <c:v>101</c:v>
                </c:pt>
                <c:pt idx="494">
                  <c:v>151</c:v>
                </c:pt>
                <c:pt idx="495">
                  <c:v>146</c:v>
                </c:pt>
                <c:pt idx="496">
                  <c:v>148</c:v>
                </c:pt>
                <c:pt idx="497">
                  <c:v>81</c:v>
                </c:pt>
                <c:pt idx="498">
                  <c:v>115</c:v>
                </c:pt>
                <c:pt idx="499">
                  <c:v>117</c:v>
                </c:pt>
                <c:pt idx="500">
                  <c:v>110</c:v>
                </c:pt>
                <c:pt idx="501">
                  <c:v>103</c:v>
                </c:pt>
                <c:pt idx="502">
                  <c:v>45</c:v>
                </c:pt>
                <c:pt idx="503">
                  <c:v>110</c:v>
                </c:pt>
                <c:pt idx="504">
                  <c:v>43</c:v>
                </c:pt>
                <c:pt idx="505">
                  <c:v>104</c:v>
                </c:pt>
                <c:pt idx="506">
                  <c:v>101</c:v>
                </c:pt>
                <c:pt idx="507">
                  <c:v>55</c:v>
                </c:pt>
                <c:pt idx="508">
                  <c:v>40</c:v>
                </c:pt>
                <c:pt idx="509">
                  <c:v>122</c:v>
                </c:pt>
                <c:pt idx="510">
                  <c:v>98</c:v>
                </c:pt>
                <c:pt idx="511">
                  <c:v>110</c:v>
                </c:pt>
                <c:pt idx="512">
                  <c:v>62</c:v>
                </c:pt>
                <c:pt idx="513">
                  <c:v>134</c:v>
                </c:pt>
                <c:pt idx="514">
                  <c:v>94</c:v>
                </c:pt>
                <c:pt idx="515">
                  <c:v>63</c:v>
                </c:pt>
                <c:pt idx="516">
                  <c:v>95</c:v>
                </c:pt>
                <c:pt idx="517">
                  <c:v>106</c:v>
                </c:pt>
                <c:pt idx="518">
                  <c:v>94</c:v>
                </c:pt>
                <c:pt idx="519">
                  <c:v>51</c:v>
                </c:pt>
                <c:pt idx="520">
                  <c:v>39</c:v>
                </c:pt>
                <c:pt idx="521">
                  <c:v>111</c:v>
                </c:pt>
                <c:pt idx="522">
                  <c:v>141</c:v>
                </c:pt>
                <c:pt idx="523">
                  <c:v>147</c:v>
                </c:pt>
                <c:pt idx="524">
                  <c:v>49</c:v>
                </c:pt>
                <c:pt idx="525">
                  <c:v>75</c:v>
                </c:pt>
                <c:pt idx="526">
                  <c:v>48</c:v>
                </c:pt>
                <c:pt idx="527">
                  <c:v>48</c:v>
                </c:pt>
                <c:pt idx="528">
                  <c:v>138</c:v>
                </c:pt>
                <c:pt idx="529">
                  <c:v>144</c:v>
                </c:pt>
                <c:pt idx="530">
                  <c:v>119</c:v>
                </c:pt>
                <c:pt idx="531">
                  <c:v>101</c:v>
                </c:pt>
                <c:pt idx="532">
                  <c:v>59</c:v>
                </c:pt>
                <c:pt idx="533">
                  <c:v>125</c:v>
                </c:pt>
                <c:pt idx="534">
                  <c:v>147</c:v>
                </c:pt>
                <c:pt idx="535">
                  <c:v>76</c:v>
                </c:pt>
                <c:pt idx="536">
                  <c:v>99</c:v>
                </c:pt>
                <c:pt idx="537">
                  <c:v>111</c:v>
                </c:pt>
                <c:pt idx="538">
                  <c:v>147</c:v>
                </c:pt>
                <c:pt idx="539">
                  <c:v>141</c:v>
                </c:pt>
                <c:pt idx="540">
                  <c:v>71</c:v>
                </c:pt>
                <c:pt idx="541">
                  <c:v>121</c:v>
                </c:pt>
                <c:pt idx="542">
                  <c:v>60</c:v>
                </c:pt>
                <c:pt idx="543">
                  <c:v>158</c:v>
                </c:pt>
                <c:pt idx="544">
                  <c:v>159</c:v>
                </c:pt>
                <c:pt idx="545">
                  <c:v>70</c:v>
                </c:pt>
                <c:pt idx="546">
                  <c:v>78</c:v>
                </c:pt>
                <c:pt idx="547">
                  <c:v>103</c:v>
                </c:pt>
                <c:pt idx="548">
                  <c:v>108</c:v>
                </c:pt>
                <c:pt idx="549">
                  <c:v>44</c:v>
                </c:pt>
                <c:pt idx="550">
                  <c:v>127</c:v>
                </c:pt>
                <c:pt idx="551">
                  <c:v>132</c:v>
                </c:pt>
                <c:pt idx="552">
                  <c:v>106</c:v>
                </c:pt>
                <c:pt idx="553">
                  <c:v>107</c:v>
                </c:pt>
                <c:pt idx="554">
                  <c:v>85</c:v>
                </c:pt>
                <c:pt idx="555">
                  <c:v>49</c:v>
                </c:pt>
                <c:pt idx="556">
                  <c:v>117</c:v>
                </c:pt>
                <c:pt idx="557">
                  <c:v>136</c:v>
                </c:pt>
                <c:pt idx="558">
                  <c:v>130</c:v>
                </c:pt>
                <c:pt idx="559">
                  <c:v>73</c:v>
                </c:pt>
                <c:pt idx="560">
                  <c:v>80</c:v>
                </c:pt>
                <c:pt idx="561">
                  <c:v>44</c:v>
                </c:pt>
                <c:pt idx="562">
                  <c:v>102</c:v>
                </c:pt>
                <c:pt idx="563">
                  <c:v>74</c:v>
                </c:pt>
                <c:pt idx="564">
                  <c:v>52</c:v>
                </c:pt>
                <c:pt idx="565">
                  <c:v>74</c:v>
                </c:pt>
                <c:pt idx="566">
                  <c:v>96</c:v>
                </c:pt>
                <c:pt idx="567">
                  <c:v>104</c:v>
                </c:pt>
                <c:pt idx="568">
                  <c:v>123</c:v>
                </c:pt>
                <c:pt idx="569">
                  <c:v>100</c:v>
                </c:pt>
                <c:pt idx="570">
                  <c:v>35</c:v>
                </c:pt>
                <c:pt idx="571">
                  <c:v>123</c:v>
                </c:pt>
                <c:pt idx="572">
                  <c:v>133</c:v>
                </c:pt>
                <c:pt idx="573">
                  <c:v>126</c:v>
                </c:pt>
                <c:pt idx="574">
                  <c:v>39</c:v>
                </c:pt>
                <c:pt idx="575">
                  <c:v>31</c:v>
                </c:pt>
                <c:pt idx="576">
                  <c:v>25</c:v>
                </c:pt>
                <c:pt idx="577">
                  <c:v>132</c:v>
                </c:pt>
                <c:pt idx="578">
                  <c:v>63</c:v>
                </c:pt>
                <c:pt idx="579">
                  <c:v>135</c:v>
                </c:pt>
                <c:pt idx="580">
                  <c:v>101</c:v>
                </c:pt>
                <c:pt idx="581">
                  <c:v>80</c:v>
                </c:pt>
                <c:pt idx="582">
                  <c:v>28</c:v>
                </c:pt>
                <c:pt idx="583">
                  <c:v>102</c:v>
                </c:pt>
                <c:pt idx="584">
                  <c:v>60</c:v>
                </c:pt>
                <c:pt idx="585">
                  <c:v>103</c:v>
                </c:pt>
                <c:pt idx="586">
                  <c:v>90</c:v>
                </c:pt>
                <c:pt idx="587">
                  <c:v>88</c:v>
                </c:pt>
                <c:pt idx="588">
                  <c:v>37</c:v>
                </c:pt>
                <c:pt idx="589">
                  <c:v>142</c:v>
                </c:pt>
                <c:pt idx="590">
                  <c:v>153</c:v>
                </c:pt>
                <c:pt idx="591">
                  <c:v>128</c:v>
                </c:pt>
                <c:pt idx="592">
                  <c:v>110</c:v>
                </c:pt>
                <c:pt idx="593">
                  <c:v>139</c:v>
                </c:pt>
                <c:pt idx="594">
                  <c:v>109</c:v>
                </c:pt>
                <c:pt idx="595">
                  <c:v>57</c:v>
                </c:pt>
                <c:pt idx="596">
                  <c:v>68</c:v>
                </c:pt>
                <c:pt idx="597">
                  <c:v>128</c:v>
                </c:pt>
                <c:pt idx="598">
                  <c:v>102</c:v>
                </c:pt>
                <c:pt idx="599">
                  <c:v>52</c:v>
                </c:pt>
                <c:pt idx="600">
                  <c:v>55</c:v>
                </c:pt>
                <c:pt idx="601">
                  <c:v>107</c:v>
                </c:pt>
                <c:pt idx="602">
                  <c:v>88</c:v>
                </c:pt>
                <c:pt idx="603">
                  <c:v>49</c:v>
                </c:pt>
                <c:pt idx="604">
                  <c:v>72</c:v>
                </c:pt>
                <c:pt idx="605">
                  <c:v>50</c:v>
                </c:pt>
                <c:pt idx="606">
                  <c:v>52</c:v>
                </c:pt>
                <c:pt idx="607">
                  <c:v>85</c:v>
                </c:pt>
                <c:pt idx="608">
                  <c:v>98</c:v>
                </c:pt>
                <c:pt idx="609">
                  <c:v>52</c:v>
                </c:pt>
                <c:pt idx="610">
                  <c:v>154</c:v>
                </c:pt>
                <c:pt idx="611">
                  <c:v>131</c:v>
                </c:pt>
                <c:pt idx="612">
                  <c:v>73</c:v>
                </c:pt>
                <c:pt idx="613">
                  <c:v>45</c:v>
                </c:pt>
                <c:pt idx="614">
                  <c:v>114</c:v>
                </c:pt>
                <c:pt idx="615">
                  <c:v>69</c:v>
                </c:pt>
                <c:pt idx="616">
                  <c:v>33</c:v>
                </c:pt>
                <c:pt idx="617">
                  <c:v>31</c:v>
                </c:pt>
                <c:pt idx="618">
                  <c:v>168</c:v>
                </c:pt>
                <c:pt idx="619">
                  <c:v>111</c:v>
                </c:pt>
                <c:pt idx="620">
                  <c:v>80</c:v>
                </c:pt>
                <c:pt idx="621">
                  <c:v>37</c:v>
                </c:pt>
                <c:pt idx="622">
                  <c:v>137</c:v>
                </c:pt>
                <c:pt idx="623">
                  <c:v>123</c:v>
                </c:pt>
                <c:pt idx="624">
                  <c:v>105</c:v>
                </c:pt>
                <c:pt idx="625">
                  <c:v>76</c:v>
                </c:pt>
                <c:pt idx="626">
                  <c:v>144</c:v>
                </c:pt>
                <c:pt idx="627">
                  <c:v>109</c:v>
                </c:pt>
                <c:pt idx="628">
                  <c:v>172</c:v>
                </c:pt>
                <c:pt idx="629">
                  <c:v>56</c:v>
                </c:pt>
                <c:pt idx="630">
                  <c:v>121</c:v>
                </c:pt>
                <c:pt idx="631">
                  <c:v>41</c:v>
                </c:pt>
                <c:pt idx="632">
                  <c:v>60</c:v>
                </c:pt>
                <c:pt idx="633">
                  <c:v>144</c:v>
                </c:pt>
                <c:pt idx="634">
                  <c:v>67</c:v>
                </c:pt>
                <c:pt idx="635">
                  <c:v>162</c:v>
                </c:pt>
                <c:pt idx="636">
                  <c:v>87</c:v>
                </c:pt>
                <c:pt idx="637">
                  <c:v>10</c:v>
                </c:pt>
                <c:pt idx="638">
                  <c:v>138</c:v>
                </c:pt>
                <c:pt idx="639">
                  <c:v>31</c:v>
                </c:pt>
                <c:pt idx="640">
                  <c:v>75</c:v>
                </c:pt>
                <c:pt idx="641">
                  <c:v>65</c:v>
                </c:pt>
                <c:pt idx="642">
                  <c:v>106</c:v>
                </c:pt>
                <c:pt idx="643">
                  <c:v>107</c:v>
                </c:pt>
                <c:pt idx="644">
                  <c:v>78</c:v>
                </c:pt>
                <c:pt idx="645">
                  <c:v>122</c:v>
                </c:pt>
                <c:pt idx="646">
                  <c:v>58</c:v>
                </c:pt>
                <c:pt idx="647">
                  <c:v>33</c:v>
                </c:pt>
                <c:pt idx="648">
                  <c:v>164</c:v>
                </c:pt>
                <c:pt idx="649">
                  <c:v>163</c:v>
                </c:pt>
                <c:pt idx="650">
                  <c:v>71</c:v>
                </c:pt>
                <c:pt idx="651">
                  <c:v>103</c:v>
                </c:pt>
                <c:pt idx="652">
                  <c:v>69</c:v>
                </c:pt>
                <c:pt idx="653">
                  <c:v>111</c:v>
                </c:pt>
                <c:pt idx="654">
                  <c:v>97</c:v>
                </c:pt>
                <c:pt idx="655">
                  <c:v>144</c:v>
                </c:pt>
                <c:pt idx="656">
                  <c:v>56</c:v>
                </c:pt>
                <c:pt idx="657">
                  <c:v>132</c:v>
                </c:pt>
                <c:pt idx="658">
                  <c:v>72</c:v>
                </c:pt>
                <c:pt idx="659">
                  <c:v>18</c:v>
                </c:pt>
                <c:pt idx="660">
                  <c:v>115</c:v>
                </c:pt>
                <c:pt idx="661">
                  <c:v>124</c:v>
                </c:pt>
                <c:pt idx="662">
                  <c:v>130</c:v>
                </c:pt>
                <c:pt idx="663">
                  <c:v>120</c:v>
                </c:pt>
                <c:pt idx="664">
                  <c:v>75</c:v>
                </c:pt>
                <c:pt idx="665">
                  <c:v>63</c:v>
                </c:pt>
                <c:pt idx="666">
                  <c:v>74</c:v>
                </c:pt>
                <c:pt idx="667">
                  <c:v>134</c:v>
                </c:pt>
                <c:pt idx="668">
                  <c:v>103</c:v>
                </c:pt>
                <c:pt idx="669">
                  <c:v>155</c:v>
                </c:pt>
                <c:pt idx="670">
                  <c:v>128</c:v>
                </c:pt>
                <c:pt idx="671">
                  <c:v>89</c:v>
                </c:pt>
                <c:pt idx="672">
                  <c:v>81</c:v>
                </c:pt>
                <c:pt idx="673">
                  <c:v>66</c:v>
                </c:pt>
                <c:pt idx="674">
                  <c:v>61</c:v>
                </c:pt>
                <c:pt idx="675">
                  <c:v>128</c:v>
                </c:pt>
                <c:pt idx="676">
                  <c:v>30</c:v>
                </c:pt>
                <c:pt idx="677">
                  <c:v>63</c:v>
                </c:pt>
                <c:pt idx="678">
                  <c:v>64</c:v>
                </c:pt>
                <c:pt idx="679">
                  <c:v>151</c:v>
                </c:pt>
                <c:pt idx="680">
                  <c:v>116</c:v>
                </c:pt>
                <c:pt idx="681">
                  <c:v>111</c:v>
                </c:pt>
                <c:pt idx="682">
                  <c:v>15</c:v>
                </c:pt>
                <c:pt idx="683">
                  <c:v>18</c:v>
                </c:pt>
                <c:pt idx="684">
                  <c:v>146</c:v>
                </c:pt>
                <c:pt idx="685">
                  <c:v>73</c:v>
                </c:pt>
                <c:pt idx="686">
                  <c:v>108</c:v>
                </c:pt>
                <c:pt idx="687">
                  <c:v>52</c:v>
                </c:pt>
                <c:pt idx="688">
                  <c:v>165</c:v>
                </c:pt>
                <c:pt idx="689">
                  <c:v>104</c:v>
                </c:pt>
                <c:pt idx="690">
                  <c:v>131</c:v>
                </c:pt>
                <c:pt idx="691">
                  <c:v>80</c:v>
                </c:pt>
                <c:pt idx="692">
                  <c:v>49</c:v>
                </c:pt>
                <c:pt idx="693">
                  <c:v>73</c:v>
                </c:pt>
                <c:pt idx="694">
                  <c:v>117</c:v>
                </c:pt>
                <c:pt idx="695">
                  <c:v>38</c:v>
                </c:pt>
                <c:pt idx="696">
                  <c:v>109</c:v>
                </c:pt>
                <c:pt idx="697">
                  <c:v>70</c:v>
                </c:pt>
                <c:pt idx="698">
                  <c:v>51</c:v>
                </c:pt>
                <c:pt idx="699">
                  <c:v>100</c:v>
                </c:pt>
                <c:pt idx="700">
                  <c:v>124</c:v>
                </c:pt>
                <c:pt idx="701">
                  <c:v>143</c:v>
                </c:pt>
                <c:pt idx="702">
                  <c:v>96</c:v>
                </c:pt>
                <c:pt idx="703">
                  <c:v>84</c:v>
                </c:pt>
                <c:pt idx="704">
                  <c:v>111</c:v>
                </c:pt>
                <c:pt idx="705">
                  <c:v>103</c:v>
                </c:pt>
                <c:pt idx="706">
                  <c:v>61</c:v>
                </c:pt>
                <c:pt idx="707">
                  <c:v>113</c:v>
                </c:pt>
                <c:pt idx="708">
                  <c:v>96</c:v>
                </c:pt>
                <c:pt idx="709">
                  <c:v>131</c:v>
                </c:pt>
                <c:pt idx="710">
                  <c:v>52</c:v>
                </c:pt>
                <c:pt idx="711">
                  <c:v>100</c:v>
                </c:pt>
                <c:pt idx="712">
                  <c:v>58</c:v>
                </c:pt>
                <c:pt idx="713">
                  <c:v>144</c:v>
                </c:pt>
                <c:pt idx="714">
                  <c:v>53</c:v>
                </c:pt>
                <c:pt idx="715">
                  <c:v>97</c:v>
                </c:pt>
                <c:pt idx="716">
                  <c:v>64</c:v>
                </c:pt>
                <c:pt idx="717">
                  <c:v>106</c:v>
                </c:pt>
                <c:pt idx="718">
                  <c:v>36</c:v>
                </c:pt>
                <c:pt idx="719">
                  <c:v>74</c:v>
                </c:pt>
                <c:pt idx="720">
                  <c:v>143</c:v>
                </c:pt>
                <c:pt idx="721">
                  <c:v>94</c:v>
                </c:pt>
                <c:pt idx="722">
                  <c:v>124</c:v>
                </c:pt>
                <c:pt idx="723">
                  <c:v>156</c:v>
                </c:pt>
                <c:pt idx="724">
                  <c:v>107</c:v>
                </c:pt>
                <c:pt idx="725">
                  <c:v>58</c:v>
                </c:pt>
                <c:pt idx="726">
                  <c:v>66</c:v>
                </c:pt>
                <c:pt idx="727">
                  <c:v>75</c:v>
                </c:pt>
                <c:pt idx="728">
                  <c:v>8</c:v>
                </c:pt>
                <c:pt idx="729">
                  <c:v>76</c:v>
                </c:pt>
                <c:pt idx="730">
                  <c:v>110</c:v>
                </c:pt>
                <c:pt idx="731">
                  <c:v>50</c:v>
                </c:pt>
                <c:pt idx="732">
                  <c:v>78</c:v>
                </c:pt>
                <c:pt idx="733">
                  <c:v>59</c:v>
                </c:pt>
                <c:pt idx="734">
                  <c:v>126</c:v>
                </c:pt>
                <c:pt idx="735">
                  <c:v>43</c:v>
                </c:pt>
                <c:pt idx="736">
                  <c:v>79</c:v>
                </c:pt>
                <c:pt idx="737">
                  <c:v>71</c:v>
                </c:pt>
                <c:pt idx="738">
                  <c:v>94</c:v>
                </c:pt>
                <c:pt idx="739">
                  <c:v>108</c:v>
                </c:pt>
                <c:pt idx="740">
                  <c:v>76</c:v>
                </c:pt>
                <c:pt idx="741">
                  <c:v>136</c:v>
                </c:pt>
                <c:pt idx="742">
                  <c:v>129</c:v>
                </c:pt>
                <c:pt idx="743">
                  <c:v>120</c:v>
                </c:pt>
                <c:pt idx="744">
                  <c:v>108</c:v>
                </c:pt>
                <c:pt idx="745">
                  <c:v>79</c:v>
                </c:pt>
                <c:pt idx="746">
                  <c:v>45</c:v>
                </c:pt>
                <c:pt idx="747">
                  <c:v>96</c:v>
                </c:pt>
                <c:pt idx="748">
                  <c:v>81</c:v>
                </c:pt>
                <c:pt idx="749">
                  <c:v>95</c:v>
                </c:pt>
                <c:pt idx="750">
                  <c:v>159</c:v>
                </c:pt>
                <c:pt idx="751">
                  <c:v>109</c:v>
                </c:pt>
                <c:pt idx="752">
                  <c:v>107</c:v>
                </c:pt>
                <c:pt idx="753">
                  <c:v>67</c:v>
                </c:pt>
                <c:pt idx="754">
                  <c:v>96</c:v>
                </c:pt>
                <c:pt idx="755">
                  <c:v>142</c:v>
                </c:pt>
                <c:pt idx="756">
                  <c:v>71</c:v>
                </c:pt>
                <c:pt idx="757">
                  <c:v>152</c:v>
                </c:pt>
                <c:pt idx="758">
                  <c:v>108</c:v>
                </c:pt>
                <c:pt idx="759">
                  <c:v>156</c:v>
                </c:pt>
                <c:pt idx="760">
                  <c:v>126</c:v>
                </c:pt>
                <c:pt idx="761">
                  <c:v>135</c:v>
                </c:pt>
                <c:pt idx="762">
                  <c:v>110</c:v>
                </c:pt>
                <c:pt idx="763">
                  <c:v>64</c:v>
                </c:pt>
                <c:pt idx="764">
                  <c:v>127</c:v>
                </c:pt>
                <c:pt idx="765">
                  <c:v>124</c:v>
                </c:pt>
                <c:pt idx="766">
                  <c:v>125</c:v>
                </c:pt>
                <c:pt idx="767">
                  <c:v>70</c:v>
                </c:pt>
                <c:pt idx="768">
                  <c:v>93</c:v>
                </c:pt>
                <c:pt idx="769">
                  <c:v>120</c:v>
                </c:pt>
                <c:pt idx="770">
                  <c:v>96</c:v>
                </c:pt>
                <c:pt idx="771">
                  <c:v>67</c:v>
                </c:pt>
                <c:pt idx="772">
                  <c:v>119</c:v>
                </c:pt>
                <c:pt idx="773">
                  <c:v>61</c:v>
                </c:pt>
                <c:pt idx="774">
                  <c:v>29</c:v>
                </c:pt>
                <c:pt idx="775">
                  <c:v>134</c:v>
                </c:pt>
                <c:pt idx="776">
                  <c:v>113</c:v>
                </c:pt>
                <c:pt idx="777">
                  <c:v>12</c:v>
                </c:pt>
                <c:pt idx="778">
                  <c:v>78</c:v>
                </c:pt>
                <c:pt idx="779">
                  <c:v>82</c:v>
                </c:pt>
                <c:pt idx="780">
                  <c:v>149</c:v>
                </c:pt>
                <c:pt idx="781">
                  <c:v>56</c:v>
                </c:pt>
                <c:pt idx="782">
                  <c:v>80</c:v>
                </c:pt>
                <c:pt idx="783">
                  <c:v>131</c:v>
                </c:pt>
                <c:pt idx="784">
                  <c:v>109</c:v>
                </c:pt>
                <c:pt idx="785">
                  <c:v>142</c:v>
                </c:pt>
                <c:pt idx="786">
                  <c:v>114</c:v>
                </c:pt>
                <c:pt idx="787">
                  <c:v>93</c:v>
                </c:pt>
                <c:pt idx="788">
                  <c:v>43</c:v>
                </c:pt>
                <c:pt idx="789">
                  <c:v>78</c:v>
                </c:pt>
                <c:pt idx="790">
                  <c:v>89</c:v>
                </c:pt>
                <c:pt idx="791">
                  <c:v>82</c:v>
                </c:pt>
                <c:pt idx="792">
                  <c:v>86</c:v>
                </c:pt>
                <c:pt idx="793">
                  <c:v>57</c:v>
                </c:pt>
                <c:pt idx="794">
                  <c:v>103</c:v>
                </c:pt>
                <c:pt idx="795">
                  <c:v>138</c:v>
                </c:pt>
                <c:pt idx="796">
                  <c:v>88</c:v>
                </c:pt>
                <c:pt idx="797">
                  <c:v>118</c:v>
                </c:pt>
                <c:pt idx="798">
                  <c:v>4</c:v>
                </c:pt>
                <c:pt idx="799">
                  <c:v>78</c:v>
                </c:pt>
                <c:pt idx="800">
                  <c:v>69</c:v>
                </c:pt>
                <c:pt idx="801">
                  <c:v>90</c:v>
                </c:pt>
                <c:pt idx="802">
                  <c:v>134</c:v>
                </c:pt>
                <c:pt idx="803">
                  <c:v>65</c:v>
                </c:pt>
                <c:pt idx="804">
                  <c:v>54</c:v>
                </c:pt>
                <c:pt idx="805">
                  <c:v>90</c:v>
                </c:pt>
                <c:pt idx="806">
                  <c:v>66</c:v>
                </c:pt>
                <c:pt idx="807">
                  <c:v>150</c:v>
                </c:pt>
                <c:pt idx="808">
                  <c:v>18</c:v>
                </c:pt>
                <c:pt idx="809">
                  <c:v>87</c:v>
                </c:pt>
                <c:pt idx="810">
                  <c:v>94</c:v>
                </c:pt>
                <c:pt idx="811">
                  <c:v>56</c:v>
                </c:pt>
                <c:pt idx="812">
                  <c:v>41</c:v>
                </c:pt>
                <c:pt idx="813">
                  <c:v>119</c:v>
                </c:pt>
                <c:pt idx="814">
                  <c:v>108</c:v>
                </c:pt>
                <c:pt idx="815">
                  <c:v>63</c:v>
                </c:pt>
                <c:pt idx="816">
                  <c:v>59</c:v>
                </c:pt>
                <c:pt idx="817">
                  <c:v>90</c:v>
                </c:pt>
                <c:pt idx="818">
                  <c:v>55</c:v>
                </c:pt>
                <c:pt idx="819">
                  <c:v>84</c:v>
                </c:pt>
                <c:pt idx="820">
                  <c:v>150</c:v>
                </c:pt>
                <c:pt idx="821">
                  <c:v>69</c:v>
                </c:pt>
                <c:pt idx="822">
                  <c:v>120</c:v>
                </c:pt>
                <c:pt idx="823">
                  <c:v>126</c:v>
                </c:pt>
                <c:pt idx="824">
                  <c:v>120</c:v>
                </c:pt>
                <c:pt idx="825">
                  <c:v>139</c:v>
                </c:pt>
                <c:pt idx="826">
                  <c:v>124</c:v>
                </c:pt>
                <c:pt idx="827">
                  <c:v>108</c:v>
                </c:pt>
                <c:pt idx="828">
                  <c:v>132</c:v>
                </c:pt>
                <c:pt idx="829">
                  <c:v>67</c:v>
                </c:pt>
                <c:pt idx="830">
                  <c:v>125</c:v>
                </c:pt>
                <c:pt idx="831">
                  <c:v>23</c:v>
                </c:pt>
                <c:pt idx="832">
                  <c:v>131</c:v>
                </c:pt>
                <c:pt idx="833">
                  <c:v>56</c:v>
                </c:pt>
                <c:pt idx="834">
                  <c:v>70</c:v>
                </c:pt>
                <c:pt idx="835">
                  <c:v>55</c:v>
                </c:pt>
                <c:pt idx="836">
                  <c:v>77</c:v>
                </c:pt>
                <c:pt idx="837">
                  <c:v>133</c:v>
                </c:pt>
                <c:pt idx="838">
                  <c:v>77</c:v>
                </c:pt>
                <c:pt idx="839">
                  <c:v>103</c:v>
                </c:pt>
                <c:pt idx="840">
                  <c:v>32</c:v>
                </c:pt>
                <c:pt idx="841">
                  <c:v>30</c:v>
                </c:pt>
                <c:pt idx="842">
                  <c:v>87</c:v>
                </c:pt>
                <c:pt idx="843">
                  <c:v>137</c:v>
                </c:pt>
                <c:pt idx="844">
                  <c:v>96</c:v>
                </c:pt>
                <c:pt idx="845">
                  <c:v>155</c:v>
                </c:pt>
                <c:pt idx="846">
                  <c:v>173</c:v>
                </c:pt>
                <c:pt idx="847">
                  <c:v>127</c:v>
                </c:pt>
                <c:pt idx="848">
                  <c:v>117</c:v>
                </c:pt>
                <c:pt idx="849">
                  <c:v>133</c:v>
                </c:pt>
                <c:pt idx="850">
                  <c:v>166</c:v>
                </c:pt>
                <c:pt idx="851">
                  <c:v>50</c:v>
                </c:pt>
                <c:pt idx="852">
                  <c:v>43</c:v>
                </c:pt>
                <c:pt idx="853">
                  <c:v>124</c:v>
                </c:pt>
                <c:pt idx="854">
                  <c:v>94</c:v>
                </c:pt>
                <c:pt idx="855">
                  <c:v>126</c:v>
                </c:pt>
                <c:pt idx="856">
                  <c:v>105</c:v>
                </c:pt>
                <c:pt idx="857">
                  <c:v>60</c:v>
                </c:pt>
                <c:pt idx="858">
                  <c:v>72</c:v>
                </c:pt>
                <c:pt idx="859">
                  <c:v>40</c:v>
                </c:pt>
                <c:pt idx="860">
                  <c:v>54</c:v>
                </c:pt>
                <c:pt idx="861">
                  <c:v>81</c:v>
                </c:pt>
                <c:pt idx="862">
                  <c:v>76</c:v>
                </c:pt>
                <c:pt idx="863">
                  <c:v>37</c:v>
                </c:pt>
                <c:pt idx="864">
                  <c:v>96</c:v>
                </c:pt>
                <c:pt idx="865">
                  <c:v>19</c:v>
                </c:pt>
                <c:pt idx="866">
                  <c:v>72</c:v>
                </c:pt>
                <c:pt idx="867">
                  <c:v>73</c:v>
                </c:pt>
                <c:pt idx="868">
                  <c:v>87</c:v>
                </c:pt>
                <c:pt idx="869">
                  <c:v>68</c:v>
                </c:pt>
                <c:pt idx="870">
                  <c:v>101</c:v>
                </c:pt>
                <c:pt idx="871">
                  <c:v>107</c:v>
                </c:pt>
                <c:pt idx="872">
                  <c:v>109</c:v>
                </c:pt>
                <c:pt idx="873">
                  <c:v>171</c:v>
                </c:pt>
                <c:pt idx="874">
                  <c:v>21</c:v>
                </c:pt>
                <c:pt idx="875">
                  <c:v>94</c:v>
                </c:pt>
                <c:pt idx="876">
                  <c:v>97</c:v>
                </c:pt>
                <c:pt idx="877">
                  <c:v>72</c:v>
                </c:pt>
                <c:pt idx="878">
                  <c:v>143</c:v>
                </c:pt>
                <c:pt idx="879">
                  <c:v>64</c:v>
                </c:pt>
                <c:pt idx="880">
                  <c:v>69</c:v>
                </c:pt>
                <c:pt idx="881">
                  <c:v>18</c:v>
                </c:pt>
                <c:pt idx="882">
                  <c:v>100</c:v>
                </c:pt>
                <c:pt idx="883">
                  <c:v>110</c:v>
                </c:pt>
                <c:pt idx="884">
                  <c:v>41</c:v>
                </c:pt>
                <c:pt idx="885">
                  <c:v>147</c:v>
                </c:pt>
                <c:pt idx="886">
                  <c:v>31</c:v>
                </c:pt>
                <c:pt idx="887">
                  <c:v>142</c:v>
                </c:pt>
                <c:pt idx="888">
                  <c:v>61</c:v>
                </c:pt>
                <c:pt idx="889">
                  <c:v>86</c:v>
                </c:pt>
                <c:pt idx="890">
                  <c:v>165</c:v>
                </c:pt>
                <c:pt idx="891">
                  <c:v>62</c:v>
                </c:pt>
                <c:pt idx="892">
                  <c:v>103</c:v>
                </c:pt>
                <c:pt idx="893">
                  <c:v>56</c:v>
                </c:pt>
                <c:pt idx="894">
                  <c:v>114</c:v>
                </c:pt>
                <c:pt idx="895">
                  <c:v>112</c:v>
                </c:pt>
                <c:pt idx="896">
                  <c:v>52</c:v>
                </c:pt>
                <c:pt idx="897">
                  <c:v>105</c:v>
                </c:pt>
                <c:pt idx="898">
                  <c:v>91</c:v>
                </c:pt>
                <c:pt idx="899">
                  <c:v>74</c:v>
                </c:pt>
                <c:pt idx="900">
                  <c:v>30</c:v>
                </c:pt>
                <c:pt idx="901">
                  <c:v>56</c:v>
                </c:pt>
                <c:pt idx="902">
                  <c:v>151</c:v>
                </c:pt>
                <c:pt idx="903">
                  <c:v>108</c:v>
                </c:pt>
                <c:pt idx="904">
                  <c:v>124</c:v>
                </c:pt>
                <c:pt idx="905">
                  <c:v>110</c:v>
                </c:pt>
                <c:pt idx="906">
                  <c:v>89</c:v>
                </c:pt>
                <c:pt idx="907">
                  <c:v>95</c:v>
                </c:pt>
                <c:pt idx="908">
                  <c:v>84</c:v>
                </c:pt>
                <c:pt idx="909">
                  <c:v>89</c:v>
                </c:pt>
                <c:pt idx="910">
                  <c:v>146</c:v>
                </c:pt>
                <c:pt idx="911">
                  <c:v>62</c:v>
                </c:pt>
                <c:pt idx="912">
                  <c:v>82</c:v>
                </c:pt>
                <c:pt idx="913">
                  <c:v>91</c:v>
                </c:pt>
                <c:pt idx="914">
                  <c:v>39</c:v>
                </c:pt>
                <c:pt idx="915">
                  <c:v>149</c:v>
                </c:pt>
                <c:pt idx="916">
                  <c:v>138</c:v>
                </c:pt>
                <c:pt idx="917">
                  <c:v>113</c:v>
                </c:pt>
                <c:pt idx="918">
                  <c:v>88</c:v>
                </c:pt>
                <c:pt idx="919">
                  <c:v>64</c:v>
                </c:pt>
                <c:pt idx="920">
                  <c:v>53</c:v>
                </c:pt>
                <c:pt idx="921">
                  <c:v>63</c:v>
                </c:pt>
                <c:pt idx="922">
                  <c:v>54</c:v>
                </c:pt>
                <c:pt idx="923">
                  <c:v>54</c:v>
                </c:pt>
                <c:pt idx="924">
                  <c:v>71</c:v>
                </c:pt>
                <c:pt idx="925">
                  <c:v>93</c:v>
                </c:pt>
                <c:pt idx="926">
                  <c:v>96</c:v>
                </c:pt>
                <c:pt idx="927">
                  <c:v>31</c:v>
                </c:pt>
                <c:pt idx="928">
                  <c:v>107</c:v>
                </c:pt>
                <c:pt idx="929">
                  <c:v>50</c:v>
                </c:pt>
                <c:pt idx="930">
                  <c:v>69</c:v>
                </c:pt>
                <c:pt idx="931">
                  <c:v>26</c:v>
                </c:pt>
                <c:pt idx="932">
                  <c:v>158</c:v>
                </c:pt>
                <c:pt idx="933">
                  <c:v>99</c:v>
                </c:pt>
                <c:pt idx="934">
                  <c:v>78</c:v>
                </c:pt>
                <c:pt idx="935">
                  <c:v>102</c:v>
                </c:pt>
                <c:pt idx="936">
                  <c:v>158</c:v>
                </c:pt>
                <c:pt idx="937">
                  <c:v>56</c:v>
                </c:pt>
                <c:pt idx="938">
                  <c:v>17</c:v>
                </c:pt>
                <c:pt idx="939">
                  <c:v>104</c:v>
                </c:pt>
                <c:pt idx="940">
                  <c:v>96</c:v>
                </c:pt>
                <c:pt idx="941">
                  <c:v>83</c:v>
                </c:pt>
                <c:pt idx="942">
                  <c:v>80</c:v>
                </c:pt>
                <c:pt idx="943">
                  <c:v>152</c:v>
                </c:pt>
                <c:pt idx="944">
                  <c:v>34</c:v>
                </c:pt>
                <c:pt idx="945">
                  <c:v>2</c:v>
                </c:pt>
                <c:pt idx="946">
                  <c:v>140</c:v>
                </c:pt>
                <c:pt idx="947">
                  <c:v>126</c:v>
                </c:pt>
                <c:pt idx="948">
                  <c:v>79</c:v>
                </c:pt>
                <c:pt idx="949">
                  <c:v>133</c:v>
                </c:pt>
                <c:pt idx="950">
                  <c:v>97</c:v>
                </c:pt>
                <c:pt idx="951">
                  <c:v>102</c:v>
                </c:pt>
                <c:pt idx="952">
                  <c:v>62</c:v>
                </c:pt>
                <c:pt idx="953">
                  <c:v>149</c:v>
                </c:pt>
                <c:pt idx="954">
                  <c:v>133</c:v>
                </c:pt>
                <c:pt idx="955">
                  <c:v>51</c:v>
                </c:pt>
                <c:pt idx="956">
                  <c:v>110</c:v>
                </c:pt>
                <c:pt idx="957">
                  <c:v>38</c:v>
                </c:pt>
                <c:pt idx="958">
                  <c:v>78</c:v>
                </c:pt>
                <c:pt idx="959">
                  <c:v>25</c:v>
                </c:pt>
                <c:pt idx="960">
                  <c:v>50</c:v>
                </c:pt>
                <c:pt idx="961">
                  <c:v>103</c:v>
                </c:pt>
                <c:pt idx="962">
                  <c:v>63</c:v>
                </c:pt>
                <c:pt idx="963">
                  <c:v>96</c:v>
                </c:pt>
                <c:pt idx="964">
                  <c:v>94</c:v>
                </c:pt>
                <c:pt idx="965">
                  <c:v>46</c:v>
                </c:pt>
                <c:pt idx="966">
                  <c:v>127</c:v>
                </c:pt>
                <c:pt idx="967">
                  <c:v>96</c:v>
                </c:pt>
                <c:pt idx="968">
                  <c:v>151</c:v>
                </c:pt>
                <c:pt idx="969">
                  <c:v>158</c:v>
                </c:pt>
                <c:pt idx="970">
                  <c:v>45</c:v>
                </c:pt>
                <c:pt idx="971">
                  <c:v>141</c:v>
                </c:pt>
                <c:pt idx="972">
                  <c:v>147</c:v>
                </c:pt>
                <c:pt idx="973">
                  <c:v>126</c:v>
                </c:pt>
                <c:pt idx="974">
                  <c:v>126</c:v>
                </c:pt>
                <c:pt idx="975">
                  <c:v>32</c:v>
                </c:pt>
                <c:pt idx="976">
                  <c:v>84</c:v>
                </c:pt>
                <c:pt idx="977">
                  <c:v>120</c:v>
                </c:pt>
                <c:pt idx="978">
                  <c:v>93</c:v>
                </c:pt>
                <c:pt idx="979">
                  <c:v>76</c:v>
                </c:pt>
                <c:pt idx="980">
                  <c:v>89</c:v>
                </c:pt>
                <c:pt idx="981">
                  <c:v>91</c:v>
                </c:pt>
                <c:pt idx="982">
                  <c:v>7</c:v>
                </c:pt>
                <c:pt idx="983">
                  <c:v>140</c:v>
                </c:pt>
                <c:pt idx="984">
                  <c:v>58</c:v>
                </c:pt>
                <c:pt idx="985">
                  <c:v>90</c:v>
                </c:pt>
                <c:pt idx="986">
                  <c:v>106</c:v>
                </c:pt>
                <c:pt idx="987">
                  <c:v>72</c:v>
                </c:pt>
                <c:pt idx="988">
                  <c:v>124</c:v>
                </c:pt>
                <c:pt idx="989">
                  <c:v>86</c:v>
                </c:pt>
                <c:pt idx="990">
                  <c:v>164</c:v>
                </c:pt>
                <c:pt idx="991">
                  <c:v>40</c:v>
                </c:pt>
                <c:pt idx="992">
                  <c:v>76</c:v>
                </c:pt>
                <c:pt idx="993">
                  <c:v>95</c:v>
                </c:pt>
                <c:pt idx="994">
                  <c:v>113</c:v>
                </c:pt>
                <c:pt idx="995">
                  <c:v>81</c:v>
                </c:pt>
                <c:pt idx="996">
                  <c:v>127</c:v>
                </c:pt>
                <c:pt idx="997">
                  <c:v>146</c:v>
                </c:pt>
                <c:pt idx="998">
                  <c:v>123</c:v>
                </c:pt>
                <c:pt idx="999">
                  <c:v>114</c:v>
                </c:pt>
              </c:numCache>
            </c:numRef>
          </c:xVal>
          <c:yVal>
            <c:numRef>
              <c:f>'Call Centre Data'!$K$2:$K$1001</c:f>
              <c:numCache>
                <c:formatCode>0</c:formatCode>
                <c:ptCount val="1000"/>
                <c:pt idx="0">
                  <c:v>5</c:v>
                </c:pt>
                <c:pt idx="1">
                  <c:v>3</c:v>
                </c:pt>
                <c:pt idx="2">
                  <c:v>5</c:v>
                </c:pt>
                <c:pt idx="3">
                  <c:v>3</c:v>
                </c:pt>
                <c:pt idx="4">
                  <c:v>3</c:v>
                </c:pt>
                <c:pt idx="5">
                  <c:v>5</c:v>
                </c:pt>
                <c:pt idx="6">
                  <c:v>5</c:v>
                </c:pt>
                <c:pt idx="7">
                  <c:v>4</c:v>
                </c:pt>
                <c:pt idx="8">
                  <c:v>4</c:v>
                </c:pt>
                <c:pt idx="9">
                  <c:v>3</c:v>
                </c:pt>
                <c:pt idx="10">
                  <c:v>5</c:v>
                </c:pt>
                <c:pt idx="11">
                  <c:v>3</c:v>
                </c:pt>
                <c:pt idx="12">
                  <c:v>4</c:v>
                </c:pt>
                <c:pt idx="13">
                  <c:v>4</c:v>
                </c:pt>
                <c:pt idx="14">
                  <c:v>5</c:v>
                </c:pt>
                <c:pt idx="15">
                  <c:v>5</c:v>
                </c:pt>
                <c:pt idx="16">
                  <c:v>4</c:v>
                </c:pt>
                <c:pt idx="17">
                  <c:v>4</c:v>
                </c:pt>
                <c:pt idx="18">
                  <c:v>4</c:v>
                </c:pt>
                <c:pt idx="19">
                  <c:v>4</c:v>
                </c:pt>
                <c:pt idx="20">
                  <c:v>5</c:v>
                </c:pt>
                <c:pt idx="21">
                  <c:v>5</c:v>
                </c:pt>
                <c:pt idx="22">
                  <c:v>5</c:v>
                </c:pt>
                <c:pt idx="23">
                  <c:v>2</c:v>
                </c:pt>
                <c:pt idx="24">
                  <c:v>3</c:v>
                </c:pt>
                <c:pt idx="25">
                  <c:v>4</c:v>
                </c:pt>
                <c:pt idx="26">
                  <c:v>4</c:v>
                </c:pt>
                <c:pt idx="27">
                  <c:v>5</c:v>
                </c:pt>
                <c:pt idx="28">
                  <c:v>3</c:v>
                </c:pt>
                <c:pt idx="29">
                  <c:v>5</c:v>
                </c:pt>
                <c:pt idx="30">
                  <c:v>4</c:v>
                </c:pt>
                <c:pt idx="31">
                  <c:v>4</c:v>
                </c:pt>
                <c:pt idx="32">
                  <c:v>5</c:v>
                </c:pt>
                <c:pt idx="33">
                  <c:v>5</c:v>
                </c:pt>
                <c:pt idx="34">
                  <c:v>5</c:v>
                </c:pt>
                <c:pt idx="35">
                  <c:v>2</c:v>
                </c:pt>
                <c:pt idx="36">
                  <c:v>3</c:v>
                </c:pt>
                <c:pt idx="37">
                  <c:v>3</c:v>
                </c:pt>
                <c:pt idx="38">
                  <c:v>2</c:v>
                </c:pt>
                <c:pt idx="39">
                  <c:v>5</c:v>
                </c:pt>
                <c:pt idx="40">
                  <c:v>5</c:v>
                </c:pt>
                <c:pt idx="41">
                  <c:v>5</c:v>
                </c:pt>
                <c:pt idx="42">
                  <c:v>4</c:v>
                </c:pt>
                <c:pt idx="43">
                  <c:v>4</c:v>
                </c:pt>
                <c:pt idx="44">
                  <c:v>4</c:v>
                </c:pt>
                <c:pt idx="45">
                  <c:v>4</c:v>
                </c:pt>
                <c:pt idx="46">
                  <c:v>4</c:v>
                </c:pt>
                <c:pt idx="47">
                  <c:v>4</c:v>
                </c:pt>
                <c:pt idx="48">
                  <c:v>4</c:v>
                </c:pt>
                <c:pt idx="49">
                  <c:v>4</c:v>
                </c:pt>
                <c:pt idx="50">
                  <c:v>4</c:v>
                </c:pt>
                <c:pt idx="51">
                  <c:v>4</c:v>
                </c:pt>
                <c:pt idx="52">
                  <c:v>5</c:v>
                </c:pt>
                <c:pt idx="53">
                  <c:v>5</c:v>
                </c:pt>
                <c:pt idx="54">
                  <c:v>5</c:v>
                </c:pt>
                <c:pt idx="55">
                  <c:v>5</c:v>
                </c:pt>
                <c:pt idx="56">
                  <c:v>3</c:v>
                </c:pt>
                <c:pt idx="57">
                  <c:v>2</c:v>
                </c:pt>
                <c:pt idx="58">
                  <c:v>4</c:v>
                </c:pt>
                <c:pt idx="59">
                  <c:v>5</c:v>
                </c:pt>
                <c:pt idx="60">
                  <c:v>4</c:v>
                </c:pt>
                <c:pt idx="61">
                  <c:v>3</c:v>
                </c:pt>
                <c:pt idx="62">
                  <c:v>5</c:v>
                </c:pt>
                <c:pt idx="63">
                  <c:v>4</c:v>
                </c:pt>
                <c:pt idx="64">
                  <c:v>4</c:v>
                </c:pt>
                <c:pt idx="65">
                  <c:v>4</c:v>
                </c:pt>
                <c:pt idx="66">
                  <c:v>2</c:v>
                </c:pt>
                <c:pt idx="67">
                  <c:v>4</c:v>
                </c:pt>
                <c:pt idx="68">
                  <c:v>3</c:v>
                </c:pt>
                <c:pt idx="69">
                  <c:v>0</c:v>
                </c:pt>
                <c:pt idx="70">
                  <c:v>4</c:v>
                </c:pt>
                <c:pt idx="71">
                  <c:v>5</c:v>
                </c:pt>
                <c:pt idx="72">
                  <c:v>3</c:v>
                </c:pt>
                <c:pt idx="73">
                  <c:v>3</c:v>
                </c:pt>
                <c:pt idx="74">
                  <c:v>4</c:v>
                </c:pt>
                <c:pt idx="75">
                  <c:v>3</c:v>
                </c:pt>
                <c:pt idx="76">
                  <c:v>2</c:v>
                </c:pt>
                <c:pt idx="77">
                  <c:v>5</c:v>
                </c:pt>
                <c:pt idx="78">
                  <c:v>4</c:v>
                </c:pt>
                <c:pt idx="79">
                  <c:v>5</c:v>
                </c:pt>
                <c:pt idx="80">
                  <c:v>4</c:v>
                </c:pt>
                <c:pt idx="81">
                  <c:v>5</c:v>
                </c:pt>
                <c:pt idx="82">
                  <c:v>3</c:v>
                </c:pt>
                <c:pt idx="83">
                  <c:v>3</c:v>
                </c:pt>
                <c:pt idx="84">
                  <c:v>4</c:v>
                </c:pt>
                <c:pt idx="85">
                  <c:v>5</c:v>
                </c:pt>
                <c:pt idx="86">
                  <c:v>4</c:v>
                </c:pt>
                <c:pt idx="87">
                  <c:v>2</c:v>
                </c:pt>
                <c:pt idx="88">
                  <c:v>5</c:v>
                </c:pt>
                <c:pt idx="89">
                  <c:v>5</c:v>
                </c:pt>
                <c:pt idx="90">
                  <c:v>4</c:v>
                </c:pt>
                <c:pt idx="91">
                  <c:v>5</c:v>
                </c:pt>
                <c:pt idx="92">
                  <c:v>5</c:v>
                </c:pt>
                <c:pt idx="93">
                  <c:v>5</c:v>
                </c:pt>
                <c:pt idx="94">
                  <c:v>5</c:v>
                </c:pt>
                <c:pt idx="95">
                  <c:v>4</c:v>
                </c:pt>
                <c:pt idx="96">
                  <c:v>5</c:v>
                </c:pt>
                <c:pt idx="97">
                  <c:v>4</c:v>
                </c:pt>
                <c:pt idx="98">
                  <c:v>5</c:v>
                </c:pt>
                <c:pt idx="99">
                  <c:v>5</c:v>
                </c:pt>
                <c:pt idx="100">
                  <c:v>5</c:v>
                </c:pt>
                <c:pt idx="101">
                  <c:v>3</c:v>
                </c:pt>
                <c:pt idx="102">
                  <c:v>4</c:v>
                </c:pt>
                <c:pt idx="103">
                  <c:v>4</c:v>
                </c:pt>
                <c:pt idx="104">
                  <c:v>5</c:v>
                </c:pt>
                <c:pt idx="105">
                  <c:v>4</c:v>
                </c:pt>
                <c:pt idx="106">
                  <c:v>5</c:v>
                </c:pt>
                <c:pt idx="107">
                  <c:v>3</c:v>
                </c:pt>
                <c:pt idx="108">
                  <c:v>3</c:v>
                </c:pt>
                <c:pt idx="109">
                  <c:v>3</c:v>
                </c:pt>
                <c:pt idx="110">
                  <c:v>5</c:v>
                </c:pt>
                <c:pt idx="111">
                  <c:v>4</c:v>
                </c:pt>
                <c:pt idx="112">
                  <c:v>5</c:v>
                </c:pt>
                <c:pt idx="113">
                  <c:v>5</c:v>
                </c:pt>
                <c:pt idx="114">
                  <c:v>4</c:v>
                </c:pt>
                <c:pt idx="115">
                  <c:v>4</c:v>
                </c:pt>
                <c:pt idx="116">
                  <c:v>2</c:v>
                </c:pt>
                <c:pt idx="117">
                  <c:v>4</c:v>
                </c:pt>
                <c:pt idx="118">
                  <c:v>4</c:v>
                </c:pt>
                <c:pt idx="119">
                  <c:v>4</c:v>
                </c:pt>
                <c:pt idx="120">
                  <c:v>4</c:v>
                </c:pt>
                <c:pt idx="121">
                  <c:v>2</c:v>
                </c:pt>
                <c:pt idx="122">
                  <c:v>3</c:v>
                </c:pt>
                <c:pt idx="123">
                  <c:v>5</c:v>
                </c:pt>
                <c:pt idx="124">
                  <c:v>4</c:v>
                </c:pt>
                <c:pt idx="125">
                  <c:v>1</c:v>
                </c:pt>
                <c:pt idx="126">
                  <c:v>4</c:v>
                </c:pt>
                <c:pt idx="127">
                  <c:v>2</c:v>
                </c:pt>
                <c:pt idx="128">
                  <c:v>1</c:v>
                </c:pt>
                <c:pt idx="129">
                  <c:v>4</c:v>
                </c:pt>
                <c:pt idx="130">
                  <c:v>3</c:v>
                </c:pt>
                <c:pt idx="131">
                  <c:v>3</c:v>
                </c:pt>
                <c:pt idx="132">
                  <c:v>4</c:v>
                </c:pt>
                <c:pt idx="133">
                  <c:v>5</c:v>
                </c:pt>
                <c:pt idx="134">
                  <c:v>2</c:v>
                </c:pt>
                <c:pt idx="135">
                  <c:v>5</c:v>
                </c:pt>
                <c:pt idx="136">
                  <c:v>3</c:v>
                </c:pt>
                <c:pt idx="137">
                  <c:v>5</c:v>
                </c:pt>
                <c:pt idx="138">
                  <c:v>3</c:v>
                </c:pt>
                <c:pt idx="139">
                  <c:v>4</c:v>
                </c:pt>
                <c:pt idx="140">
                  <c:v>4</c:v>
                </c:pt>
                <c:pt idx="141">
                  <c:v>5</c:v>
                </c:pt>
                <c:pt idx="142">
                  <c:v>3</c:v>
                </c:pt>
                <c:pt idx="143">
                  <c:v>3</c:v>
                </c:pt>
                <c:pt idx="144">
                  <c:v>3</c:v>
                </c:pt>
                <c:pt idx="145">
                  <c:v>5</c:v>
                </c:pt>
                <c:pt idx="146">
                  <c:v>4</c:v>
                </c:pt>
                <c:pt idx="147">
                  <c:v>4</c:v>
                </c:pt>
                <c:pt idx="148">
                  <c:v>4</c:v>
                </c:pt>
                <c:pt idx="149">
                  <c:v>4</c:v>
                </c:pt>
                <c:pt idx="150">
                  <c:v>3</c:v>
                </c:pt>
                <c:pt idx="151">
                  <c:v>5</c:v>
                </c:pt>
                <c:pt idx="152">
                  <c:v>5</c:v>
                </c:pt>
                <c:pt idx="153">
                  <c:v>3</c:v>
                </c:pt>
                <c:pt idx="154">
                  <c:v>4</c:v>
                </c:pt>
                <c:pt idx="155">
                  <c:v>4</c:v>
                </c:pt>
                <c:pt idx="156">
                  <c:v>5</c:v>
                </c:pt>
                <c:pt idx="157">
                  <c:v>5</c:v>
                </c:pt>
                <c:pt idx="158">
                  <c:v>5</c:v>
                </c:pt>
                <c:pt idx="159">
                  <c:v>4</c:v>
                </c:pt>
                <c:pt idx="160">
                  <c:v>4</c:v>
                </c:pt>
                <c:pt idx="161">
                  <c:v>3</c:v>
                </c:pt>
                <c:pt idx="162">
                  <c:v>4</c:v>
                </c:pt>
                <c:pt idx="163">
                  <c:v>2</c:v>
                </c:pt>
                <c:pt idx="164">
                  <c:v>2</c:v>
                </c:pt>
                <c:pt idx="165">
                  <c:v>3</c:v>
                </c:pt>
                <c:pt idx="166">
                  <c:v>3</c:v>
                </c:pt>
                <c:pt idx="167">
                  <c:v>3</c:v>
                </c:pt>
                <c:pt idx="168">
                  <c:v>3</c:v>
                </c:pt>
                <c:pt idx="169">
                  <c:v>5</c:v>
                </c:pt>
                <c:pt idx="170">
                  <c:v>3</c:v>
                </c:pt>
                <c:pt idx="171">
                  <c:v>5</c:v>
                </c:pt>
                <c:pt idx="172">
                  <c:v>5</c:v>
                </c:pt>
                <c:pt idx="173">
                  <c:v>4</c:v>
                </c:pt>
                <c:pt idx="174">
                  <c:v>5</c:v>
                </c:pt>
                <c:pt idx="175">
                  <c:v>5</c:v>
                </c:pt>
                <c:pt idx="176">
                  <c:v>4</c:v>
                </c:pt>
                <c:pt idx="177">
                  <c:v>4</c:v>
                </c:pt>
                <c:pt idx="178">
                  <c:v>3</c:v>
                </c:pt>
                <c:pt idx="179">
                  <c:v>4</c:v>
                </c:pt>
                <c:pt idx="180">
                  <c:v>1</c:v>
                </c:pt>
                <c:pt idx="181">
                  <c:v>5</c:v>
                </c:pt>
                <c:pt idx="182">
                  <c:v>5</c:v>
                </c:pt>
                <c:pt idx="183">
                  <c:v>4</c:v>
                </c:pt>
                <c:pt idx="184">
                  <c:v>3</c:v>
                </c:pt>
                <c:pt idx="185">
                  <c:v>4</c:v>
                </c:pt>
                <c:pt idx="186">
                  <c:v>4</c:v>
                </c:pt>
                <c:pt idx="187">
                  <c:v>5</c:v>
                </c:pt>
                <c:pt idx="188">
                  <c:v>3</c:v>
                </c:pt>
                <c:pt idx="189">
                  <c:v>3</c:v>
                </c:pt>
                <c:pt idx="190">
                  <c:v>2</c:v>
                </c:pt>
                <c:pt idx="191">
                  <c:v>3</c:v>
                </c:pt>
                <c:pt idx="192">
                  <c:v>4</c:v>
                </c:pt>
                <c:pt idx="193">
                  <c:v>5</c:v>
                </c:pt>
                <c:pt idx="194">
                  <c:v>3</c:v>
                </c:pt>
                <c:pt idx="195">
                  <c:v>5</c:v>
                </c:pt>
                <c:pt idx="196">
                  <c:v>5</c:v>
                </c:pt>
                <c:pt idx="197">
                  <c:v>4</c:v>
                </c:pt>
                <c:pt idx="198">
                  <c:v>4</c:v>
                </c:pt>
                <c:pt idx="199">
                  <c:v>4</c:v>
                </c:pt>
                <c:pt idx="200">
                  <c:v>4</c:v>
                </c:pt>
                <c:pt idx="201">
                  <c:v>2</c:v>
                </c:pt>
                <c:pt idx="202">
                  <c:v>4</c:v>
                </c:pt>
                <c:pt idx="203">
                  <c:v>4</c:v>
                </c:pt>
                <c:pt idx="204">
                  <c:v>3</c:v>
                </c:pt>
                <c:pt idx="205">
                  <c:v>5</c:v>
                </c:pt>
                <c:pt idx="206">
                  <c:v>5</c:v>
                </c:pt>
                <c:pt idx="207">
                  <c:v>3</c:v>
                </c:pt>
                <c:pt idx="208">
                  <c:v>4</c:v>
                </c:pt>
                <c:pt idx="209">
                  <c:v>5</c:v>
                </c:pt>
                <c:pt idx="210">
                  <c:v>4</c:v>
                </c:pt>
                <c:pt idx="211">
                  <c:v>4</c:v>
                </c:pt>
                <c:pt idx="212">
                  <c:v>3</c:v>
                </c:pt>
                <c:pt idx="213">
                  <c:v>4</c:v>
                </c:pt>
                <c:pt idx="214">
                  <c:v>4</c:v>
                </c:pt>
                <c:pt idx="215">
                  <c:v>4</c:v>
                </c:pt>
                <c:pt idx="216">
                  <c:v>4</c:v>
                </c:pt>
                <c:pt idx="217">
                  <c:v>3</c:v>
                </c:pt>
                <c:pt idx="218">
                  <c:v>5</c:v>
                </c:pt>
                <c:pt idx="219">
                  <c:v>3</c:v>
                </c:pt>
                <c:pt idx="220">
                  <c:v>3</c:v>
                </c:pt>
                <c:pt idx="221">
                  <c:v>5</c:v>
                </c:pt>
                <c:pt idx="222">
                  <c:v>4</c:v>
                </c:pt>
                <c:pt idx="223">
                  <c:v>4</c:v>
                </c:pt>
                <c:pt idx="224">
                  <c:v>3</c:v>
                </c:pt>
                <c:pt idx="225">
                  <c:v>5</c:v>
                </c:pt>
                <c:pt idx="226">
                  <c:v>3</c:v>
                </c:pt>
                <c:pt idx="227">
                  <c:v>4</c:v>
                </c:pt>
                <c:pt idx="228">
                  <c:v>5</c:v>
                </c:pt>
                <c:pt idx="229">
                  <c:v>4</c:v>
                </c:pt>
                <c:pt idx="230">
                  <c:v>4</c:v>
                </c:pt>
                <c:pt idx="231">
                  <c:v>5</c:v>
                </c:pt>
                <c:pt idx="232">
                  <c:v>5</c:v>
                </c:pt>
                <c:pt idx="233">
                  <c:v>3</c:v>
                </c:pt>
                <c:pt idx="234">
                  <c:v>3</c:v>
                </c:pt>
                <c:pt idx="235">
                  <c:v>4</c:v>
                </c:pt>
                <c:pt idx="236">
                  <c:v>5</c:v>
                </c:pt>
                <c:pt idx="237">
                  <c:v>4</c:v>
                </c:pt>
                <c:pt idx="238">
                  <c:v>5</c:v>
                </c:pt>
                <c:pt idx="239">
                  <c:v>4</c:v>
                </c:pt>
                <c:pt idx="240">
                  <c:v>4</c:v>
                </c:pt>
                <c:pt idx="241">
                  <c:v>4</c:v>
                </c:pt>
                <c:pt idx="242">
                  <c:v>5</c:v>
                </c:pt>
                <c:pt idx="243">
                  <c:v>4</c:v>
                </c:pt>
                <c:pt idx="244">
                  <c:v>4</c:v>
                </c:pt>
                <c:pt idx="245">
                  <c:v>4</c:v>
                </c:pt>
                <c:pt idx="246">
                  <c:v>4</c:v>
                </c:pt>
                <c:pt idx="247">
                  <c:v>3</c:v>
                </c:pt>
                <c:pt idx="248">
                  <c:v>4</c:v>
                </c:pt>
                <c:pt idx="249">
                  <c:v>4</c:v>
                </c:pt>
                <c:pt idx="250">
                  <c:v>3</c:v>
                </c:pt>
                <c:pt idx="251">
                  <c:v>3</c:v>
                </c:pt>
                <c:pt idx="252">
                  <c:v>4</c:v>
                </c:pt>
                <c:pt idx="253">
                  <c:v>4</c:v>
                </c:pt>
                <c:pt idx="254">
                  <c:v>5</c:v>
                </c:pt>
                <c:pt idx="255">
                  <c:v>4</c:v>
                </c:pt>
                <c:pt idx="256">
                  <c:v>4</c:v>
                </c:pt>
                <c:pt idx="257">
                  <c:v>4</c:v>
                </c:pt>
                <c:pt idx="258">
                  <c:v>5</c:v>
                </c:pt>
                <c:pt idx="259">
                  <c:v>4</c:v>
                </c:pt>
                <c:pt idx="260">
                  <c:v>5</c:v>
                </c:pt>
                <c:pt idx="261">
                  <c:v>5</c:v>
                </c:pt>
                <c:pt idx="262">
                  <c:v>4</c:v>
                </c:pt>
                <c:pt idx="263">
                  <c:v>5</c:v>
                </c:pt>
                <c:pt idx="264">
                  <c:v>3</c:v>
                </c:pt>
                <c:pt idx="265">
                  <c:v>5</c:v>
                </c:pt>
                <c:pt idx="266">
                  <c:v>4</c:v>
                </c:pt>
                <c:pt idx="267">
                  <c:v>4</c:v>
                </c:pt>
                <c:pt idx="268">
                  <c:v>4</c:v>
                </c:pt>
                <c:pt idx="269">
                  <c:v>3</c:v>
                </c:pt>
                <c:pt idx="270">
                  <c:v>4</c:v>
                </c:pt>
                <c:pt idx="271">
                  <c:v>4</c:v>
                </c:pt>
                <c:pt idx="272">
                  <c:v>4</c:v>
                </c:pt>
                <c:pt idx="273">
                  <c:v>4</c:v>
                </c:pt>
                <c:pt idx="274">
                  <c:v>4</c:v>
                </c:pt>
                <c:pt idx="275">
                  <c:v>3</c:v>
                </c:pt>
                <c:pt idx="276">
                  <c:v>5</c:v>
                </c:pt>
                <c:pt idx="277">
                  <c:v>4</c:v>
                </c:pt>
                <c:pt idx="278">
                  <c:v>5</c:v>
                </c:pt>
                <c:pt idx="279">
                  <c:v>5</c:v>
                </c:pt>
                <c:pt idx="280">
                  <c:v>3</c:v>
                </c:pt>
                <c:pt idx="281">
                  <c:v>3</c:v>
                </c:pt>
                <c:pt idx="282">
                  <c:v>2</c:v>
                </c:pt>
                <c:pt idx="283">
                  <c:v>4</c:v>
                </c:pt>
                <c:pt idx="284">
                  <c:v>4</c:v>
                </c:pt>
                <c:pt idx="285">
                  <c:v>3</c:v>
                </c:pt>
                <c:pt idx="286">
                  <c:v>5</c:v>
                </c:pt>
                <c:pt idx="287">
                  <c:v>4</c:v>
                </c:pt>
                <c:pt idx="288">
                  <c:v>4</c:v>
                </c:pt>
                <c:pt idx="289">
                  <c:v>5</c:v>
                </c:pt>
                <c:pt idx="290">
                  <c:v>5</c:v>
                </c:pt>
                <c:pt idx="291">
                  <c:v>5</c:v>
                </c:pt>
                <c:pt idx="292">
                  <c:v>4</c:v>
                </c:pt>
                <c:pt idx="293">
                  <c:v>5</c:v>
                </c:pt>
                <c:pt idx="294">
                  <c:v>4</c:v>
                </c:pt>
                <c:pt idx="295">
                  <c:v>3</c:v>
                </c:pt>
                <c:pt idx="296">
                  <c:v>4</c:v>
                </c:pt>
                <c:pt idx="297">
                  <c:v>3</c:v>
                </c:pt>
                <c:pt idx="298">
                  <c:v>5</c:v>
                </c:pt>
                <c:pt idx="299">
                  <c:v>3</c:v>
                </c:pt>
                <c:pt idx="300">
                  <c:v>3</c:v>
                </c:pt>
                <c:pt idx="301">
                  <c:v>2</c:v>
                </c:pt>
                <c:pt idx="302">
                  <c:v>4</c:v>
                </c:pt>
                <c:pt idx="303">
                  <c:v>4</c:v>
                </c:pt>
                <c:pt idx="304">
                  <c:v>4</c:v>
                </c:pt>
                <c:pt idx="305">
                  <c:v>5</c:v>
                </c:pt>
                <c:pt idx="306">
                  <c:v>1</c:v>
                </c:pt>
                <c:pt idx="307">
                  <c:v>5</c:v>
                </c:pt>
                <c:pt idx="308">
                  <c:v>5</c:v>
                </c:pt>
                <c:pt idx="309">
                  <c:v>5</c:v>
                </c:pt>
                <c:pt idx="310">
                  <c:v>4</c:v>
                </c:pt>
                <c:pt idx="311">
                  <c:v>4</c:v>
                </c:pt>
                <c:pt idx="312">
                  <c:v>4</c:v>
                </c:pt>
                <c:pt idx="313">
                  <c:v>4</c:v>
                </c:pt>
                <c:pt idx="314">
                  <c:v>4</c:v>
                </c:pt>
                <c:pt idx="315">
                  <c:v>5</c:v>
                </c:pt>
                <c:pt idx="316">
                  <c:v>4</c:v>
                </c:pt>
                <c:pt idx="317">
                  <c:v>4</c:v>
                </c:pt>
                <c:pt idx="318">
                  <c:v>4</c:v>
                </c:pt>
                <c:pt idx="319">
                  <c:v>4</c:v>
                </c:pt>
                <c:pt idx="320">
                  <c:v>2</c:v>
                </c:pt>
                <c:pt idx="321">
                  <c:v>5</c:v>
                </c:pt>
                <c:pt idx="322">
                  <c:v>4</c:v>
                </c:pt>
                <c:pt idx="323">
                  <c:v>5</c:v>
                </c:pt>
                <c:pt idx="324">
                  <c:v>4</c:v>
                </c:pt>
                <c:pt idx="325">
                  <c:v>3</c:v>
                </c:pt>
                <c:pt idx="326">
                  <c:v>4</c:v>
                </c:pt>
                <c:pt idx="327">
                  <c:v>2</c:v>
                </c:pt>
                <c:pt idx="328">
                  <c:v>4</c:v>
                </c:pt>
                <c:pt idx="329">
                  <c:v>4</c:v>
                </c:pt>
                <c:pt idx="330">
                  <c:v>3</c:v>
                </c:pt>
                <c:pt idx="331">
                  <c:v>5</c:v>
                </c:pt>
                <c:pt idx="332">
                  <c:v>4</c:v>
                </c:pt>
                <c:pt idx="333">
                  <c:v>5</c:v>
                </c:pt>
                <c:pt idx="334">
                  <c:v>3</c:v>
                </c:pt>
                <c:pt idx="335">
                  <c:v>5</c:v>
                </c:pt>
                <c:pt idx="336">
                  <c:v>2</c:v>
                </c:pt>
                <c:pt idx="337">
                  <c:v>5</c:v>
                </c:pt>
                <c:pt idx="338">
                  <c:v>3</c:v>
                </c:pt>
                <c:pt idx="339">
                  <c:v>4</c:v>
                </c:pt>
                <c:pt idx="340">
                  <c:v>4</c:v>
                </c:pt>
                <c:pt idx="341">
                  <c:v>4</c:v>
                </c:pt>
                <c:pt idx="342">
                  <c:v>5</c:v>
                </c:pt>
                <c:pt idx="343">
                  <c:v>3</c:v>
                </c:pt>
                <c:pt idx="344">
                  <c:v>3</c:v>
                </c:pt>
                <c:pt idx="345">
                  <c:v>5</c:v>
                </c:pt>
                <c:pt idx="346">
                  <c:v>4</c:v>
                </c:pt>
                <c:pt idx="347">
                  <c:v>5</c:v>
                </c:pt>
                <c:pt idx="348">
                  <c:v>5</c:v>
                </c:pt>
                <c:pt idx="349">
                  <c:v>4</c:v>
                </c:pt>
                <c:pt idx="350">
                  <c:v>4</c:v>
                </c:pt>
                <c:pt idx="351">
                  <c:v>4</c:v>
                </c:pt>
                <c:pt idx="352">
                  <c:v>4</c:v>
                </c:pt>
                <c:pt idx="353">
                  <c:v>3</c:v>
                </c:pt>
                <c:pt idx="354">
                  <c:v>5</c:v>
                </c:pt>
                <c:pt idx="355">
                  <c:v>5</c:v>
                </c:pt>
                <c:pt idx="356">
                  <c:v>4</c:v>
                </c:pt>
                <c:pt idx="357">
                  <c:v>4</c:v>
                </c:pt>
                <c:pt idx="358">
                  <c:v>3</c:v>
                </c:pt>
                <c:pt idx="359">
                  <c:v>4</c:v>
                </c:pt>
                <c:pt idx="360">
                  <c:v>4</c:v>
                </c:pt>
                <c:pt idx="361">
                  <c:v>4</c:v>
                </c:pt>
                <c:pt idx="362">
                  <c:v>5</c:v>
                </c:pt>
                <c:pt idx="363">
                  <c:v>3</c:v>
                </c:pt>
                <c:pt idx="364">
                  <c:v>3</c:v>
                </c:pt>
                <c:pt idx="365">
                  <c:v>3</c:v>
                </c:pt>
                <c:pt idx="366">
                  <c:v>3</c:v>
                </c:pt>
                <c:pt idx="367">
                  <c:v>5</c:v>
                </c:pt>
                <c:pt idx="368">
                  <c:v>4</c:v>
                </c:pt>
                <c:pt idx="369">
                  <c:v>5</c:v>
                </c:pt>
                <c:pt idx="370">
                  <c:v>2</c:v>
                </c:pt>
                <c:pt idx="371">
                  <c:v>3</c:v>
                </c:pt>
                <c:pt idx="372">
                  <c:v>4</c:v>
                </c:pt>
                <c:pt idx="373">
                  <c:v>4</c:v>
                </c:pt>
                <c:pt idx="374">
                  <c:v>4</c:v>
                </c:pt>
                <c:pt idx="375">
                  <c:v>5</c:v>
                </c:pt>
                <c:pt idx="376">
                  <c:v>4</c:v>
                </c:pt>
                <c:pt idx="377">
                  <c:v>4</c:v>
                </c:pt>
                <c:pt idx="378">
                  <c:v>4</c:v>
                </c:pt>
                <c:pt idx="379">
                  <c:v>4</c:v>
                </c:pt>
                <c:pt idx="380">
                  <c:v>5</c:v>
                </c:pt>
                <c:pt idx="381">
                  <c:v>4</c:v>
                </c:pt>
                <c:pt idx="382">
                  <c:v>4</c:v>
                </c:pt>
                <c:pt idx="383">
                  <c:v>5</c:v>
                </c:pt>
                <c:pt idx="384">
                  <c:v>2</c:v>
                </c:pt>
                <c:pt idx="385">
                  <c:v>4</c:v>
                </c:pt>
                <c:pt idx="386">
                  <c:v>4</c:v>
                </c:pt>
                <c:pt idx="387">
                  <c:v>5</c:v>
                </c:pt>
                <c:pt idx="388">
                  <c:v>3</c:v>
                </c:pt>
                <c:pt idx="389">
                  <c:v>5</c:v>
                </c:pt>
                <c:pt idx="390">
                  <c:v>2</c:v>
                </c:pt>
                <c:pt idx="391">
                  <c:v>5</c:v>
                </c:pt>
                <c:pt idx="392">
                  <c:v>4</c:v>
                </c:pt>
                <c:pt idx="393">
                  <c:v>4</c:v>
                </c:pt>
                <c:pt idx="394">
                  <c:v>5</c:v>
                </c:pt>
                <c:pt idx="395">
                  <c:v>5</c:v>
                </c:pt>
                <c:pt idx="396">
                  <c:v>4</c:v>
                </c:pt>
                <c:pt idx="397">
                  <c:v>4</c:v>
                </c:pt>
                <c:pt idx="398">
                  <c:v>4</c:v>
                </c:pt>
                <c:pt idx="399">
                  <c:v>4</c:v>
                </c:pt>
                <c:pt idx="400">
                  <c:v>3</c:v>
                </c:pt>
                <c:pt idx="401">
                  <c:v>4</c:v>
                </c:pt>
                <c:pt idx="402">
                  <c:v>3</c:v>
                </c:pt>
                <c:pt idx="403">
                  <c:v>3</c:v>
                </c:pt>
                <c:pt idx="404">
                  <c:v>5</c:v>
                </c:pt>
                <c:pt idx="405">
                  <c:v>4</c:v>
                </c:pt>
                <c:pt idx="406">
                  <c:v>5</c:v>
                </c:pt>
                <c:pt idx="407">
                  <c:v>4</c:v>
                </c:pt>
                <c:pt idx="408">
                  <c:v>4</c:v>
                </c:pt>
                <c:pt idx="409">
                  <c:v>4</c:v>
                </c:pt>
                <c:pt idx="410">
                  <c:v>5</c:v>
                </c:pt>
                <c:pt idx="411">
                  <c:v>4</c:v>
                </c:pt>
                <c:pt idx="412">
                  <c:v>5</c:v>
                </c:pt>
                <c:pt idx="413">
                  <c:v>4</c:v>
                </c:pt>
                <c:pt idx="414">
                  <c:v>4</c:v>
                </c:pt>
                <c:pt idx="415">
                  <c:v>5</c:v>
                </c:pt>
                <c:pt idx="416">
                  <c:v>4</c:v>
                </c:pt>
                <c:pt idx="417">
                  <c:v>4</c:v>
                </c:pt>
                <c:pt idx="418">
                  <c:v>4</c:v>
                </c:pt>
                <c:pt idx="419">
                  <c:v>5</c:v>
                </c:pt>
                <c:pt idx="420">
                  <c:v>5</c:v>
                </c:pt>
                <c:pt idx="421">
                  <c:v>4</c:v>
                </c:pt>
                <c:pt idx="422">
                  <c:v>3</c:v>
                </c:pt>
                <c:pt idx="423">
                  <c:v>3</c:v>
                </c:pt>
                <c:pt idx="424">
                  <c:v>5</c:v>
                </c:pt>
                <c:pt idx="425">
                  <c:v>2</c:v>
                </c:pt>
                <c:pt idx="426">
                  <c:v>3</c:v>
                </c:pt>
                <c:pt idx="427">
                  <c:v>3</c:v>
                </c:pt>
                <c:pt idx="428">
                  <c:v>5</c:v>
                </c:pt>
                <c:pt idx="429">
                  <c:v>3</c:v>
                </c:pt>
                <c:pt idx="430">
                  <c:v>3</c:v>
                </c:pt>
                <c:pt idx="431">
                  <c:v>2</c:v>
                </c:pt>
                <c:pt idx="432">
                  <c:v>5</c:v>
                </c:pt>
                <c:pt idx="433">
                  <c:v>5</c:v>
                </c:pt>
                <c:pt idx="434">
                  <c:v>5</c:v>
                </c:pt>
                <c:pt idx="435">
                  <c:v>4</c:v>
                </c:pt>
                <c:pt idx="436">
                  <c:v>5</c:v>
                </c:pt>
                <c:pt idx="437">
                  <c:v>4</c:v>
                </c:pt>
                <c:pt idx="438">
                  <c:v>3</c:v>
                </c:pt>
                <c:pt idx="439">
                  <c:v>4</c:v>
                </c:pt>
                <c:pt idx="440">
                  <c:v>5</c:v>
                </c:pt>
                <c:pt idx="441">
                  <c:v>5</c:v>
                </c:pt>
                <c:pt idx="442">
                  <c:v>4</c:v>
                </c:pt>
                <c:pt idx="443">
                  <c:v>3</c:v>
                </c:pt>
                <c:pt idx="444">
                  <c:v>4</c:v>
                </c:pt>
                <c:pt idx="445">
                  <c:v>1</c:v>
                </c:pt>
                <c:pt idx="446">
                  <c:v>4</c:v>
                </c:pt>
                <c:pt idx="447">
                  <c:v>4</c:v>
                </c:pt>
                <c:pt idx="448">
                  <c:v>5</c:v>
                </c:pt>
                <c:pt idx="449">
                  <c:v>3</c:v>
                </c:pt>
                <c:pt idx="450">
                  <c:v>5</c:v>
                </c:pt>
                <c:pt idx="451">
                  <c:v>4</c:v>
                </c:pt>
                <c:pt idx="452">
                  <c:v>4</c:v>
                </c:pt>
                <c:pt idx="453">
                  <c:v>4</c:v>
                </c:pt>
                <c:pt idx="454">
                  <c:v>5</c:v>
                </c:pt>
                <c:pt idx="455">
                  <c:v>5</c:v>
                </c:pt>
                <c:pt idx="456">
                  <c:v>5</c:v>
                </c:pt>
                <c:pt idx="457">
                  <c:v>5</c:v>
                </c:pt>
                <c:pt idx="458">
                  <c:v>4</c:v>
                </c:pt>
                <c:pt idx="459">
                  <c:v>4</c:v>
                </c:pt>
                <c:pt idx="460">
                  <c:v>4</c:v>
                </c:pt>
                <c:pt idx="461">
                  <c:v>5</c:v>
                </c:pt>
                <c:pt idx="462">
                  <c:v>5</c:v>
                </c:pt>
                <c:pt idx="463">
                  <c:v>3</c:v>
                </c:pt>
                <c:pt idx="464">
                  <c:v>3</c:v>
                </c:pt>
                <c:pt idx="465">
                  <c:v>5</c:v>
                </c:pt>
                <c:pt idx="466">
                  <c:v>5</c:v>
                </c:pt>
                <c:pt idx="467">
                  <c:v>1</c:v>
                </c:pt>
                <c:pt idx="468">
                  <c:v>3</c:v>
                </c:pt>
                <c:pt idx="469">
                  <c:v>3</c:v>
                </c:pt>
                <c:pt idx="470">
                  <c:v>5</c:v>
                </c:pt>
                <c:pt idx="471">
                  <c:v>4</c:v>
                </c:pt>
                <c:pt idx="472">
                  <c:v>3</c:v>
                </c:pt>
                <c:pt idx="473">
                  <c:v>4</c:v>
                </c:pt>
                <c:pt idx="474">
                  <c:v>5</c:v>
                </c:pt>
                <c:pt idx="475">
                  <c:v>3</c:v>
                </c:pt>
                <c:pt idx="476">
                  <c:v>5</c:v>
                </c:pt>
                <c:pt idx="477">
                  <c:v>4</c:v>
                </c:pt>
                <c:pt idx="478">
                  <c:v>4</c:v>
                </c:pt>
                <c:pt idx="479">
                  <c:v>4</c:v>
                </c:pt>
                <c:pt idx="480">
                  <c:v>5</c:v>
                </c:pt>
                <c:pt idx="481">
                  <c:v>5</c:v>
                </c:pt>
                <c:pt idx="482">
                  <c:v>4</c:v>
                </c:pt>
                <c:pt idx="483">
                  <c:v>5</c:v>
                </c:pt>
                <c:pt idx="484">
                  <c:v>5</c:v>
                </c:pt>
                <c:pt idx="485">
                  <c:v>3</c:v>
                </c:pt>
                <c:pt idx="486">
                  <c:v>4</c:v>
                </c:pt>
                <c:pt idx="487">
                  <c:v>5</c:v>
                </c:pt>
                <c:pt idx="488">
                  <c:v>4</c:v>
                </c:pt>
                <c:pt idx="489">
                  <c:v>5</c:v>
                </c:pt>
                <c:pt idx="490">
                  <c:v>3</c:v>
                </c:pt>
                <c:pt idx="491">
                  <c:v>4</c:v>
                </c:pt>
                <c:pt idx="492">
                  <c:v>4</c:v>
                </c:pt>
                <c:pt idx="493">
                  <c:v>4</c:v>
                </c:pt>
                <c:pt idx="494">
                  <c:v>4</c:v>
                </c:pt>
                <c:pt idx="495">
                  <c:v>4</c:v>
                </c:pt>
                <c:pt idx="496">
                  <c:v>3</c:v>
                </c:pt>
                <c:pt idx="497">
                  <c:v>4</c:v>
                </c:pt>
                <c:pt idx="498">
                  <c:v>5</c:v>
                </c:pt>
                <c:pt idx="499">
                  <c:v>4</c:v>
                </c:pt>
                <c:pt idx="500">
                  <c:v>4</c:v>
                </c:pt>
                <c:pt idx="501">
                  <c:v>3</c:v>
                </c:pt>
                <c:pt idx="502">
                  <c:v>4</c:v>
                </c:pt>
                <c:pt idx="503">
                  <c:v>2</c:v>
                </c:pt>
                <c:pt idx="504">
                  <c:v>5</c:v>
                </c:pt>
                <c:pt idx="505">
                  <c:v>3</c:v>
                </c:pt>
                <c:pt idx="506">
                  <c:v>5</c:v>
                </c:pt>
                <c:pt idx="507">
                  <c:v>5</c:v>
                </c:pt>
                <c:pt idx="508">
                  <c:v>3</c:v>
                </c:pt>
                <c:pt idx="509">
                  <c:v>4</c:v>
                </c:pt>
                <c:pt idx="510">
                  <c:v>5</c:v>
                </c:pt>
                <c:pt idx="511">
                  <c:v>4</c:v>
                </c:pt>
                <c:pt idx="512">
                  <c:v>4</c:v>
                </c:pt>
                <c:pt idx="513">
                  <c:v>3</c:v>
                </c:pt>
                <c:pt idx="514">
                  <c:v>5</c:v>
                </c:pt>
                <c:pt idx="515">
                  <c:v>3</c:v>
                </c:pt>
                <c:pt idx="516">
                  <c:v>4</c:v>
                </c:pt>
                <c:pt idx="517">
                  <c:v>4</c:v>
                </c:pt>
                <c:pt idx="518">
                  <c:v>4</c:v>
                </c:pt>
                <c:pt idx="519">
                  <c:v>5</c:v>
                </c:pt>
                <c:pt idx="520">
                  <c:v>5</c:v>
                </c:pt>
                <c:pt idx="521">
                  <c:v>4</c:v>
                </c:pt>
                <c:pt idx="522">
                  <c:v>5</c:v>
                </c:pt>
                <c:pt idx="523">
                  <c:v>5</c:v>
                </c:pt>
                <c:pt idx="524">
                  <c:v>2</c:v>
                </c:pt>
                <c:pt idx="525">
                  <c:v>4</c:v>
                </c:pt>
                <c:pt idx="526">
                  <c:v>4</c:v>
                </c:pt>
                <c:pt idx="527">
                  <c:v>4</c:v>
                </c:pt>
                <c:pt idx="528">
                  <c:v>4</c:v>
                </c:pt>
                <c:pt idx="529">
                  <c:v>4</c:v>
                </c:pt>
                <c:pt idx="530">
                  <c:v>4</c:v>
                </c:pt>
                <c:pt idx="531">
                  <c:v>4</c:v>
                </c:pt>
                <c:pt idx="532">
                  <c:v>4</c:v>
                </c:pt>
                <c:pt idx="533">
                  <c:v>4</c:v>
                </c:pt>
                <c:pt idx="534">
                  <c:v>4</c:v>
                </c:pt>
                <c:pt idx="535">
                  <c:v>5</c:v>
                </c:pt>
                <c:pt idx="536">
                  <c:v>4</c:v>
                </c:pt>
                <c:pt idx="537">
                  <c:v>4</c:v>
                </c:pt>
                <c:pt idx="538">
                  <c:v>4</c:v>
                </c:pt>
                <c:pt idx="539">
                  <c:v>5</c:v>
                </c:pt>
                <c:pt idx="540">
                  <c:v>3</c:v>
                </c:pt>
                <c:pt idx="541">
                  <c:v>5</c:v>
                </c:pt>
                <c:pt idx="542">
                  <c:v>4</c:v>
                </c:pt>
                <c:pt idx="543">
                  <c:v>4</c:v>
                </c:pt>
                <c:pt idx="544">
                  <c:v>3</c:v>
                </c:pt>
                <c:pt idx="545">
                  <c:v>3</c:v>
                </c:pt>
                <c:pt idx="546">
                  <c:v>4</c:v>
                </c:pt>
                <c:pt idx="547">
                  <c:v>5</c:v>
                </c:pt>
                <c:pt idx="548">
                  <c:v>4</c:v>
                </c:pt>
                <c:pt idx="549">
                  <c:v>4</c:v>
                </c:pt>
                <c:pt idx="550">
                  <c:v>5</c:v>
                </c:pt>
                <c:pt idx="551">
                  <c:v>4</c:v>
                </c:pt>
                <c:pt idx="552">
                  <c:v>4</c:v>
                </c:pt>
                <c:pt idx="553">
                  <c:v>5</c:v>
                </c:pt>
                <c:pt idx="554">
                  <c:v>5</c:v>
                </c:pt>
                <c:pt idx="555">
                  <c:v>3</c:v>
                </c:pt>
                <c:pt idx="556">
                  <c:v>4</c:v>
                </c:pt>
                <c:pt idx="557">
                  <c:v>1</c:v>
                </c:pt>
                <c:pt idx="558">
                  <c:v>3</c:v>
                </c:pt>
                <c:pt idx="559">
                  <c:v>3</c:v>
                </c:pt>
                <c:pt idx="560">
                  <c:v>5</c:v>
                </c:pt>
                <c:pt idx="561">
                  <c:v>3</c:v>
                </c:pt>
                <c:pt idx="562">
                  <c:v>4</c:v>
                </c:pt>
                <c:pt idx="563">
                  <c:v>5</c:v>
                </c:pt>
                <c:pt idx="564">
                  <c:v>4</c:v>
                </c:pt>
                <c:pt idx="565">
                  <c:v>3</c:v>
                </c:pt>
                <c:pt idx="566">
                  <c:v>3</c:v>
                </c:pt>
                <c:pt idx="567">
                  <c:v>5</c:v>
                </c:pt>
                <c:pt idx="568">
                  <c:v>5</c:v>
                </c:pt>
                <c:pt idx="569">
                  <c:v>3</c:v>
                </c:pt>
                <c:pt idx="570">
                  <c:v>5</c:v>
                </c:pt>
                <c:pt idx="571">
                  <c:v>5</c:v>
                </c:pt>
                <c:pt idx="572">
                  <c:v>4</c:v>
                </c:pt>
                <c:pt idx="573">
                  <c:v>2</c:v>
                </c:pt>
                <c:pt idx="574">
                  <c:v>4</c:v>
                </c:pt>
                <c:pt idx="575">
                  <c:v>4</c:v>
                </c:pt>
                <c:pt idx="576">
                  <c:v>5</c:v>
                </c:pt>
                <c:pt idx="577">
                  <c:v>5</c:v>
                </c:pt>
                <c:pt idx="578">
                  <c:v>2</c:v>
                </c:pt>
                <c:pt idx="579">
                  <c:v>4</c:v>
                </c:pt>
                <c:pt idx="580">
                  <c:v>4</c:v>
                </c:pt>
                <c:pt idx="581">
                  <c:v>3</c:v>
                </c:pt>
                <c:pt idx="582">
                  <c:v>3</c:v>
                </c:pt>
                <c:pt idx="583">
                  <c:v>3</c:v>
                </c:pt>
                <c:pt idx="584">
                  <c:v>3</c:v>
                </c:pt>
                <c:pt idx="585">
                  <c:v>5</c:v>
                </c:pt>
                <c:pt idx="586">
                  <c:v>4</c:v>
                </c:pt>
                <c:pt idx="587">
                  <c:v>4</c:v>
                </c:pt>
                <c:pt idx="588">
                  <c:v>2</c:v>
                </c:pt>
                <c:pt idx="589">
                  <c:v>4</c:v>
                </c:pt>
                <c:pt idx="590">
                  <c:v>3</c:v>
                </c:pt>
                <c:pt idx="591">
                  <c:v>4</c:v>
                </c:pt>
                <c:pt idx="592">
                  <c:v>4</c:v>
                </c:pt>
                <c:pt idx="593">
                  <c:v>4</c:v>
                </c:pt>
                <c:pt idx="594">
                  <c:v>2</c:v>
                </c:pt>
                <c:pt idx="595">
                  <c:v>4</c:v>
                </c:pt>
                <c:pt idx="596">
                  <c:v>3</c:v>
                </c:pt>
                <c:pt idx="597">
                  <c:v>2</c:v>
                </c:pt>
                <c:pt idx="598">
                  <c:v>3</c:v>
                </c:pt>
                <c:pt idx="599">
                  <c:v>5</c:v>
                </c:pt>
                <c:pt idx="600">
                  <c:v>5</c:v>
                </c:pt>
                <c:pt idx="601">
                  <c:v>5</c:v>
                </c:pt>
                <c:pt idx="602">
                  <c:v>5</c:v>
                </c:pt>
                <c:pt idx="603">
                  <c:v>5</c:v>
                </c:pt>
                <c:pt idx="604">
                  <c:v>5</c:v>
                </c:pt>
                <c:pt idx="605">
                  <c:v>5</c:v>
                </c:pt>
                <c:pt idx="606">
                  <c:v>5</c:v>
                </c:pt>
                <c:pt idx="607">
                  <c:v>4</c:v>
                </c:pt>
                <c:pt idx="608">
                  <c:v>3</c:v>
                </c:pt>
                <c:pt idx="609">
                  <c:v>3</c:v>
                </c:pt>
                <c:pt idx="610">
                  <c:v>5</c:v>
                </c:pt>
                <c:pt idx="611">
                  <c:v>5</c:v>
                </c:pt>
                <c:pt idx="612">
                  <c:v>5</c:v>
                </c:pt>
                <c:pt idx="613">
                  <c:v>5</c:v>
                </c:pt>
                <c:pt idx="614">
                  <c:v>4</c:v>
                </c:pt>
                <c:pt idx="615">
                  <c:v>4</c:v>
                </c:pt>
                <c:pt idx="616">
                  <c:v>4</c:v>
                </c:pt>
                <c:pt idx="617">
                  <c:v>5</c:v>
                </c:pt>
                <c:pt idx="618">
                  <c:v>4</c:v>
                </c:pt>
                <c:pt idx="619">
                  <c:v>4</c:v>
                </c:pt>
                <c:pt idx="620">
                  <c:v>5</c:v>
                </c:pt>
                <c:pt idx="621">
                  <c:v>5</c:v>
                </c:pt>
                <c:pt idx="622">
                  <c:v>3</c:v>
                </c:pt>
                <c:pt idx="623">
                  <c:v>3</c:v>
                </c:pt>
                <c:pt idx="624">
                  <c:v>5</c:v>
                </c:pt>
                <c:pt idx="625">
                  <c:v>4</c:v>
                </c:pt>
                <c:pt idx="626">
                  <c:v>3</c:v>
                </c:pt>
                <c:pt idx="627">
                  <c:v>3</c:v>
                </c:pt>
                <c:pt idx="628">
                  <c:v>4</c:v>
                </c:pt>
                <c:pt idx="629">
                  <c:v>4</c:v>
                </c:pt>
                <c:pt idx="630">
                  <c:v>3</c:v>
                </c:pt>
                <c:pt idx="631">
                  <c:v>2</c:v>
                </c:pt>
                <c:pt idx="632">
                  <c:v>2</c:v>
                </c:pt>
                <c:pt idx="633">
                  <c:v>3</c:v>
                </c:pt>
                <c:pt idx="634">
                  <c:v>4</c:v>
                </c:pt>
                <c:pt idx="635">
                  <c:v>5</c:v>
                </c:pt>
                <c:pt idx="636">
                  <c:v>5</c:v>
                </c:pt>
                <c:pt idx="637">
                  <c:v>4</c:v>
                </c:pt>
                <c:pt idx="638">
                  <c:v>4</c:v>
                </c:pt>
                <c:pt idx="639">
                  <c:v>3</c:v>
                </c:pt>
                <c:pt idx="640">
                  <c:v>3</c:v>
                </c:pt>
                <c:pt idx="641">
                  <c:v>4</c:v>
                </c:pt>
                <c:pt idx="642">
                  <c:v>4</c:v>
                </c:pt>
                <c:pt idx="643">
                  <c:v>3</c:v>
                </c:pt>
                <c:pt idx="644">
                  <c:v>4</c:v>
                </c:pt>
                <c:pt idx="645">
                  <c:v>3</c:v>
                </c:pt>
                <c:pt idx="646">
                  <c:v>5</c:v>
                </c:pt>
                <c:pt idx="647">
                  <c:v>2</c:v>
                </c:pt>
                <c:pt idx="648">
                  <c:v>5</c:v>
                </c:pt>
                <c:pt idx="649">
                  <c:v>4</c:v>
                </c:pt>
                <c:pt idx="650">
                  <c:v>4</c:v>
                </c:pt>
                <c:pt idx="651">
                  <c:v>5</c:v>
                </c:pt>
                <c:pt idx="652">
                  <c:v>4</c:v>
                </c:pt>
                <c:pt idx="653">
                  <c:v>4</c:v>
                </c:pt>
                <c:pt idx="654">
                  <c:v>3</c:v>
                </c:pt>
                <c:pt idx="655">
                  <c:v>3</c:v>
                </c:pt>
                <c:pt idx="656">
                  <c:v>5</c:v>
                </c:pt>
                <c:pt idx="657">
                  <c:v>5</c:v>
                </c:pt>
                <c:pt idx="658">
                  <c:v>4</c:v>
                </c:pt>
                <c:pt idx="659">
                  <c:v>4</c:v>
                </c:pt>
                <c:pt idx="660">
                  <c:v>3</c:v>
                </c:pt>
                <c:pt idx="661">
                  <c:v>4</c:v>
                </c:pt>
                <c:pt idx="662">
                  <c:v>3</c:v>
                </c:pt>
                <c:pt idx="663">
                  <c:v>5</c:v>
                </c:pt>
                <c:pt idx="664">
                  <c:v>5</c:v>
                </c:pt>
                <c:pt idx="665">
                  <c:v>4</c:v>
                </c:pt>
                <c:pt idx="666">
                  <c:v>4</c:v>
                </c:pt>
                <c:pt idx="667">
                  <c:v>5</c:v>
                </c:pt>
                <c:pt idx="668">
                  <c:v>5</c:v>
                </c:pt>
                <c:pt idx="669">
                  <c:v>5</c:v>
                </c:pt>
                <c:pt idx="670">
                  <c:v>2</c:v>
                </c:pt>
                <c:pt idx="671">
                  <c:v>5</c:v>
                </c:pt>
                <c:pt idx="672">
                  <c:v>5</c:v>
                </c:pt>
                <c:pt idx="673">
                  <c:v>5</c:v>
                </c:pt>
                <c:pt idx="674">
                  <c:v>3</c:v>
                </c:pt>
                <c:pt idx="675">
                  <c:v>2</c:v>
                </c:pt>
                <c:pt idx="676">
                  <c:v>4</c:v>
                </c:pt>
                <c:pt idx="677">
                  <c:v>5</c:v>
                </c:pt>
                <c:pt idx="678">
                  <c:v>4</c:v>
                </c:pt>
                <c:pt idx="679">
                  <c:v>4</c:v>
                </c:pt>
                <c:pt idx="680">
                  <c:v>4</c:v>
                </c:pt>
                <c:pt idx="681">
                  <c:v>2</c:v>
                </c:pt>
                <c:pt idx="682">
                  <c:v>4</c:v>
                </c:pt>
                <c:pt idx="683">
                  <c:v>4</c:v>
                </c:pt>
                <c:pt idx="684">
                  <c:v>4</c:v>
                </c:pt>
                <c:pt idx="685">
                  <c:v>4</c:v>
                </c:pt>
                <c:pt idx="686">
                  <c:v>4</c:v>
                </c:pt>
                <c:pt idx="687">
                  <c:v>5</c:v>
                </c:pt>
                <c:pt idx="688">
                  <c:v>3</c:v>
                </c:pt>
                <c:pt idx="689">
                  <c:v>5</c:v>
                </c:pt>
                <c:pt idx="690">
                  <c:v>5</c:v>
                </c:pt>
                <c:pt idx="691">
                  <c:v>5</c:v>
                </c:pt>
                <c:pt idx="692">
                  <c:v>3</c:v>
                </c:pt>
                <c:pt idx="693">
                  <c:v>3</c:v>
                </c:pt>
                <c:pt idx="694">
                  <c:v>4</c:v>
                </c:pt>
                <c:pt idx="695">
                  <c:v>4</c:v>
                </c:pt>
                <c:pt idx="696">
                  <c:v>2</c:v>
                </c:pt>
                <c:pt idx="697">
                  <c:v>4</c:v>
                </c:pt>
                <c:pt idx="698">
                  <c:v>4</c:v>
                </c:pt>
                <c:pt idx="699">
                  <c:v>5</c:v>
                </c:pt>
                <c:pt idx="700">
                  <c:v>4</c:v>
                </c:pt>
                <c:pt idx="701">
                  <c:v>5</c:v>
                </c:pt>
                <c:pt idx="702">
                  <c:v>3</c:v>
                </c:pt>
                <c:pt idx="703">
                  <c:v>4</c:v>
                </c:pt>
                <c:pt idx="704">
                  <c:v>5</c:v>
                </c:pt>
                <c:pt idx="705">
                  <c:v>5</c:v>
                </c:pt>
                <c:pt idx="706">
                  <c:v>5</c:v>
                </c:pt>
                <c:pt idx="707">
                  <c:v>4</c:v>
                </c:pt>
                <c:pt idx="708">
                  <c:v>3</c:v>
                </c:pt>
                <c:pt idx="709">
                  <c:v>4</c:v>
                </c:pt>
                <c:pt idx="710">
                  <c:v>4</c:v>
                </c:pt>
                <c:pt idx="711">
                  <c:v>5</c:v>
                </c:pt>
                <c:pt idx="712">
                  <c:v>3</c:v>
                </c:pt>
                <c:pt idx="713">
                  <c:v>2</c:v>
                </c:pt>
                <c:pt idx="714">
                  <c:v>4</c:v>
                </c:pt>
                <c:pt idx="715">
                  <c:v>5</c:v>
                </c:pt>
                <c:pt idx="716">
                  <c:v>4</c:v>
                </c:pt>
                <c:pt idx="717">
                  <c:v>5</c:v>
                </c:pt>
                <c:pt idx="718">
                  <c:v>4</c:v>
                </c:pt>
                <c:pt idx="719">
                  <c:v>3</c:v>
                </c:pt>
                <c:pt idx="720">
                  <c:v>4</c:v>
                </c:pt>
                <c:pt idx="721">
                  <c:v>4</c:v>
                </c:pt>
                <c:pt idx="722">
                  <c:v>3</c:v>
                </c:pt>
                <c:pt idx="723">
                  <c:v>3</c:v>
                </c:pt>
                <c:pt idx="724">
                  <c:v>5</c:v>
                </c:pt>
                <c:pt idx="725">
                  <c:v>4</c:v>
                </c:pt>
                <c:pt idx="726">
                  <c:v>4</c:v>
                </c:pt>
                <c:pt idx="727">
                  <c:v>4</c:v>
                </c:pt>
                <c:pt idx="728">
                  <c:v>4</c:v>
                </c:pt>
                <c:pt idx="729">
                  <c:v>5</c:v>
                </c:pt>
                <c:pt idx="730">
                  <c:v>4</c:v>
                </c:pt>
                <c:pt idx="731">
                  <c:v>4</c:v>
                </c:pt>
                <c:pt idx="732">
                  <c:v>4</c:v>
                </c:pt>
                <c:pt idx="733">
                  <c:v>5</c:v>
                </c:pt>
                <c:pt idx="734">
                  <c:v>1</c:v>
                </c:pt>
                <c:pt idx="735">
                  <c:v>4</c:v>
                </c:pt>
                <c:pt idx="736">
                  <c:v>5</c:v>
                </c:pt>
                <c:pt idx="737">
                  <c:v>4</c:v>
                </c:pt>
                <c:pt idx="738">
                  <c:v>5</c:v>
                </c:pt>
                <c:pt idx="739">
                  <c:v>4</c:v>
                </c:pt>
                <c:pt idx="740">
                  <c:v>4</c:v>
                </c:pt>
                <c:pt idx="741">
                  <c:v>3</c:v>
                </c:pt>
                <c:pt idx="742">
                  <c:v>5</c:v>
                </c:pt>
                <c:pt idx="743">
                  <c:v>4</c:v>
                </c:pt>
                <c:pt idx="744">
                  <c:v>4</c:v>
                </c:pt>
                <c:pt idx="745">
                  <c:v>5</c:v>
                </c:pt>
                <c:pt idx="746">
                  <c:v>4</c:v>
                </c:pt>
                <c:pt idx="747">
                  <c:v>4</c:v>
                </c:pt>
                <c:pt idx="748">
                  <c:v>5</c:v>
                </c:pt>
                <c:pt idx="749">
                  <c:v>2</c:v>
                </c:pt>
                <c:pt idx="750">
                  <c:v>4</c:v>
                </c:pt>
                <c:pt idx="751">
                  <c:v>4</c:v>
                </c:pt>
                <c:pt idx="752">
                  <c:v>4</c:v>
                </c:pt>
                <c:pt idx="753">
                  <c:v>4</c:v>
                </c:pt>
                <c:pt idx="754">
                  <c:v>5</c:v>
                </c:pt>
                <c:pt idx="755">
                  <c:v>4</c:v>
                </c:pt>
                <c:pt idx="756">
                  <c:v>4</c:v>
                </c:pt>
                <c:pt idx="757">
                  <c:v>5</c:v>
                </c:pt>
                <c:pt idx="758">
                  <c:v>3</c:v>
                </c:pt>
                <c:pt idx="759">
                  <c:v>5</c:v>
                </c:pt>
                <c:pt idx="760">
                  <c:v>4</c:v>
                </c:pt>
                <c:pt idx="761">
                  <c:v>4</c:v>
                </c:pt>
                <c:pt idx="762">
                  <c:v>3</c:v>
                </c:pt>
                <c:pt idx="763">
                  <c:v>2</c:v>
                </c:pt>
                <c:pt idx="764">
                  <c:v>5</c:v>
                </c:pt>
                <c:pt idx="765">
                  <c:v>4</c:v>
                </c:pt>
                <c:pt idx="766">
                  <c:v>4</c:v>
                </c:pt>
                <c:pt idx="767">
                  <c:v>2</c:v>
                </c:pt>
                <c:pt idx="768">
                  <c:v>2</c:v>
                </c:pt>
                <c:pt idx="769">
                  <c:v>3</c:v>
                </c:pt>
                <c:pt idx="770">
                  <c:v>3</c:v>
                </c:pt>
                <c:pt idx="771">
                  <c:v>4</c:v>
                </c:pt>
                <c:pt idx="772">
                  <c:v>3</c:v>
                </c:pt>
                <c:pt idx="773">
                  <c:v>4</c:v>
                </c:pt>
                <c:pt idx="774">
                  <c:v>5</c:v>
                </c:pt>
                <c:pt idx="775">
                  <c:v>4</c:v>
                </c:pt>
                <c:pt idx="776">
                  <c:v>3</c:v>
                </c:pt>
                <c:pt idx="777">
                  <c:v>5</c:v>
                </c:pt>
                <c:pt idx="778">
                  <c:v>4</c:v>
                </c:pt>
                <c:pt idx="779">
                  <c:v>4</c:v>
                </c:pt>
                <c:pt idx="780">
                  <c:v>3</c:v>
                </c:pt>
                <c:pt idx="781">
                  <c:v>5</c:v>
                </c:pt>
                <c:pt idx="782">
                  <c:v>4</c:v>
                </c:pt>
                <c:pt idx="783">
                  <c:v>5</c:v>
                </c:pt>
                <c:pt idx="784">
                  <c:v>5</c:v>
                </c:pt>
                <c:pt idx="785">
                  <c:v>5</c:v>
                </c:pt>
                <c:pt idx="786">
                  <c:v>2</c:v>
                </c:pt>
                <c:pt idx="787">
                  <c:v>4</c:v>
                </c:pt>
                <c:pt idx="788">
                  <c:v>3</c:v>
                </c:pt>
                <c:pt idx="789">
                  <c:v>5</c:v>
                </c:pt>
                <c:pt idx="790">
                  <c:v>4</c:v>
                </c:pt>
                <c:pt idx="791">
                  <c:v>4</c:v>
                </c:pt>
                <c:pt idx="792">
                  <c:v>2</c:v>
                </c:pt>
                <c:pt idx="793">
                  <c:v>5</c:v>
                </c:pt>
                <c:pt idx="794">
                  <c:v>5</c:v>
                </c:pt>
                <c:pt idx="795">
                  <c:v>3</c:v>
                </c:pt>
                <c:pt idx="796">
                  <c:v>5</c:v>
                </c:pt>
                <c:pt idx="797">
                  <c:v>4</c:v>
                </c:pt>
                <c:pt idx="798">
                  <c:v>4</c:v>
                </c:pt>
                <c:pt idx="799">
                  <c:v>4</c:v>
                </c:pt>
                <c:pt idx="800">
                  <c:v>3</c:v>
                </c:pt>
                <c:pt idx="801">
                  <c:v>4</c:v>
                </c:pt>
                <c:pt idx="802">
                  <c:v>3</c:v>
                </c:pt>
                <c:pt idx="803">
                  <c:v>5</c:v>
                </c:pt>
                <c:pt idx="804">
                  <c:v>4</c:v>
                </c:pt>
                <c:pt idx="805">
                  <c:v>4</c:v>
                </c:pt>
                <c:pt idx="806">
                  <c:v>5</c:v>
                </c:pt>
                <c:pt idx="807">
                  <c:v>4</c:v>
                </c:pt>
                <c:pt idx="808">
                  <c:v>5</c:v>
                </c:pt>
                <c:pt idx="809">
                  <c:v>4</c:v>
                </c:pt>
                <c:pt idx="810">
                  <c:v>3</c:v>
                </c:pt>
                <c:pt idx="811">
                  <c:v>3</c:v>
                </c:pt>
                <c:pt idx="812">
                  <c:v>4</c:v>
                </c:pt>
                <c:pt idx="813">
                  <c:v>4</c:v>
                </c:pt>
                <c:pt idx="814">
                  <c:v>3</c:v>
                </c:pt>
                <c:pt idx="815">
                  <c:v>5</c:v>
                </c:pt>
                <c:pt idx="816">
                  <c:v>5</c:v>
                </c:pt>
                <c:pt idx="817">
                  <c:v>5</c:v>
                </c:pt>
                <c:pt idx="818">
                  <c:v>5</c:v>
                </c:pt>
                <c:pt idx="819">
                  <c:v>3</c:v>
                </c:pt>
                <c:pt idx="820">
                  <c:v>5</c:v>
                </c:pt>
                <c:pt idx="821">
                  <c:v>5</c:v>
                </c:pt>
                <c:pt idx="822">
                  <c:v>5</c:v>
                </c:pt>
                <c:pt idx="823">
                  <c:v>5</c:v>
                </c:pt>
                <c:pt idx="824">
                  <c:v>4</c:v>
                </c:pt>
                <c:pt idx="825">
                  <c:v>5</c:v>
                </c:pt>
                <c:pt idx="826">
                  <c:v>5</c:v>
                </c:pt>
                <c:pt idx="827">
                  <c:v>5</c:v>
                </c:pt>
                <c:pt idx="828">
                  <c:v>4</c:v>
                </c:pt>
                <c:pt idx="829">
                  <c:v>4</c:v>
                </c:pt>
                <c:pt idx="830">
                  <c:v>5</c:v>
                </c:pt>
                <c:pt idx="831">
                  <c:v>3</c:v>
                </c:pt>
                <c:pt idx="832">
                  <c:v>5</c:v>
                </c:pt>
                <c:pt idx="833">
                  <c:v>5</c:v>
                </c:pt>
                <c:pt idx="834">
                  <c:v>3</c:v>
                </c:pt>
                <c:pt idx="835">
                  <c:v>4</c:v>
                </c:pt>
                <c:pt idx="836">
                  <c:v>4</c:v>
                </c:pt>
                <c:pt idx="837">
                  <c:v>4</c:v>
                </c:pt>
                <c:pt idx="838">
                  <c:v>2</c:v>
                </c:pt>
                <c:pt idx="839">
                  <c:v>3</c:v>
                </c:pt>
                <c:pt idx="840">
                  <c:v>4</c:v>
                </c:pt>
                <c:pt idx="841">
                  <c:v>4</c:v>
                </c:pt>
                <c:pt idx="842">
                  <c:v>4</c:v>
                </c:pt>
                <c:pt idx="843">
                  <c:v>4</c:v>
                </c:pt>
                <c:pt idx="844">
                  <c:v>4</c:v>
                </c:pt>
                <c:pt idx="845">
                  <c:v>5</c:v>
                </c:pt>
                <c:pt idx="846">
                  <c:v>3</c:v>
                </c:pt>
                <c:pt idx="847">
                  <c:v>3</c:v>
                </c:pt>
                <c:pt idx="848">
                  <c:v>3</c:v>
                </c:pt>
                <c:pt idx="849">
                  <c:v>5</c:v>
                </c:pt>
                <c:pt idx="850">
                  <c:v>4</c:v>
                </c:pt>
                <c:pt idx="851">
                  <c:v>5</c:v>
                </c:pt>
                <c:pt idx="852">
                  <c:v>4</c:v>
                </c:pt>
                <c:pt idx="853">
                  <c:v>4</c:v>
                </c:pt>
                <c:pt idx="854">
                  <c:v>4</c:v>
                </c:pt>
                <c:pt idx="855">
                  <c:v>5</c:v>
                </c:pt>
                <c:pt idx="856">
                  <c:v>4</c:v>
                </c:pt>
                <c:pt idx="857">
                  <c:v>4</c:v>
                </c:pt>
                <c:pt idx="858">
                  <c:v>5</c:v>
                </c:pt>
                <c:pt idx="859">
                  <c:v>4</c:v>
                </c:pt>
                <c:pt idx="860">
                  <c:v>5</c:v>
                </c:pt>
                <c:pt idx="861">
                  <c:v>4</c:v>
                </c:pt>
                <c:pt idx="862">
                  <c:v>5</c:v>
                </c:pt>
                <c:pt idx="863">
                  <c:v>4</c:v>
                </c:pt>
                <c:pt idx="864">
                  <c:v>5</c:v>
                </c:pt>
                <c:pt idx="865">
                  <c:v>4</c:v>
                </c:pt>
                <c:pt idx="866">
                  <c:v>4</c:v>
                </c:pt>
                <c:pt idx="867">
                  <c:v>4</c:v>
                </c:pt>
                <c:pt idx="868">
                  <c:v>4</c:v>
                </c:pt>
                <c:pt idx="869">
                  <c:v>4</c:v>
                </c:pt>
                <c:pt idx="870">
                  <c:v>4</c:v>
                </c:pt>
                <c:pt idx="871">
                  <c:v>4</c:v>
                </c:pt>
                <c:pt idx="872">
                  <c:v>4</c:v>
                </c:pt>
                <c:pt idx="873">
                  <c:v>4</c:v>
                </c:pt>
                <c:pt idx="874">
                  <c:v>5</c:v>
                </c:pt>
                <c:pt idx="875">
                  <c:v>4</c:v>
                </c:pt>
                <c:pt idx="876">
                  <c:v>2</c:v>
                </c:pt>
                <c:pt idx="877">
                  <c:v>5</c:v>
                </c:pt>
                <c:pt idx="878">
                  <c:v>4</c:v>
                </c:pt>
                <c:pt idx="879">
                  <c:v>2</c:v>
                </c:pt>
                <c:pt idx="880">
                  <c:v>5</c:v>
                </c:pt>
                <c:pt idx="881">
                  <c:v>3</c:v>
                </c:pt>
                <c:pt idx="882">
                  <c:v>3</c:v>
                </c:pt>
                <c:pt idx="883">
                  <c:v>3</c:v>
                </c:pt>
                <c:pt idx="884">
                  <c:v>4</c:v>
                </c:pt>
                <c:pt idx="885">
                  <c:v>2</c:v>
                </c:pt>
                <c:pt idx="886">
                  <c:v>4</c:v>
                </c:pt>
                <c:pt idx="887">
                  <c:v>4</c:v>
                </c:pt>
                <c:pt idx="888">
                  <c:v>3</c:v>
                </c:pt>
                <c:pt idx="889">
                  <c:v>4</c:v>
                </c:pt>
                <c:pt idx="890">
                  <c:v>5</c:v>
                </c:pt>
                <c:pt idx="891">
                  <c:v>4</c:v>
                </c:pt>
                <c:pt idx="892">
                  <c:v>4</c:v>
                </c:pt>
                <c:pt idx="893">
                  <c:v>4</c:v>
                </c:pt>
                <c:pt idx="894">
                  <c:v>4</c:v>
                </c:pt>
                <c:pt idx="895">
                  <c:v>5</c:v>
                </c:pt>
                <c:pt idx="896">
                  <c:v>5</c:v>
                </c:pt>
                <c:pt idx="897">
                  <c:v>3</c:v>
                </c:pt>
                <c:pt idx="898">
                  <c:v>4</c:v>
                </c:pt>
                <c:pt idx="899">
                  <c:v>3</c:v>
                </c:pt>
                <c:pt idx="900">
                  <c:v>4</c:v>
                </c:pt>
                <c:pt idx="901">
                  <c:v>3</c:v>
                </c:pt>
                <c:pt idx="902">
                  <c:v>5</c:v>
                </c:pt>
                <c:pt idx="903">
                  <c:v>3</c:v>
                </c:pt>
                <c:pt idx="904">
                  <c:v>4</c:v>
                </c:pt>
                <c:pt idx="905">
                  <c:v>4</c:v>
                </c:pt>
                <c:pt idx="906">
                  <c:v>5</c:v>
                </c:pt>
                <c:pt idx="907">
                  <c:v>4</c:v>
                </c:pt>
                <c:pt idx="908">
                  <c:v>5</c:v>
                </c:pt>
                <c:pt idx="909">
                  <c:v>5</c:v>
                </c:pt>
                <c:pt idx="910">
                  <c:v>5</c:v>
                </c:pt>
                <c:pt idx="911">
                  <c:v>4</c:v>
                </c:pt>
                <c:pt idx="912">
                  <c:v>4</c:v>
                </c:pt>
                <c:pt idx="913">
                  <c:v>4</c:v>
                </c:pt>
                <c:pt idx="914">
                  <c:v>4</c:v>
                </c:pt>
                <c:pt idx="915">
                  <c:v>2</c:v>
                </c:pt>
                <c:pt idx="916">
                  <c:v>4</c:v>
                </c:pt>
                <c:pt idx="917">
                  <c:v>4</c:v>
                </c:pt>
                <c:pt idx="918">
                  <c:v>4</c:v>
                </c:pt>
                <c:pt idx="919">
                  <c:v>5</c:v>
                </c:pt>
                <c:pt idx="920">
                  <c:v>4</c:v>
                </c:pt>
                <c:pt idx="921">
                  <c:v>5</c:v>
                </c:pt>
                <c:pt idx="922">
                  <c:v>3</c:v>
                </c:pt>
                <c:pt idx="923">
                  <c:v>3</c:v>
                </c:pt>
                <c:pt idx="924">
                  <c:v>4</c:v>
                </c:pt>
                <c:pt idx="925">
                  <c:v>4</c:v>
                </c:pt>
                <c:pt idx="926">
                  <c:v>3</c:v>
                </c:pt>
                <c:pt idx="927">
                  <c:v>3</c:v>
                </c:pt>
                <c:pt idx="928">
                  <c:v>3</c:v>
                </c:pt>
                <c:pt idx="929">
                  <c:v>2</c:v>
                </c:pt>
                <c:pt idx="930">
                  <c:v>4</c:v>
                </c:pt>
                <c:pt idx="931">
                  <c:v>4</c:v>
                </c:pt>
                <c:pt idx="932">
                  <c:v>3</c:v>
                </c:pt>
                <c:pt idx="933">
                  <c:v>4</c:v>
                </c:pt>
                <c:pt idx="934">
                  <c:v>4</c:v>
                </c:pt>
                <c:pt idx="935">
                  <c:v>5</c:v>
                </c:pt>
                <c:pt idx="936">
                  <c:v>4</c:v>
                </c:pt>
                <c:pt idx="937">
                  <c:v>4</c:v>
                </c:pt>
                <c:pt idx="938">
                  <c:v>5</c:v>
                </c:pt>
                <c:pt idx="939">
                  <c:v>5</c:v>
                </c:pt>
                <c:pt idx="940">
                  <c:v>5</c:v>
                </c:pt>
                <c:pt idx="941">
                  <c:v>2</c:v>
                </c:pt>
                <c:pt idx="942">
                  <c:v>4</c:v>
                </c:pt>
                <c:pt idx="943">
                  <c:v>4</c:v>
                </c:pt>
                <c:pt idx="944">
                  <c:v>4</c:v>
                </c:pt>
                <c:pt idx="945">
                  <c:v>3</c:v>
                </c:pt>
                <c:pt idx="946">
                  <c:v>5</c:v>
                </c:pt>
                <c:pt idx="947">
                  <c:v>5</c:v>
                </c:pt>
                <c:pt idx="948">
                  <c:v>2</c:v>
                </c:pt>
                <c:pt idx="949">
                  <c:v>3</c:v>
                </c:pt>
                <c:pt idx="950">
                  <c:v>5</c:v>
                </c:pt>
                <c:pt idx="951">
                  <c:v>4</c:v>
                </c:pt>
                <c:pt idx="952">
                  <c:v>4</c:v>
                </c:pt>
                <c:pt idx="953">
                  <c:v>3</c:v>
                </c:pt>
                <c:pt idx="954">
                  <c:v>4</c:v>
                </c:pt>
                <c:pt idx="955">
                  <c:v>4</c:v>
                </c:pt>
                <c:pt idx="956">
                  <c:v>4</c:v>
                </c:pt>
                <c:pt idx="957">
                  <c:v>3</c:v>
                </c:pt>
                <c:pt idx="958">
                  <c:v>2</c:v>
                </c:pt>
                <c:pt idx="959">
                  <c:v>4</c:v>
                </c:pt>
                <c:pt idx="960">
                  <c:v>4</c:v>
                </c:pt>
                <c:pt idx="961">
                  <c:v>3</c:v>
                </c:pt>
                <c:pt idx="962">
                  <c:v>4</c:v>
                </c:pt>
                <c:pt idx="963">
                  <c:v>5</c:v>
                </c:pt>
                <c:pt idx="964">
                  <c:v>3</c:v>
                </c:pt>
                <c:pt idx="965">
                  <c:v>4</c:v>
                </c:pt>
                <c:pt idx="966">
                  <c:v>3</c:v>
                </c:pt>
                <c:pt idx="967">
                  <c:v>5</c:v>
                </c:pt>
                <c:pt idx="968">
                  <c:v>2</c:v>
                </c:pt>
                <c:pt idx="969">
                  <c:v>5</c:v>
                </c:pt>
                <c:pt idx="970">
                  <c:v>3</c:v>
                </c:pt>
                <c:pt idx="971">
                  <c:v>3</c:v>
                </c:pt>
                <c:pt idx="972">
                  <c:v>5</c:v>
                </c:pt>
                <c:pt idx="973">
                  <c:v>5</c:v>
                </c:pt>
                <c:pt idx="974">
                  <c:v>5</c:v>
                </c:pt>
                <c:pt idx="975">
                  <c:v>4</c:v>
                </c:pt>
                <c:pt idx="976">
                  <c:v>5</c:v>
                </c:pt>
                <c:pt idx="977">
                  <c:v>4</c:v>
                </c:pt>
                <c:pt idx="978">
                  <c:v>5</c:v>
                </c:pt>
                <c:pt idx="979">
                  <c:v>2</c:v>
                </c:pt>
                <c:pt idx="980">
                  <c:v>3</c:v>
                </c:pt>
                <c:pt idx="981">
                  <c:v>4</c:v>
                </c:pt>
                <c:pt idx="982">
                  <c:v>3</c:v>
                </c:pt>
                <c:pt idx="983">
                  <c:v>2</c:v>
                </c:pt>
                <c:pt idx="984">
                  <c:v>4</c:v>
                </c:pt>
                <c:pt idx="985">
                  <c:v>4</c:v>
                </c:pt>
                <c:pt idx="986">
                  <c:v>5</c:v>
                </c:pt>
                <c:pt idx="987">
                  <c:v>5</c:v>
                </c:pt>
                <c:pt idx="988">
                  <c:v>5</c:v>
                </c:pt>
                <c:pt idx="989">
                  <c:v>5</c:v>
                </c:pt>
                <c:pt idx="990">
                  <c:v>5</c:v>
                </c:pt>
                <c:pt idx="991">
                  <c:v>5</c:v>
                </c:pt>
                <c:pt idx="992">
                  <c:v>4</c:v>
                </c:pt>
                <c:pt idx="993">
                  <c:v>3</c:v>
                </c:pt>
                <c:pt idx="994">
                  <c:v>5</c:v>
                </c:pt>
                <c:pt idx="995">
                  <c:v>4</c:v>
                </c:pt>
                <c:pt idx="996">
                  <c:v>4</c:v>
                </c:pt>
                <c:pt idx="997">
                  <c:v>2</c:v>
                </c:pt>
                <c:pt idx="998">
                  <c:v>4</c:v>
                </c:pt>
                <c:pt idx="999">
                  <c:v>4</c:v>
                </c:pt>
              </c:numCache>
            </c:numRef>
          </c:yVal>
          <c:smooth val="0"/>
          <c:extLst>
            <c:ext xmlns:c16="http://schemas.microsoft.com/office/drawing/2014/chart" uri="{C3380CC4-5D6E-409C-BE32-E72D297353CC}">
              <c16:uniqueId val="{00000000-0E96-46B0-A148-A17A8EE6410F}"/>
            </c:ext>
          </c:extLst>
        </c:ser>
        <c:dLbls>
          <c:showLegendKey val="0"/>
          <c:showVal val="0"/>
          <c:showCatName val="0"/>
          <c:showSerName val="0"/>
          <c:showPercent val="0"/>
          <c:showBubbleSize val="0"/>
        </c:dLbls>
        <c:axId val="1414526479"/>
        <c:axId val="1408279567"/>
      </c:scatterChart>
      <c:valAx>
        <c:axId val="141452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Call Duration (minutes)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279567"/>
        <c:crosses val="autoZero"/>
        <c:crossBetween val="midCat"/>
      </c:valAx>
      <c:valAx>
        <c:axId val="1408279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Rounded Satisfaction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26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Call Duration vs Purchase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'Pivot Tables and Others'!$B$315:$B$329</c:f>
              <c:numCache>
                <c:formatCode>General</c:formatCode>
                <c:ptCount val="15"/>
                <c:pt idx="0">
                  <c:v>6971</c:v>
                </c:pt>
                <c:pt idx="1">
                  <c:v>5998</c:v>
                </c:pt>
                <c:pt idx="2">
                  <c:v>5406</c:v>
                </c:pt>
                <c:pt idx="3">
                  <c:v>4712</c:v>
                </c:pt>
                <c:pt idx="4">
                  <c:v>5496</c:v>
                </c:pt>
                <c:pt idx="5">
                  <c:v>7379</c:v>
                </c:pt>
                <c:pt idx="6">
                  <c:v>6354</c:v>
                </c:pt>
                <c:pt idx="7">
                  <c:v>5651</c:v>
                </c:pt>
                <c:pt idx="8">
                  <c:v>6119</c:v>
                </c:pt>
                <c:pt idx="9">
                  <c:v>5918</c:v>
                </c:pt>
                <c:pt idx="10">
                  <c:v>6039</c:v>
                </c:pt>
                <c:pt idx="11">
                  <c:v>6563</c:v>
                </c:pt>
                <c:pt idx="12">
                  <c:v>6058</c:v>
                </c:pt>
                <c:pt idx="13">
                  <c:v>5897</c:v>
                </c:pt>
                <c:pt idx="14">
                  <c:v>5289</c:v>
                </c:pt>
              </c:numCache>
            </c:numRef>
          </c:xVal>
          <c:yVal>
            <c:numRef>
              <c:f>'Pivot Tables and Others'!$C$315:$C$329</c:f>
              <c:numCache>
                <c:formatCode>General</c:formatCode>
                <c:ptCount val="15"/>
                <c:pt idx="0">
                  <c:v>6242</c:v>
                </c:pt>
                <c:pt idx="1">
                  <c:v>5404</c:v>
                </c:pt>
                <c:pt idx="2">
                  <c:v>5009</c:v>
                </c:pt>
                <c:pt idx="3">
                  <c:v>4804</c:v>
                </c:pt>
                <c:pt idx="4">
                  <c:v>5634</c:v>
                </c:pt>
                <c:pt idx="5">
                  <c:v>7689</c:v>
                </c:pt>
                <c:pt idx="6">
                  <c:v>6819</c:v>
                </c:pt>
                <c:pt idx="7">
                  <c:v>6176</c:v>
                </c:pt>
                <c:pt idx="8">
                  <c:v>6749</c:v>
                </c:pt>
                <c:pt idx="9">
                  <c:v>6601</c:v>
                </c:pt>
                <c:pt idx="10">
                  <c:v>6785</c:v>
                </c:pt>
                <c:pt idx="11">
                  <c:v>7747</c:v>
                </c:pt>
                <c:pt idx="12">
                  <c:v>7230</c:v>
                </c:pt>
                <c:pt idx="13">
                  <c:v>7216</c:v>
                </c:pt>
                <c:pt idx="14">
                  <c:v>6518</c:v>
                </c:pt>
              </c:numCache>
            </c:numRef>
          </c:yVal>
          <c:smooth val="0"/>
          <c:extLst>
            <c:ext xmlns:c16="http://schemas.microsoft.com/office/drawing/2014/chart" uri="{C3380CC4-5D6E-409C-BE32-E72D297353CC}">
              <c16:uniqueId val="{00000000-34B6-472E-96E2-0A5B0B13687F}"/>
            </c:ext>
          </c:extLst>
        </c:ser>
        <c:dLbls>
          <c:showLegendKey val="0"/>
          <c:showVal val="0"/>
          <c:showCatName val="0"/>
          <c:showSerName val="0"/>
          <c:showPercent val="0"/>
          <c:showBubbleSize val="0"/>
        </c:dLbls>
        <c:axId val="1359576335"/>
        <c:axId val="1408258447"/>
      </c:scatterChart>
      <c:valAx>
        <c:axId val="1359576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 Call Duration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258447"/>
        <c:crosses val="autoZero"/>
        <c:crossBetween val="midCat"/>
      </c:valAx>
      <c:valAx>
        <c:axId val="140825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Purchase 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76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22860</xdr:colOff>
      <xdr:row>3</xdr:row>
      <xdr:rowOff>144780</xdr:rowOff>
    </xdr:from>
    <xdr:to>
      <xdr:col>15</xdr:col>
      <xdr:colOff>426720</xdr:colOff>
      <xdr:row>21</xdr:row>
      <xdr:rowOff>91440</xdr:rowOff>
    </xdr:to>
    <xdr:sp macro="" textlink="">
      <xdr:nvSpPr>
        <xdr:cNvPr id="2" name="TextBox 1">
          <a:extLst>
            <a:ext uri="{FF2B5EF4-FFF2-40B4-BE49-F238E27FC236}">
              <a16:creationId xmlns:a16="http://schemas.microsoft.com/office/drawing/2014/main" id="{463BE4E3-B72B-F839-8D8A-AABF7D1E756E}"/>
            </a:ext>
          </a:extLst>
        </xdr:cNvPr>
        <xdr:cNvSpPr txBox="1"/>
      </xdr:nvSpPr>
      <xdr:spPr>
        <a:xfrm>
          <a:off x="8671560" y="830580"/>
          <a:ext cx="2781300" cy="406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none" strike="noStrike">
              <a:solidFill>
                <a:schemeClr val="dk1"/>
              </a:solidFill>
              <a:effectLst/>
              <a:latin typeface="+mn-lt"/>
              <a:ea typeface="+mn-ea"/>
              <a:cs typeface="+mn-cs"/>
            </a:rPr>
            <a:t>📝 Note: Why =IF(MONTH(Call_Centre_Data[Date of Call])&lt;7...) Triggers a #SPILL! Error</a:t>
          </a:r>
        </a:p>
        <a:p>
          <a:r>
            <a:rPr lang="en-IN" sz="1100" b="1" u="none" strike="noStrike">
              <a:solidFill>
                <a:schemeClr val="dk1"/>
              </a:solidFill>
              <a:effectLst/>
              <a:latin typeface="+mn-lt"/>
              <a:ea typeface="+mn-ea"/>
              <a:cs typeface="+mn-cs"/>
            </a:rPr>
            <a:t>1. The Core Issue (The Multi-Row Conflict)</a:t>
          </a:r>
        </a:p>
        <a:p>
          <a:r>
            <a:rPr lang="en-IN" sz="1100" b="0" u="none" strike="noStrike">
              <a:solidFill>
                <a:schemeClr val="dk1"/>
              </a:solidFill>
              <a:effectLst/>
              <a:latin typeface="+mn-lt"/>
              <a:ea typeface="+mn-ea"/>
              <a:cs typeface="+mn-cs"/>
            </a:rPr>
            <a:t>When you reference an entire column by its full name—Call_Centre_Data[Date of Call]—Excel calculates a massive array containing the month for </a:t>
          </a:r>
          <a:r>
            <a:rPr lang="en-IN" sz="1100" b="1" u="none" strike="noStrike">
              <a:solidFill>
                <a:schemeClr val="dk1"/>
              </a:solidFill>
              <a:effectLst/>
              <a:latin typeface="+mn-lt"/>
              <a:ea typeface="+mn-ea"/>
              <a:cs typeface="+mn-cs"/>
            </a:rPr>
            <a:t>every single row</a:t>
          </a:r>
          <a:r>
            <a:rPr lang="en-IN" sz="1100" b="0" u="none" strike="noStrike">
              <a:solidFill>
                <a:schemeClr val="dk1"/>
              </a:solidFill>
              <a:effectLst/>
              <a:latin typeface="+mn-lt"/>
              <a:ea typeface="+mn-ea"/>
              <a:cs typeface="+mn-cs"/>
            </a:rPr>
            <a:t> in your dataset all at once. It tries to force that entire multi-row list of results downwards starting from cell H2.</a:t>
          </a:r>
        </a:p>
        <a:p>
          <a:r>
            <a:rPr lang="en-IN" sz="1100" b="1" u="none" strike="noStrike">
              <a:solidFill>
                <a:schemeClr val="dk1"/>
              </a:solidFill>
              <a:effectLst/>
              <a:latin typeface="+mn-lt"/>
              <a:ea typeface="+mn-ea"/>
              <a:cs typeface="+mn-cs"/>
            </a:rPr>
            <a:t>2. The Table Restriction Clash</a:t>
          </a:r>
        </a:p>
        <a:p>
          <a:r>
            <a:rPr lang="en-IN" sz="1100" b="0" u="none" strike="noStrike">
              <a:solidFill>
                <a:schemeClr val="dk1"/>
              </a:solidFill>
              <a:effectLst/>
              <a:latin typeface="+mn-lt"/>
              <a:ea typeface="+mn-ea"/>
              <a:cs typeface="+mn-cs"/>
            </a:rPr>
            <a:t>Because this calculation is placed inside an official Excel Table, Excel's automatic </a:t>
          </a:r>
          <a:r>
            <a:rPr lang="en-IN" sz="1100" b="1" u="none" strike="noStrike">
              <a:solidFill>
                <a:schemeClr val="dk1"/>
              </a:solidFill>
              <a:effectLst/>
              <a:latin typeface="+mn-lt"/>
              <a:ea typeface="+mn-ea"/>
              <a:cs typeface="+mn-cs"/>
            </a:rPr>
            <a:t>Calculated Columns</a:t>
          </a:r>
          <a:r>
            <a:rPr lang="en-IN" sz="1100" b="0" u="none" strike="noStrike">
              <a:solidFill>
                <a:schemeClr val="dk1"/>
              </a:solidFill>
              <a:effectLst/>
              <a:latin typeface="+mn-lt"/>
              <a:ea typeface="+mn-ea"/>
              <a:cs typeface="+mn-cs"/>
            </a:rPr>
            <a:t> engine immediately copies your formula down to cells H3, H4, H5, and so on.</a:t>
          </a:r>
        </a:p>
        <a:p>
          <a:pPr lvl="0"/>
          <a:r>
            <a:rPr lang="en-IN" sz="1100" b="0" u="none" strike="noStrike">
              <a:solidFill>
                <a:schemeClr val="dk1"/>
              </a:solidFill>
              <a:effectLst/>
              <a:latin typeface="+mn-lt"/>
              <a:ea typeface="+mn-ea"/>
              <a:cs typeface="+mn-cs"/>
            </a:rPr>
            <a:t>The massive array trying to spill downward from row 2 physically crashes into the identical hidden formulas running in the rows directly underneath it.</a:t>
          </a:r>
        </a:p>
        <a:p>
          <a:pPr lvl="0"/>
          <a:r>
            <a:rPr lang="en-IN" sz="1100" b="0" u="none" strike="noStrike">
              <a:solidFill>
                <a:schemeClr val="dk1"/>
              </a:solidFill>
              <a:effectLst/>
              <a:latin typeface="+mn-lt"/>
              <a:ea typeface="+mn-ea"/>
              <a:cs typeface="+mn-cs"/>
            </a:rPr>
            <a:t>Because Excel Tables block formulas from overlapping each other, the table locks up and returns a #SPILL! error in every row.</a:t>
          </a:r>
        </a:p>
        <a:p>
          <a:br>
            <a:rPr lang="en-IN"/>
          </a:br>
          <a:endParaRPr lang="en-IN"/>
        </a:p>
        <a:p>
          <a:endParaRPr lang="en-IN" sz="1100"/>
        </a:p>
      </xdr:txBody>
    </xdr:sp>
    <xdr:clientData/>
  </xdr:twoCellAnchor>
  <xdr:twoCellAnchor>
    <xdr:from>
      <xdr:col>12</xdr:col>
      <xdr:colOff>7620</xdr:colOff>
      <xdr:row>22</xdr:row>
      <xdr:rowOff>106680</xdr:rowOff>
    </xdr:from>
    <xdr:to>
      <xdr:col>15</xdr:col>
      <xdr:colOff>434340</xdr:colOff>
      <xdr:row>29</xdr:row>
      <xdr:rowOff>160020</xdr:rowOff>
    </xdr:to>
    <xdr:sp macro="" textlink="">
      <xdr:nvSpPr>
        <xdr:cNvPr id="3" name="TextBox 2">
          <a:extLst>
            <a:ext uri="{FF2B5EF4-FFF2-40B4-BE49-F238E27FC236}">
              <a16:creationId xmlns:a16="http://schemas.microsoft.com/office/drawing/2014/main" id="{B8919AB5-8319-2522-982E-4906F03229B8}"/>
            </a:ext>
          </a:extLst>
        </xdr:cNvPr>
        <xdr:cNvSpPr txBox="1"/>
      </xdr:nvSpPr>
      <xdr:spPr>
        <a:xfrm>
          <a:off x="8656320" y="5135880"/>
          <a:ext cx="2804160" cy="1653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none" strike="noStrike">
              <a:solidFill>
                <a:schemeClr val="dk1"/>
              </a:solidFill>
              <a:effectLst/>
              <a:latin typeface="+mn-lt"/>
              <a:ea typeface="+mn-ea"/>
              <a:cs typeface="+mn-cs"/>
            </a:rPr>
            <a:t>🛠️ The Instant Solution</a:t>
          </a:r>
        </a:p>
        <a:p>
          <a:r>
            <a:rPr lang="en-IN" sz="1100" b="0" u="none" strike="noStrike">
              <a:solidFill>
                <a:schemeClr val="dk1"/>
              </a:solidFill>
              <a:effectLst/>
              <a:latin typeface="+mn-lt"/>
              <a:ea typeface="+mn-ea"/>
              <a:cs typeface="+mn-cs"/>
            </a:rPr>
            <a:t>To fix this, you need to tell Excel to look </a:t>
          </a:r>
          <a:r>
            <a:rPr lang="en-IN" sz="1100" b="1" u="none" strike="noStrike">
              <a:solidFill>
                <a:schemeClr val="dk1"/>
              </a:solidFill>
              <a:effectLst/>
              <a:latin typeface="+mn-lt"/>
              <a:ea typeface="+mn-ea"/>
              <a:cs typeface="+mn-cs"/>
            </a:rPr>
            <a:t>only at the current row's date</a:t>
          </a:r>
          <a:r>
            <a:rPr lang="en-IN" sz="1100" b="0" u="none" strike="noStrike">
              <a:solidFill>
                <a:schemeClr val="dk1"/>
              </a:solidFill>
              <a:effectLst/>
              <a:latin typeface="+mn-lt"/>
              <a:ea typeface="+mn-ea"/>
              <a:cs typeface="+mn-cs"/>
            </a:rPr>
            <a:t> instead of pulling the entire column.</a:t>
          </a:r>
        </a:p>
        <a:p>
          <a:r>
            <a:rPr lang="en-IN" sz="1100" b="0" u="none" strike="noStrike">
              <a:solidFill>
                <a:schemeClr val="dk1"/>
              </a:solidFill>
              <a:effectLst/>
              <a:latin typeface="+mn-lt"/>
              <a:ea typeface="+mn-ea"/>
              <a:cs typeface="+mn-cs"/>
            </a:rPr>
            <a:t>Replace your current formula with this standard row-relative formula:</a:t>
          </a:r>
        </a:p>
        <a:p>
          <a:r>
            <a:rPr lang="en-IN" sz="1100" b="0" u="none" strike="noStrike">
              <a:solidFill>
                <a:schemeClr val="dk1"/>
              </a:solidFill>
              <a:effectLst/>
              <a:latin typeface="+mn-lt"/>
              <a:ea typeface="+mn-ea"/>
              <a:cs typeface="+mn-cs"/>
            </a:rPr>
            <a:t>excel</a:t>
          </a:r>
        </a:p>
        <a:p>
          <a:pPr rtl="0"/>
          <a:r>
            <a:rPr lang="en-IN" sz="1100" b="0" u="none" strike="noStrike">
              <a:solidFill>
                <a:schemeClr val="dk1"/>
              </a:solidFill>
              <a:effectLst/>
              <a:latin typeface="+mn-lt"/>
              <a:ea typeface="+mn-ea"/>
              <a:cs typeface="+mn-cs"/>
            </a:rPr>
            <a:t>=IF(MONTH([@[Date of Call]])&lt;7, "FY2023", "FY2024")</a:t>
          </a:r>
        </a:p>
        <a:p>
          <a:endParaRPr lang="en-IN" sz="1100"/>
        </a:p>
      </xdr:txBody>
    </xdr:sp>
    <xdr:clientData/>
  </xdr:twoCellAnchor>
  <xdr:twoCellAnchor>
    <xdr:from>
      <xdr:col>15</xdr:col>
      <xdr:colOff>655320</xdr:colOff>
      <xdr:row>3</xdr:row>
      <xdr:rowOff>137160</xdr:rowOff>
    </xdr:from>
    <xdr:to>
      <xdr:col>19</xdr:col>
      <xdr:colOff>190500</xdr:colOff>
      <xdr:row>23</xdr:row>
      <xdr:rowOff>137160</xdr:rowOff>
    </xdr:to>
    <xdr:sp macro="" textlink="">
      <xdr:nvSpPr>
        <xdr:cNvPr id="4" name="TextBox 3">
          <a:extLst>
            <a:ext uri="{FF2B5EF4-FFF2-40B4-BE49-F238E27FC236}">
              <a16:creationId xmlns:a16="http://schemas.microsoft.com/office/drawing/2014/main" id="{40ED635B-7768-91DE-CD1F-A8914F65FA46}"/>
            </a:ext>
          </a:extLst>
        </xdr:cNvPr>
        <xdr:cNvSpPr txBox="1"/>
      </xdr:nvSpPr>
      <xdr:spPr>
        <a:xfrm>
          <a:off x="11681460" y="822960"/>
          <a:ext cx="2705100" cy="457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FY-Based YTD (Year-to-Date)</a:t>
          </a:r>
        </a:p>
        <a:p>
          <a:r>
            <a:rPr lang="en-IN"/>
            <a:t>YTD can be calculated based on a company's </a:t>
          </a:r>
          <a:r>
            <a:rPr lang="en-IN" b="1"/>
            <a:t>financial year</a:t>
          </a:r>
          <a:r>
            <a:rPr lang="en-IN"/>
            <a:t>, not only the calendar year.</a:t>
          </a:r>
        </a:p>
        <a:p>
          <a:r>
            <a:rPr lang="en-IN"/>
            <a:t>If the financial year runs from </a:t>
          </a:r>
          <a:r>
            <a:rPr lang="en-IN" b="1"/>
            <a:t>July 1 to June 30</a:t>
          </a:r>
          <a:r>
            <a:rPr lang="en-IN"/>
            <a:t>:</a:t>
          </a:r>
        </a:p>
        <a:p>
          <a:pPr lvl="0"/>
          <a:r>
            <a:rPr lang="en-IN" b="1"/>
            <a:t>FY2023</a:t>
          </a:r>
          <a:r>
            <a:rPr lang="en-IN"/>
            <a:t> = July 1, 2022 → June 30, 2023 </a:t>
          </a:r>
        </a:p>
        <a:p>
          <a:pPr lvl="0"/>
          <a:r>
            <a:rPr lang="en-IN" b="1"/>
            <a:t>FY2024</a:t>
          </a:r>
          <a:r>
            <a:rPr lang="en-IN"/>
            <a:t> = July 1, 2023 → June 30, 2024 </a:t>
          </a:r>
        </a:p>
        <a:p>
          <a:r>
            <a:rPr lang="en-IN" b="1"/>
            <a:t>FY2024 YTD</a:t>
          </a:r>
          <a:r>
            <a:rPr lang="en-IN"/>
            <a:t> means the sales accumulated from the </a:t>
          </a:r>
          <a:r>
            <a:rPr lang="en-IN" b="1"/>
            <a:t>start of FY2024 (July 1, 2023)</a:t>
          </a:r>
          <a:r>
            <a:rPr lang="en-IN"/>
            <a:t> up to the current/cutoff date.</a:t>
          </a:r>
        </a:p>
        <a:p>
          <a:r>
            <a:rPr lang="en-IN"/>
            <a:t>For example, if the cutoff date is November 30, 2023:</a:t>
          </a:r>
        </a:p>
        <a:p>
          <a:r>
            <a:rPr lang="en-IN" b="1"/>
            <a:t>FY2024 YTD = July 1, 2023 → November 30, 2023</a:t>
          </a:r>
          <a:endParaRPr lang="en-IN"/>
        </a:p>
        <a:p>
          <a:r>
            <a:rPr lang="en-IN"/>
            <a:t>If the cutoff date is June 30, 2024:</a:t>
          </a:r>
        </a:p>
        <a:p>
          <a:r>
            <a:rPr lang="en-IN" b="1"/>
            <a:t>FY2024 YTD = July 1, 2023 → June 30, 2024</a:t>
          </a:r>
          <a:r>
            <a:rPr lang="en-IN"/>
            <a:t>, which is the complete FY2024.</a:t>
          </a:r>
        </a:p>
        <a:p>
          <a:r>
            <a:rPr lang="en-IN"/>
            <a:t>For a </a:t>
          </a:r>
          <a:r>
            <a:rPr lang="en-IN" b="1"/>
            <a:t>YoY YTD comparison</a:t>
          </a:r>
          <a:r>
            <a:rPr lang="en-IN"/>
            <a:t>, compare the same point in each financial year:</a:t>
          </a:r>
        </a:p>
        <a:p>
          <a:r>
            <a:rPr lang="en-IN" b="1"/>
            <a:t>FY2024 YTD (Jul–Nov 2023)</a:t>
          </a:r>
          <a:r>
            <a:rPr lang="en-IN"/>
            <a:t> vs. </a:t>
          </a:r>
          <a:r>
            <a:rPr lang="en-IN" b="1"/>
            <a:t>FY2023 YTD (Jul–Nov 2022)</a:t>
          </a:r>
          <a:r>
            <a:rPr lang="en-IN"/>
            <a:t>.</a:t>
          </a:r>
        </a:p>
        <a:p>
          <a:r>
            <a:rPr lang="en-IN"/>
            <a:t>Therefore:</a:t>
          </a:r>
        </a:p>
        <a:p>
          <a:r>
            <a:rPr lang="en-IN" b="1"/>
            <a:t>YTD</a:t>
          </a:r>
          <a:r>
            <a:rPr lang="en-IN"/>
            <a:t> describes the accumulated period within the current financial year, while </a:t>
          </a:r>
          <a:r>
            <a:rPr lang="en-IN" b="1"/>
            <a:t>YoY</a:t>
          </a:r>
          <a:r>
            <a:rPr lang="en-IN"/>
            <a:t> describes the comparison between equivalent periods across different years.</a:t>
          </a:r>
        </a:p>
        <a:p>
          <a:endParaRPr lang="en-IN" sz="1100"/>
        </a:p>
      </xdr:txBody>
    </xdr:sp>
    <xdr:clientData/>
  </xdr:twoCellAnchor>
  <xdr:twoCellAnchor>
    <xdr:from>
      <xdr:col>15</xdr:col>
      <xdr:colOff>693420</xdr:colOff>
      <xdr:row>24</xdr:row>
      <xdr:rowOff>30480</xdr:rowOff>
    </xdr:from>
    <xdr:to>
      <xdr:col>19</xdr:col>
      <xdr:colOff>304800</xdr:colOff>
      <xdr:row>41</xdr:row>
      <xdr:rowOff>205740</xdr:rowOff>
    </xdr:to>
    <xdr:sp macro="" textlink="">
      <xdr:nvSpPr>
        <xdr:cNvPr id="5" name="TextBox 4">
          <a:extLst>
            <a:ext uri="{FF2B5EF4-FFF2-40B4-BE49-F238E27FC236}">
              <a16:creationId xmlns:a16="http://schemas.microsoft.com/office/drawing/2014/main" id="{86B3B8AF-BBE2-4ECF-925D-4ACC18A637A2}"/>
            </a:ext>
          </a:extLst>
        </xdr:cNvPr>
        <xdr:cNvSpPr txBox="1"/>
      </xdr:nvSpPr>
      <xdr:spPr>
        <a:xfrm>
          <a:off x="13662660" y="5516880"/>
          <a:ext cx="2781300" cy="406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Structured References in Excel Tables</a:t>
          </a:r>
        </a:p>
        <a:p>
          <a:r>
            <a:rPr lang="en-IN"/>
            <a:t>Excel Tables use </a:t>
          </a:r>
          <a:r>
            <a:rPr lang="en-IN" b="1"/>
            <a:t>structured references</a:t>
          </a:r>
          <a:r>
            <a:rPr lang="en-IN"/>
            <a:t> to refer to columns instead of normal cell references.</a:t>
          </a:r>
        </a:p>
        <a:p>
          <a:pPr lvl="0"/>
          <a:r>
            <a:rPr lang="en-IN" sz="1100">
              <a:solidFill>
                <a:schemeClr val="dk1"/>
              </a:solidFill>
              <a:latin typeface="+mn-lt"/>
              <a:ea typeface="+mn-ea"/>
              <a:cs typeface="+mn-cs"/>
            </a:rPr>
            <a:t>[@Duration]</a:t>
          </a:r>
          <a:r>
            <a:rPr lang="en-IN"/>
            <a:t> → the </a:t>
          </a:r>
          <a:r>
            <a:rPr lang="en-IN" b="1"/>
            <a:t>Duration value in the current row</a:t>
          </a:r>
          <a:r>
            <a:rPr lang="en-IN"/>
            <a:t>. </a:t>
          </a:r>
        </a:p>
        <a:p>
          <a:pPr lvl="0"/>
          <a:r>
            <a:rPr lang="en-IN" sz="1100">
              <a:solidFill>
                <a:schemeClr val="dk1"/>
              </a:solidFill>
              <a:latin typeface="+mn-lt"/>
              <a:ea typeface="+mn-ea"/>
              <a:cs typeface="+mn-cs"/>
            </a:rPr>
            <a:t>[@[Date of Call]]</a:t>
          </a:r>
          <a:r>
            <a:rPr lang="en-IN"/>
            <a:t> → the </a:t>
          </a:r>
          <a:r>
            <a:rPr lang="en-IN" b="1"/>
            <a:t>Date of Call value in the current row</a:t>
          </a:r>
          <a:r>
            <a:rPr lang="en-IN"/>
            <a:t>. </a:t>
          </a:r>
        </a:p>
        <a:p>
          <a:r>
            <a:rPr lang="en-IN"/>
            <a:t>The nested brackets in </a:t>
          </a:r>
          <a:r>
            <a:rPr lang="en-IN" sz="1100">
              <a:solidFill>
                <a:schemeClr val="dk1"/>
              </a:solidFill>
              <a:latin typeface="+mn-lt"/>
              <a:ea typeface="+mn-ea"/>
              <a:cs typeface="+mn-cs"/>
            </a:rPr>
            <a:t>[@[Date of Call]]</a:t>
          </a:r>
          <a:r>
            <a:rPr lang="en-IN"/>
            <a:t> do </a:t>
          </a:r>
          <a:r>
            <a:rPr lang="en-IN" b="1"/>
            <a:t>not</a:t>
          </a:r>
          <a:r>
            <a:rPr lang="en-IN"/>
            <a:t> mean two separate references. They are simply part of Excel's structured-reference syntax for that column name.</a:t>
          </a:r>
        </a:p>
        <a:p>
          <a:r>
            <a:rPr lang="en-IN"/>
            <a:t>For example:</a:t>
          </a:r>
        </a:p>
        <a:p>
          <a:pPr rtl="0"/>
          <a:r>
            <a:rPr lang="en-IN" sz="1100">
              <a:solidFill>
                <a:schemeClr val="dk1"/>
              </a:solidFill>
              <a:latin typeface="+mn-lt"/>
              <a:ea typeface="+mn-ea"/>
              <a:cs typeface="+mn-cs"/>
            </a:rPr>
            <a:t>=TEXT([@[Date of Call]],"DDDD")</a:t>
          </a:r>
        </a:p>
        <a:p>
          <a:r>
            <a:rPr lang="en-IN"/>
            <a:t>takes the current row's date and converts it to the full day name.</a:t>
          </a:r>
        </a:p>
        <a:p>
          <a:r>
            <a:rPr lang="en-IN"/>
            <a:t>Similarly:</a:t>
          </a:r>
        </a:p>
        <a:p>
          <a:pPr rtl="0"/>
          <a:r>
            <a:rPr lang="en-IN" sz="1100">
              <a:solidFill>
                <a:schemeClr val="dk1"/>
              </a:solidFill>
              <a:latin typeface="+mn-lt"/>
              <a:ea typeface="+mn-ea"/>
              <a:cs typeface="+mn-cs"/>
            </a:rPr>
            <a:t>=IFS(@[Duration]&lt;=10,"Under 10 Mins",TRUE,"Above &gt;10")</a:t>
          </a:r>
        </a:p>
        <a:p>
          <a:r>
            <a:rPr lang="en-IN"/>
            <a:t>uses the current row's Duration.</a:t>
          </a:r>
        </a:p>
        <a:p>
          <a:r>
            <a:rPr lang="en-IN" b="1"/>
            <a:t>Key idea:</a:t>
          </a:r>
          <a:r>
            <a:rPr lang="en-IN"/>
            <a:t> </a:t>
          </a:r>
          <a:r>
            <a:rPr lang="en-IN" sz="1100">
              <a:solidFill>
                <a:schemeClr val="dk1"/>
              </a:solidFill>
              <a:latin typeface="+mn-lt"/>
              <a:ea typeface="+mn-ea"/>
              <a:cs typeface="+mn-cs"/>
            </a:rPr>
            <a:t>@</a:t>
          </a:r>
          <a:r>
            <a:rPr lang="en-IN"/>
            <a:t> means </a:t>
          </a:r>
          <a:r>
            <a:rPr lang="en-IN" b="1"/>
            <a:t>current row</a:t>
          </a:r>
          <a:r>
            <a:rPr lang="en-IN"/>
            <a:t>, while the column name inside brackets identifies </a:t>
          </a:r>
          <a:r>
            <a:rPr lang="en-IN" b="1"/>
            <a:t>which column</a:t>
          </a:r>
          <a:r>
            <a:rPr lang="en-IN"/>
            <a:t> to use.</a:t>
          </a:r>
        </a:p>
      </xdr:txBody>
    </xdr:sp>
    <xdr:clientData/>
  </xdr:twoCellAnchor>
  <xdr:twoCellAnchor>
    <xdr:from>
      <xdr:col>12</xdr:col>
      <xdr:colOff>0</xdr:colOff>
      <xdr:row>44</xdr:row>
      <xdr:rowOff>0</xdr:rowOff>
    </xdr:from>
    <xdr:to>
      <xdr:col>17</xdr:col>
      <xdr:colOff>609600</xdr:colOff>
      <xdr:row>56</xdr:row>
      <xdr:rowOff>0</xdr:rowOff>
    </xdr:to>
    <xdr:graphicFrame macro="">
      <xdr:nvGraphicFramePr>
        <xdr:cNvPr id="9" name="Chart 8">
          <a:extLst>
            <a:ext uri="{FF2B5EF4-FFF2-40B4-BE49-F238E27FC236}">
              <a16:creationId xmlns:a16="http://schemas.microsoft.com/office/drawing/2014/main" id="{92690517-D049-4B7C-841B-CE73D1456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57</xdr:row>
      <xdr:rowOff>0</xdr:rowOff>
    </xdr:from>
    <xdr:to>
      <xdr:col>17</xdr:col>
      <xdr:colOff>609600</xdr:colOff>
      <xdr:row>69</xdr:row>
      <xdr:rowOff>0</xdr:rowOff>
    </xdr:to>
    <xdr:graphicFrame macro="">
      <xdr:nvGraphicFramePr>
        <xdr:cNvPr id="10" name="Chart 9">
          <a:extLst>
            <a:ext uri="{FF2B5EF4-FFF2-40B4-BE49-F238E27FC236}">
              <a16:creationId xmlns:a16="http://schemas.microsoft.com/office/drawing/2014/main" id="{E4B1439C-AC43-4777-A332-7A4ECED8B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504825</xdr:colOff>
      <xdr:row>104</xdr:row>
      <xdr:rowOff>9525</xdr:rowOff>
    </xdr:from>
    <xdr:to>
      <xdr:col>3</xdr:col>
      <xdr:colOff>285497</xdr:colOff>
      <xdr:row>111</xdr:row>
      <xdr:rowOff>137160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626718BC-6A6C-775A-421D-4272F123D3F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533775" y="24774525"/>
              <a:ext cx="1828800" cy="16478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9525</xdr:colOff>
      <xdr:row>101</xdr:row>
      <xdr:rowOff>200025</xdr:rowOff>
    </xdr:from>
    <xdr:to>
      <xdr:col>9</xdr:col>
      <xdr:colOff>800100</xdr:colOff>
      <xdr:row>113</xdr:row>
      <xdr:rowOff>85725</xdr:rowOff>
    </xdr:to>
    <xdr:graphicFrame macro="">
      <xdr:nvGraphicFramePr>
        <xdr:cNvPr id="3" name="Chart 2">
          <a:extLst>
            <a:ext uri="{FF2B5EF4-FFF2-40B4-BE49-F238E27FC236}">
              <a16:creationId xmlns:a16="http://schemas.microsoft.com/office/drawing/2014/main" id="{D960C0DF-6C07-FD48-5644-338C432F404C}"/>
            </a:ext>
            <a:ext uri="{147F2762-F138-4A5C-976F-8EAC2B608ADB}">
              <a16:predDERef xmlns:a16="http://schemas.microsoft.com/office/drawing/2014/main" pred="{626718BC-6A6C-775A-421D-4272F123D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1100666</xdr:colOff>
      <xdr:row>132</xdr:row>
      <xdr:rowOff>215900</xdr:rowOff>
    </xdr:from>
    <xdr:to>
      <xdr:col>6</xdr:col>
      <xdr:colOff>829732</xdr:colOff>
      <xdr:row>148</xdr:row>
      <xdr:rowOff>160866</xdr:rowOff>
    </xdr:to>
    <xdr:graphicFrame macro="">
      <xdr:nvGraphicFramePr>
        <xdr:cNvPr id="4" name="Chart 3">
          <a:extLst>
            <a:ext uri="{FF2B5EF4-FFF2-40B4-BE49-F238E27FC236}">
              <a16:creationId xmlns:a16="http://schemas.microsoft.com/office/drawing/2014/main" id="{67F95EE9-D80A-1915-A8DC-38FB76AC0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280246</xdr:colOff>
      <xdr:row>145</xdr:row>
      <xdr:rowOff>166794</xdr:rowOff>
    </xdr:from>
    <xdr:to>
      <xdr:col>10</xdr:col>
      <xdr:colOff>48727</xdr:colOff>
      <xdr:row>155</xdr:row>
      <xdr:rowOff>16934</xdr:rowOff>
    </xdr:to>
    <mc:AlternateContent xmlns:mc="http://schemas.openxmlformats.org/markup-compatibility/2006" xmlns:a14="http://schemas.microsoft.com/office/drawing/2010/main">
      <mc:Choice Requires="a14">
        <xdr:graphicFrame macro="">
          <xdr:nvGraphicFramePr>
            <xdr:cNvPr id="5" name="Representative 1">
              <a:extLst>
                <a:ext uri="{FF2B5EF4-FFF2-40B4-BE49-F238E27FC236}">
                  <a16:creationId xmlns:a16="http://schemas.microsoft.com/office/drawing/2014/main" id="{6B551326-926D-403E-5717-60509D9A5336}"/>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042313" y="33313794"/>
              <a:ext cx="1828800" cy="2136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1092200</xdr:colOff>
      <xdr:row>152</xdr:row>
      <xdr:rowOff>4234</xdr:rowOff>
    </xdr:from>
    <xdr:to>
      <xdr:col>6</xdr:col>
      <xdr:colOff>829733</xdr:colOff>
      <xdr:row>165</xdr:row>
      <xdr:rowOff>152400</xdr:rowOff>
    </xdr:to>
    <xdr:graphicFrame macro="">
      <xdr:nvGraphicFramePr>
        <xdr:cNvPr id="8" name="Chart 7">
          <a:extLst>
            <a:ext uri="{FF2B5EF4-FFF2-40B4-BE49-F238E27FC236}">
              <a16:creationId xmlns:a16="http://schemas.microsoft.com/office/drawing/2014/main" id="{6BC6E19D-C1DF-8A36-3582-45EC6619D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1083127</xdr:colOff>
      <xdr:row>186</xdr:row>
      <xdr:rowOff>21771</xdr:rowOff>
    </xdr:from>
    <xdr:to>
      <xdr:col>6</xdr:col>
      <xdr:colOff>772884</xdr:colOff>
      <xdr:row>198</xdr:row>
      <xdr:rowOff>163285</xdr:rowOff>
    </xdr:to>
    <xdr:graphicFrame macro="">
      <xdr:nvGraphicFramePr>
        <xdr:cNvPr id="6" name="Chart 5">
          <a:extLst>
            <a:ext uri="{FF2B5EF4-FFF2-40B4-BE49-F238E27FC236}">
              <a16:creationId xmlns:a16="http://schemas.microsoft.com/office/drawing/2014/main" id="{11262EC4-67E5-B40D-8BAF-03335897F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0</xdr:colOff>
      <xdr:row>204</xdr:row>
      <xdr:rowOff>10886</xdr:rowOff>
    </xdr:from>
    <xdr:to>
      <xdr:col>3</xdr:col>
      <xdr:colOff>1825829</xdr:colOff>
      <xdr:row>213</xdr:row>
      <xdr:rowOff>141515</xdr:rowOff>
    </xdr:to>
    <mc:AlternateContent xmlns:mc="http://schemas.openxmlformats.org/markup-compatibility/2006" xmlns:a14="http://schemas.microsoft.com/office/drawing/2010/main">
      <mc:Choice Requires="a14">
        <xdr:graphicFrame macro="">
          <xdr:nvGraphicFramePr>
            <xdr:cNvPr id="7" name="Representative 2">
              <a:extLst>
                <a:ext uri="{FF2B5EF4-FFF2-40B4-BE49-F238E27FC236}">
                  <a16:creationId xmlns:a16="http://schemas.microsoft.com/office/drawing/2014/main" id="{E8B37D83-A69E-64A5-812A-3AF3980C8565}"/>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3590925" y="46645286"/>
              <a:ext cx="1825829" cy="218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21771</xdr:colOff>
      <xdr:row>206</xdr:row>
      <xdr:rowOff>152400</xdr:rowOff>
    </xdr:from>
    <xdr:to>
      <xdr:col>14</xdr:col>
      <xdr:colOff>631371</xdr:colOff>
      <xdr:row>219</xdr:row>
      <xdr:rowOff>206828</xdr:rowOff>
    </xdr:to>
    <xdr:sp macro="" textlink="">
      <xdr:nvSpPr>
        <xdr:cNvPr id="9" name="TextBox 8">
          <a:extLst>
            <a:ext uri="{FF2B5EF4-FFF2-40B4-BE49-F238E27FC236}">
              <a16:creationId xmlns:a16="http://schemas.microsoft.com/office/drawing/2014/main" id="{726E0033-CCAA-C83E-CED0-EB2944DAB971}"/>
            </a:ext>
          </a:extLst>
        </xdr:cNvPr>
        <xdr:cNvSpPr txBox="1"/>
      </xdr:nvSpPr>
      <xdr:spPr>
        <a:xfrm>
          <a:off x="8556171" y="47244000"/>
          <a:ext cx="3788229" cy="3026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Slicer Report Connections</a:t>
          </a:r>
        </a:p>
        <a:p>
          <a:r>
            <a:rPr lang="en-IN"/>
            <a:t>When a PivotTable is copied, the new PivotTable may remain connected to the same </a:t>
          </a:r>
          <a:r>
            <a:rPr lang="en-IN" b="1"/>
            <a:t>PivotCache</a:t>
          </a:r>
          <a:r>
            <a:rPr lang="en-IN"/>
            <a:t>, and a slicer can therefore affect both PivotTables.</a:t>
          </a:r>
        </a:p>
        <a:p>
          <a:r>
            <a:rPr lang="en-IN"/>
            <a:t>To control which PivotTables a slicer affects:</a:t>
          </a:r>
        </a:p>
        <a:p>
          <a:r>
            <a:rPr lang="en-IN" b="1"/>
            <a:t>Right-click the slicer → Report Connections → select/unselect the required PivotTables.</a:t>
          </a:r>
          <a:endParaRPr lang="en-IN"/>
        </a:p>
        <a:p>
          <a:r>
            <a:rPr lang="en-IN"/>
            <a:t>For example:</a:t>
          </a:r>
        </a:p>
        <a:p>
          <a:pPr rtl="0"/>
          <a:r>
            <a:rPr lang="en-IN" sz="1100">
              <a:solidFill>
                <a:schemeClr val="dk1"/>
              </a:solidFill>
              <a:latin typeface="+mn-lt"/>
              <a:ea typeface="+mn-ea"/>
              <a:cs typeface="+mn-cs"/>
            </a:rPr>
            <a:t>Representative Slicer</a:t>
          </a:r>
        </a:p>
        <a:p>
          <a:pPr rtl="0"/>
          <a:r>
            <a:rPr lang="en-IN" sz="1100">
              <a:solidFill>
                <a:schemeClr val="dk1"/>
              </a:solidFill>
              <a:latin typeface="+mn-lt"/>
              <a:ea typeface="+mn-ea"/>
              <a:cs typeface="+mn-cs"/>
            </a:rPr>
            <a:t>        │</a:t>
          </a:r>
        </a:p>
        <a:p>
          <a:pPr rtl="0"/>
          <a:r>
            <a:rPr lang="en-IN" sz="1100">
              <a:solidFill>
                <a:schemeClr val="dk1"/>
              </a:solidFill>
              <a:latin typeface="+mn-lt"/>
              <a:ea typeface="+mn-ea"/>
              <a:cs typeface="+mn-cs"/>
            </a:rPr>
            <a:t>        ├── PivotTable 1 ✅</a:t>
          </a:r>
        </a:p>
        <a:p>
          <a:pPr rtl="0"/>
          <a:r>
            <a:rPr lang="en-IN" sz="1100">
              <a:solidFill>
                <a:schemeClr val="dk1"/>
              </a:solidFill>
              <a:latin typeface="+mn-lt"/>
              <a:ea typeface="+mn-ea"/>
              <a:cs typeface="+mn-cs"/>
            </a:rPr>
            <a:t>        └── PivotTable 2 ❌</a:t>
          </a:r>
        </a:p>
        <a:p>
          <a:r>
            <a:rPr lang="en-IN"/>
            <a:t>This allows the slicer to filter </a:t>
          </a:r>
          <a:r>
            <a:rPr lang="en-IN" b="1"/>
            <a:t>PivotTable 1</a:t>
          </a:r>
          <a:r>
            <a:rPr lang="en-IN"/>
            <a:t> while leaving </a:t>
          </a:r>
          <a:r>
            <a:rPr lang="en-IN" b="1"/>
            <a:t>PivotTable 2</a:t>
          </a:r>
          <a:r>
            <a:rPr lang="en-IN"/>
            <a:t> unaffected.</a:t>
          </a:r>
        </a:p>
        <a:p>
          <a:r>
            <a:rPr lang="en-IN" b="1"/>
            <a:t>Key point:</a:t>
          </a:r>
          <a:r>
            <a:rPr lang="en-IN"/>
            <a:t> A slicer does not automatically have to control every PivotTable that shares its PivotCache. </a:t>
          </a:r>
          <a:r>
            <a:rPr lang="en-IN" b="1"/>
            <a:t>Report Connections</a:t>
          </a:r>
          <a:r>
            <a:rPr lang="en-IN"/>
            <a:t> lets you choose which PivotTables the slicer controls.</a:t>
          </a:r>
        </a:p>
        <a:p>
          <a:endParaRPr lang="en-IN" sz="1100"/>
        </a:p>
      </xdr:txBody>
    </xdr:sp>
    <xdr:clientData/>
  </xdr:twoCellAnchor>
  <xdr:twoCellAnchor>
    <xdr:from>
      <xdr:col>10</xdr:col>
      <xdr:colOff>13013</xdr:colOff>
      <xdr:row>230</xdr:row>
      <xdr:rowOff>45919</xdr:rowOff>
    </xdr:from>
    <xdr:to>
      <xdr:col>14</xdr:col>
      <xdr:colOff>616232</xdr:colOff>
      <xdr:row>243</xdr:row>
      <xdr:rowOff>140136</xdr:rowOff>
    </xdr:to>
    <xdr:sp macro="" textlink="">
      <xdr:nvSpPr>
        <xdr:cNvPr id="10" name="TextBox 9">
          <a:extLst>
            <a:ext uri="{FF2B5EF4-FFF2-40B4-BE49-F238E27FC236}">
              <a16:creationId xmlns:a16="http://schemas.microsoft.com/office/drawing/2014/main" id="{BE278DCA-C892-4EA7-B0C5-66DF0727FA84}"/>
            </a:ext>
          </a:extLst>
        </xdr:cNvPr>
        <xdr:cNvSpPr txBox="1"/>
      </xdr:nvSpPr>
      <xdr:spPr>
        <a:xfrm>
          <a:off x="9340944" y="52422471"/>
          <a:ext cx="3756322" cy="3054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0"/>
            <a:t>Row total = each representative's work composition across days.</a:t>
          </a:r>
        </a:p>
        <a:p>
          <a:endParaRPr lang="en-IN" b="0"/>
        </a:p>
        <a:p>
          <a:r>
            <a:rPr lang="en-IN" b="1"/>
            <a:t>"How does R01's work pattern differ from R02's?"</a:t>
          </a:r>
          <a:endParaRPr lang="en-IN"/>
        </a:p>
        <a:p>
          <a:r>
            <a:rPr lang="en-IN"/>
            <a:t>Maybe R01 handles a larger share of their work on Sunday, while R02 handles more on Tuesday.</a:t>
          </a:r>
        </a:p>
        <a:p>
          <a:r>
            <a:rPr lang="en-IN"/>
            <a:t>So this is useful for </a:t>
          </a:r>
          <a:r>
            <a:rPr lang="en-IN" b="1"/>
            <a:t>comparing representatives' working patterns</a:t>
          </a:r>
          <a:r>
            <a:rPr lang="en-IN"/>
            <a:t>.</a:t>
          </a:r>
          <a:endParaRPr lang="en-IN" b="0"/>
        </a:p>
        <a:p>
          <a:br>
            <a:rPr lang="en-IN" b="0"/>
          </a:br>
          <a:r>
            <a:rPr lang="en-IN" b="0"/>
            <a:t>Column total = each day's work composition across representatives.</a:t>
          </a:r>
        </a:p>
        <a:p>
          <a:endParaRPr lang="en-IN" sz="1100" b="0"/>
        </a:p>
        <a:p>
          <a:r>
            <a:rPr lang="en-IN" b="1"/>
            <a:t>"Who is responsible for most of the calls on Sunday?"</a:t>
          </a:r>
          <a:endParaRPr lang="en-IN"/>
        </a:p>
        <a:p>
          <a:r>
            <a:rPr lang="en-IN"/>
            <a:t>or</a:t>
          </a:r>
        </a:p>
        <a:p>
          <a:r>
            <a:rPr lang="en-IN" b="1"/>
            <a:t>"Which representatives contribute most to Tuesday's workload?"</a:t>
          </a:r>
          <a:endParaRPr lang="en-IN"/>
        </a:p>
        <a:p>
          <a:r>
            <a:rPr lang="en-IN"/>
            <a:t>So this is useful for </a:t>
          </a:r>
          <a:r>
            <a:rPr lang="en-IN" b="1"/>
            <a:t>comparing representatives' contribution to each day's workload</a:t>
          </a:r>
          <a:r>
            <a:rPr lang="en-IN"/>
            <a:t>.</a:t>
          </a:r>
        </a:p>
        <a:p>
          <a:endParaRPr lang="en-IN" sz="1100" b="0"/>
        </a:p>
      </xdr:txBody>
    </xdr:sp>
    <xdr:clientData/>
  </xdr:twoCellAnchor>
  <xdr:twoCellAnchor>
    <xdr:from>
      <xdr:col>9</xdr:col>
      <xdr:colOff>19049</xdr:colOff>
      <xdr:row>257</xdr:row>
      <xdr:rowOff>171450</xdr:rowOff>
    </xdr:from>
    <xdr:to>
      <xdr:col>20</xdr:col>
      <xdr:colOff>22087</xdr:colOff>
      <xdr:row>270</xdr:row>
      <xdr:rowOff>121478</xdr:rowOff>
    </xdr:to>
    <xdr:graphicFrame macro="">
      <xdr:nvGraphicFramePr>
        <xdr:cNvPr id="11" name="Chart 10">
          <a:extLst>
            <a:ext uri="{FF2B5EF4-FFF2-40B4-BE49-F238E27FC236}">
              <a16:creationId xmlns:a16="http://schemas.microsoft.com/office/drawing/2014/main" id="{08E3E4EA-6A7D-4F7F-8A4C-AF75CA49B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255566</xdr:colOff>
      <xdr:row>257</xdr:row>
      <xdr:rowOff>163158</xdr:rowOff>
    </xdr:from>
    <xdr:to>
      <xdr:col>35</xdr:col>
      <xdr:colOff>242956</xdr:colOff>
      <xdr:row>270</xdr:row>
      <xdr:rowOff>154608</xdr:rowOff>
    </xdr:to>
    <xdr:graphicFrame macro="">
      <xdr:nvGraphicFramePr>
        <xdr:cNvPr id="12" name="Chart 11">
          <a:extLst>
            <a:ext uri="{FF2B5EF4-FFF2-40B4-BE49-F238E27FC236}">
              <a16:creationId xmlns:a16="http://schemas.microsoft.com/office/drawing/2014/main" id="{773DB7BE-44B3-43A8-BB68-8A8ACEA43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614363</xdr:colOff>
      <xdr:row>314</xdr:row>
      <xdr:rowOff>85725</xdr:rowOff>
    </xdr:from>
    <xdr:to>
      <xdr:col>9</xdr:col>
      <xdr:colOff>19050</xdr:colOff>
      <xdr:row>328</xdr:row>
      <xdr:rowOff>47625</xdr:rowOff>
    </xdr:to>
    <xdr:graphicFrame macro="">
      <xdr:nvGraphicFramePr>
        <xdr:cNvPr id="14" name="Chart 13">
          <a:extLst>
            <a:ext uri="{FF2B5EF4-FFF2-40B4-BE49-F238E27FC236}">
              <a16:creationId xmlns:a16="http://schemas.microsoft.com/office/drawing/2014/main" id="{75477FC0-0A38-BED7-C808-0B3A6F24B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wat Seth" refreshedDate="46252.892572222219" createdVersion="8" refreshedVersion="8" minRefreshableVersion="3" recordCount="1000" xr:uid="{E656686D-44B4-4F81-8E75-A0FDF07458F7}">
  <cacheSource type="worksheet">
    <worksheetSource name="Call_Centre_Data"/>
  </cacheSource>
  <cacheFields count="15">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0">
      <sharedItems count="5">
        <s v="R05"/>
        <s v="R02"/>
        <s v="R01"/>
        <s v="R04"/>
        <s v="R03"/>
      </sharedItems>
    </cacheField>
    <cacheField name="Date of Call" numFmtId="15">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2 Hours"/>
        <s v="More than 2 Hours"/>
        <s v="30-60 Mins"/>
        <s v="10-30 Mins"/>
        <s v="Under 10 Mins"/>
      </sharedItems>
    </cacheField>
    <cacheField name="Rounded Rating" numFmtId="0">
      <sharedItems containsSemiMixedTypes="0" containsString="0" containsNumber="1" containsInteger="1" minValue="0" maxValue="5" count="6">
        <n v="5"/>
        <n v="3"/>
        <n v="4"/>
        <n v="2"/>
        <n v="0"/>
        <n v="1"/>
      </sharedItems>
    </cacheField>
    <cacheField name="Duration2" numFmtId="0" databaseField="0">
      <fieldGroup base="2">
        <discretePr count="164">
          <x v="5"/>
          <x v="5"/>
          <x v="3"/>
          <x v="6"/>
          <x v="2"/>
          <x v="4"/>
          <x v="5"/>
          <x v="1"/>
          <x v="2"/>
          <x v="5"/>
          <x v="6"/>
          <x v="4"/>
          <x v="6"/>
          <x v="2"/>
          <x v="8"/>
          <x v="4"/>
          <x v="1"/>
          <x v="2"/>
          <x v="1"/>
          <x v="3"/>
          <x v="2"/>
          <x v="3"/>
          <x v="4"/>
          <x v="7"/>
          <x v="3"/>
          <x v="4"/>
          <x v="1"/>
          <x v="7"/>
          <x v="5"/>
          <x v="3"/>
          <x v="4"/>
          <x v="4"/>
          <x v="5"/>
          <x v="3"/>
          <x v="4"/>
          <x v="6"/>
          <x v="0"/>
          <x v="6"/>
          <x v="5"/>
          <x v="1"/>
          <x v="7"/>
          <x v="4"/>
          <x v="3"/>
          <x v="7"/>
          <x v="2"/>
          <x v="4"/>
          <x v="5"/>
          <x v="3"/>
          <x v="4"/>
          <x v="6"/>
          <x v="5"/>
          <x v="3"/>
          <x v="7"/>
          <x v="3"/>
          <x v="2"/>
          <x v="6"/>
          <x v="7"/>
          <x v="8"/>
          <x v="5"/>
          <x v="5"/>
          <x v="2"/>
          <x v="7"/>
          <x v="2"/>
          <x v="3"/>
          <x v="2"/>
          <x v="6"/>
          <x v="5"/>
          <x v="3"/>
          <x v="2"/>
          <x v="4"/>
          <x v="7"/>
          <x v="2"/>
          <x v="7"/>
          <x v="2"/>
          <x v="4"/>
          <x v="5"/>
          <x v="6"/>
          <x v="3"/>
          <x v="1"/>
          <x v="0"/>
          <x v="1"/>
          <x v="1"/>
          <x v="2"/>
          <x v="3"/>
          <x v="3"/>
          <x v="7"/>
          <x v="5"/>
          <x v="6"/>
          <x v="7"/>
          <x v="7"/>
          <x v="3"/>
          <x v="0"/>
          <x v="6"/>
          <x v="2"/>
          <x v="8"/>
          <x v="3"/>
          <x v="4"/>
          <x v="5"/>
          <x v="1"/>
          <x v="5"/>
          <x v="0"/>
          <x v="1"/>
          <x v="4"/>
          <x v="2"/>
          <x v="6"/>
          <x v="0"/>
          <x v="4"/>
          <x v="4"/>
          <x v="2"/>
          <x v="2"/>
          <x v="6"/>
          <x v="7"/>
          <x v="7"/>
          <x v="3"/>
          <x v="6"/>
          <x v="6"/>
          <x v="6"/>
          <x v="4"/>
          <x v="6"/>
          <x v="7"/>
          <x v="3"/>
          <x v="1"/>
          <x v="6"/>
          <x v="1"/>
          <x v="7"/>
          <x v="1"/>
          <x v="0"/>
          <x v="7"/>
          <x v="1"/>
          <x v="4"/>
          <x v="5"/>
          <x v="3"/>
          <x v="0"/>
          <x v="8"/>
          <x v="5"/>
          <x v="1"/>
          <x v="8"/>
          <x v="1"/>
          <x v="0"/>
          <x v="7"/>
          <x v="0"/>
          <x v="5"/>
          <x v="1"/>
          <x v="2"/>
          <x v="1"/>
          <x v="2"/>
          <x v="5"/>
          <x v="1"/>
          <x v="7"/>
          <x v="7"/>
          <x v="6"/>
          <x v="6"/>
          <x v="8"/>
          <x v="8"/>
          <x v="0"/>
          <x v="8"/>
          <x v="4"/>
          <x v="0"/>
          <x v="0"/>
          <x v="0"/>
          <x v="8"/>
          <x v="8"/>
          <x v="0"/>
          <x v="0"/>
        </discretePr>
        <groupItems count="9">
          <s v="Group1"/>
          <s v="Group2"/>
          <s v="Group3"/>
          <s v="Group4"/>
          <s v="Group5"/>
          <s v="Group6"/>
          <s v="Group7"/>
          <s v="Group8"/>
          <s v="Group9"/>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 name="Purchase per Minute" numFmtId="0" formula="'Purchase Amount' /Duration" databaseField="0"/>
  </cacheFields>
  <extLst>
    <ext xmlns:x14="http://schemas.microsoft.com/office/spreadsheetml/2009/9/main" uri="{725AE2AE-9491-48be-B2B4-4EB974FC3084}">
      <x14:pivotCacheDefinition pivotCacheId="1636204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F9290-DD5D-4CB4-ABAB-AEEA354C1A09}"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4:D310" firstHeaderRow="0" firstDataRow="1" firstDataCol="1"/>
  <pivotFields count="15">
    <pivotField showAll="0"/>
    <pivotField axis="axisRow" showAll="0" sortType="a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2"/>
            </reference>
          </references>
        </pivotArea>
      </autoSortScope>
    </pivotField>
    <pivotField dataField="1"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items count="6">
        <item x="3"/>
        <item x="0"/>
        <item x="2"/>
        <item x="1"/>
        <item x="4"/>
        <item t="default"/>
      </items>
    </pivotField>
    <pivotField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1"/>
  </rowFields>
  <rowItems count="16">
    <i>
      <x v="9"/>
    </i>
    <i>
      <x v="13"/>
    </i>
    <i>
      <x v="7"/>
    </i>
    <i>
      <x v="2"/>
    </i>
    <i>
      <x v="1"/>
    </i>
    <i>
      <x v="3"/>
    </i>
    <i>
      <x v="11"/>
    </i>
    <i>
      <x v="5"/>
    </i>
    <i>
      <x v="10"/>
    </i>
    <i>
      <x v="8"/>
    </i>
    <i>
      <x/>
    </i>
    <i>
      <x v="4"/>
    </i>
    <i>
      <x v="12"/>
    </i>
    <i>
      <x v="6"/>
    </i>
    <i>
      <x v="14"/>
    </i>
    <i t="grand">
      <x/>
    </i>
  </rowItems>
  <colFields count="1">
    <field x="-2"/>
  </colFields>
  <colItems count="3">
    <i>
      <x/>
    </i>
    <i i="1">
      <x v="1"/>
    </i>
    <i i="2">
      <x v="2"/>
    </i>
  </colItems>
  <dataFields count="3">
    <dataField name="Sum of Duration" fld="2" baseField="0" baseItem="0"/>
    <dataField name="Sum of Purchase Amount" fld="5" baseField="0" baseItem="0"/>
    <dataField name="Sum of Purchase per Minute" fld="14" baseField="0" baseItem="0" numFmtId="2"/>
  </dataFields>
  <formats count="2">
    <format dxfId="10">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6A914-FAE9-4073-BE4E-E34478E7B904}" name="PivotTable1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3:N290" firstHeaderRow="1" firstDataRow="2"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9">
        <item x="0"/>
        <item x="1"/>
        <item x="2"/>
        <item x="3"/>
        <item x="4"/>
        <item x="5"/>
        <item x="6"/>
        <item x="7"/>
        <item x="8"/>
      </items>
    </pivotField>
    <pivotField showAll="0" defaultSubtotal="0"/>
    <pivotField axis="axisCol"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FFF4C7-95B6-461A-BCE8-EBCC7AEF5663}"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3:G75" firstHeaderRow="1" firstDataRow="2" firstDataCol="1"/>
  <pivotFields count="15">
    <pivotField compact="0" outline="0" showAll="0"/>
    <pivotField axis="axisRow" compact="0" outline="0" showAll="0" measureFilter="1">
      <items count="16">
        <item x="13"/>
        <item x="8"/>
        <item x="0"/>
        <item x="1"/>
        <item x="2"/>
        <item x="10"/>
        <item x="5"/>
        <item x="14"/>
        <item x="9"/>
        <item x="6"/>
        <item x="4"/>
        <item x="12"/>
        <item x="7"/>
        <item x="3"/>
        <item x="11"/>
        <item t="default"/>
      </items>
    </pivotField>
    <pivotField dataField="1"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Col" compact="0" outline="0" showAll="0">
      <items count="6">
        <item x="2"/>
        <item x="1"/>
        <item x="4"/>
        <item x="3"/>
        <item x="0"/>
        <item t="default"/>
      </items>
    </pivotField>
    <pivotField compact="0" numFmtId="15"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
  </rowFields>
  <rowItems count="11">
    <i>
      <x/>
    </i>
    <i>
      <x v="3"/>
    </i>
    <i>
      <x v="4"/>
    </i>
    <i>
      <x v="6"/>
    </i>
    <i>
      <x v="8"/>
    </i>
    <i>
      <x v="9"/>
    </i>
    <i>
      <x v="10"/>
    </i>
    <i>
      <x v="11"/>
    </i>
    <i>
      <x v="12"/>
    </i>
    <i>
      <x v="13"/>
    </i>
    <i t="grand">
      <x/>
    </i>
  </rowItems>
  <colFields count="1">
    <field x="3"/>
  </colFields>
  <colItems count="6">
    <i>
      <x/>
    </i>
    <i>
      <x v="1"/>
    </i>
    <i>
      <x v="2"/>
    </i>
    <i>
      <x v="3"/>
    </i>
    <i>
      <x v="4"/>
    </i>
    <i t="grand">
      <x/>
    </i>
  </colItems>
  <dataFields count="1">
    <dataField name="Sum of Duration" fld="2"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A720D7-BABB-4923-8D72-8B08418BBBF7}" name="PivotTable1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9:I236" firstHeaderRow="1" firstDataRow="2"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baseField="0" baseItem="0" numFmtId="10">
      <extLst>
        <ext xmlns:x14="http://schemas.microsoft.com/office/spreadsheetml/2009/9/main" uri="{E15A36E0-9728-4e99-A89B-3F7291B0FE68}">
          <x14:dataField pivotShowAs="percentOfParentRow"/>
        </ext>
      </extLst>
    </dataField>
  </dataFields>
  <conditionalFormats count="1">
    <conditionalFormat scope="field" priority="5">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B926D2-CA5E-4D1C-AD5D-845E11F67B6D}"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87:B202" firstHeaderRow="1" firstDataRow="1" firstDataCol="1"/>
  <pivotFields count="15">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items count="10">
        <item x="0"/>
        <item x="1"/>
        <item x="2"/>
        <item x="3"/>
        <item x="4"/>
        <item x="5"/>
        <item x="6"/>
        <item x="7"/>
        <item x="8"/>
        <item t="default"/>
      </items>
    </pivotField>
    <pivotField showAll="0">
      <items count="369">
        <item sd="0" x="0"/>
        <item x="1"/>
        <item x="2"/>
        <item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3">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B0518B-55C4-43ED-ACA1-FB64529DF4BD}"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1:H268" firstHeaderRow="1" firstDataRow="2"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baseField="0" baseItem="0"/>
  </dataFields>
  <conditionalFormats count="1">
    <conditionalFormat scope="field" priority="3">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8DDF44-CE4E-428A-AD33-548515EAF5BB}" name="PivotTable6" cacheId="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1:B131" firstHeaderRow="1" firstDataRow="1" firstDataCol="1"/>
  <pivotFields count="15">
    <pivotField compact="0" outline="0" showAll="0"/>
    <pivotField compact="0" outline="0" showAll="0"/>
    <pivotField dataField="1"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compact="0" outline="0" showAll="0"/>
    <pivotField compact="0" numFmtId="15"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0"/>
        <item x="1"/>
        <item x="2"/>
        <item x="3"/>
        <item x="4"/>
        <item x="5"/>
        <item x="6"/>
        <item x="7"/>
        <item x="8"/>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1"/>
  </rowFields>
  <rowItems count="10">
    <i>
      <x/>
    </i>
    <i>
      <x v="1"/>
    </i>
    <i>
      <x v="2"/>
    </i>
    <i>
      <x v="3"/>
    </i>
    <i>
      <x v="4"/>
    </i>
    <i>
      <x v="5"/>
    </i>
    <i>
      <x v="6"/>
    </i>
    <i>
      <x v="7"/>
    </i>
    <i>
      <x v="8"/>
    </i>
    <i t="grand">
      <x/>
    </i>
  </rowItems>
  <colItems count="1">
    <i/>
  </colItems>
  <dataFields count="1">
    <dataField name="Sum of Duratio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669BA1-A2CB-49AB-BD36-9D26B53375E8}"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6:B149" firstHeaderRow="1" firstDataRow="1"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10">
        <item x="0"/>
        <item x="1"/>
        <item x="2"/>
        <item x="3"/>
        <item x="4"/>
        <item x="5"/>
        <item x="6"/>
        <item x="7"/>
        <item x="8"/>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B42087-7EEF-483F-B47F-F0C50B9E1D25}" name="PivotTable5" cacheId="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81:B97" firstHeaderRow="1" firstDataRow="1" firstDataCol="1" rowPageCount="1" colPageCount="1"/>
  <pivotFields count="15">
    <pivotField compact="0" outline="0" showAll="0"/>
    <pivotField axis="axisRow" compact="0" outline="0"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Page" compact="0" outline="0" showAll="0">
      <items count="6">
        <item x="2"/>
        <item x="1"/>
        <item x="4"/>
        <item x="3"/>
        <item x="0"/>
        <item t="default"/>
      </items>
    </pivotField>
    <pivotField compact="0" numFmtId="15"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
  </rowFields>
  <rowItems count="16">
    <i>
      <x v="10"/>
    </i>
    <i>
      <x v="11"/>
    </i>
    <i>
      <x v="2"/>
    </i>
    <i>
      <x v="8"/>
    </i>
    <i>
      <x v="3"/>
    </i>
    <i>
      <x v="14"/>
    </i>
    <i>
      <x v="4"/>
    </i>
    <i>
      <x v="6"/>
    </i>
    <i>
      <x/>
    </i>
    <i>
      <x v="5"/>
    </i>
    <i>
      <x v="9"/>
    </i>
    <i>
      <x v="13"/>
    </i>
    <i>
      <x v="1"/>
    </i>
    <i>
      <x v="7"/>
    </i>
    <i>
      <x v="12"/>
    </i>
    <i t="grand">
      <x/>
    </i>
  </rowItems>
  <colItems count="1">
    <i/>
  </colItems>
  <pageFields count="1">
    <pageField fld="3" hier="-1"/>
  </pageFields>
  <dataFields count="1">
    <dataField name="Sum of Purchase Amount" fld="5" baseField="0" baseItem="0" numFmtId="166"/>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C17585-D9EB-4720-85C0-037BE95BBC1F}"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9" firstHeaderRow="1" firstDataRow="1" firstDataCol="1"/>
  <pivotFields count="15">
    <pivotField compact="0" outline="0" showAll="0"/>
    <pivotField axis="axisRow" dataField="1" compact="0" outline="0" showAll="0">
      <items count="16">
        <item x="13"/>
        <item x="8"/>
        <item x="0"/>
        <item x="1"/>
        <item x="2"/>
        <item x="10"/>
        <item x="5"/>
        <item x="14"/>
        <item x="9"/>
        <item x="6"/>
        <item x="4"/>
        <item x="12"/>
        <item x="7"/>
        <item x="3"/>
        <item x="11"/>
        <item t="default"/>
      </items>
    </pivotField>
    <pivotField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compact="0" outline="0" showAll="0"/>
    <pivotField compact="0" numFmtId="15"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1BF63A-17C1-4904-8B71-B24A755CED72}"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2:H279" firstHeaderRow="1" firstDataRow="2"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Col" baseField="0" baseItem="0" numFmtId="10"/>
  </dataFields>
  <conditionalFormats count="1">
    <conditionalFormat scope="field" priority="2">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D719D0-E970-4584-9E17-D2AA6EA4A98B}"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3:C39" firstHeaderRow="0" firstDataRow="1" firstDataCol="1"/>
  <pivotFields count="15">
    <pivotField compact="0" outline="0" showAll="0"/>
    <pivotField axis="axisRow" dataField="1" compact="0" outline="0" showAll="0">
      <items count="16">
        <item x="13"/>
        <item x="8"/>
        <item x="0"/>
        <item x="1"/>
        <item x="2"/>
        <item x="10"/>
        <item x="5"/>
        <item x="14"/>
        <item x="9"/>
        <item x="6"/>
        <item x="4"/>
        <item x="12"/>
        <item x="7"/>
        <item x="3"/>
        <item x="11"/>
        <item t="default"/>
      </items>
    </pivotField>
    <pivotField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compact="0" outline="0" showAll="0"/>
    <pivotField compact="0" numFmtId="15"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ustomer ID" fld="1" subtotal="count" baseField="0" baseItem="0" numFmtId="1"/>
    <dataField name="Average of Satisfaction Rating" fld="6" subtotal="average" baseField="0" baseItem="0"/>
  </dataFields>
  <formats count="2">
    <format dxfId="17">
      <pivotArea outline="0" fieldPosition="0">
        <references count="1">
          <reference field="1" count="0" selected="0"/>
        </references>
      </pivotArea>
    </format>
    <format dxfId="16">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F67929-D89C-492E-96C9-5D6E4EF7308F}"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6:B214" firstHeaderRow="1" firstDataRow="1"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items count="8">
        <item x="0"/>
        <item x="1"/>
        <item x="2"/>
        <item x="3"/>
        <item x="4"/>
        <item x="5"/>
        <item x="6"/>
        <item t="default"/>
      </items>
    </pivotField>
    <pivotField showAll="0"/>
    <pivotField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8">
    <i>
      <x/>
    </i>
    <i>
      <x v="1"/>
    </i>
    <i>
      <x v="2"/>
    </i>
    <i>
      <x v="3"/>
    </i>
    <i>
      <x v="4"/>
    </i>
    <i>
      <x v="5"/>
    </i>
    <i>
      <x v="6"/>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CADC55-F20E-4061-97FE-CD33F3882215}"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53:B166" firstHeaderRow="1" firstDataRow="1" firstDataCol="1"/>
  <pivotFields count="15">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10">
        <item x="0"/>
        <item x="1"/>
        <item x="2"/>
        <item x="3"/>
        <item x="4"/>
        <item x="5"/>
        <item x="6"/>
        <item x="7"/>
        <item x="8"/>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2">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A823E2-DBFF-4FCD-883F-972C63346F71}"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1:B257" firstHeaderRow="1" firstDataRow="1" firstDataCol="1"/>
  <pivotFields count="15">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3"/>
        <item x="0"/>
        <item x="2"/>
        <item x="1"/>
        <item x="4"/>
        <item t="default"/>
      </items>
    </pivotField>
    <pivotField dataField="1"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6">
    <i>
      <x/>
    </i>
    <i>
      <x v="1"/>
    </i>
    <i>
      <x v="2"/>
    </i>
    <i>
      <x v="3"/>
    </i>
    <i>
      <x v="4"/>
    </i>
    <i t="grand">
      <x/>
    </i>
  </rowItems>
  <colItems count="1">
    <i/>
  </colItems>
  <dataFields count="1">
    <dataField name="Average of Rounded Rating"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4DAF49-5558-42AB-ADB1-E557DD05F030}"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0:I247" firstHeaderRow="1" firstDataRow="2"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baseField="0" baseItem="0" numFmtId="10">
      <extLst>
        <ext xmlns:x14="http://schemas.microsoft.com/office/spreadsheetml/2009/9/main" uri="{E15A36E0-9728-4e99-A89B-3F7291B0FE68}">
          <x14:dataField pivotShowAs="percentOfParentCol"/>
        </ext>
      </extLst>
    </dataField>
  </dataFields>
  <conditionalFormats count="1">
    <conditionalFormat scope="field" priority="4">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D24E1C-C993-491B-8577-7F8D65B9360A}"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8:I225" firstHeaderRow="1" firstDataRow="2" firstDataCol="1"/>
  <pivotFields count="15">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0BED45D-4B81-4563-A884-CE7B817EF14D}" name="PivotTable3" cacheId="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3:B59" firstHeaderRow="1" firstDataRow="1" firstDataCol="1"/>
  <pivotFields count="15">
    <pivotField compact="0" outline="0" showAll="0"/>
    <pivotField axis="axisRow" compact="0" outline="0"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compact="0" outline="0" showAll="0"/>
    <pivotField compact="0" numFmtId="15"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
  </rowFields>
  <rowItems count="16">
    <i>
      <x v="10"/>
    </i>
    <i>
      <x v="11"/>
    </i>
    <i>
      <x v="2"/>
    </i>
    <i>
      <x v="8"/>
    </i>
    <i>
      <x v="3"/>
    </i>
    <i>
      <x v="14"/>
    </i>
    <i>
      <x v="4"/>
    </i>
    <i>
      <x v="6"/>
    </i>
    <i>
      <x/>
    </i>
    <i>
      <x v="5"/>
    </i>
    <i>
      <x v="9"/>
    </i>
    <i>
      <x v="13"/>
    </i>
    <i>
      <x v="1"/>
    </i>
    <i>
      <x v="7"/>
    </i>
    <i>
      <x v="12"/>
    </i>
    <i t="grand">
      <x/>
    </i>
  </rowItems>
  <colItems count="1">
    <i/>
  </colItems>
  <dataFields count="1">
    <dataField name="Sum of Purchase Amount" fld="5" baseField="0" baseItem="0" numFmtId="166"/>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1FDABBE-0133-48D4-9059-273FD01D6DA5}"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0:B183" firstHeaderRow="1" firstDataRow="1" firstDataCol="1"/>
  <pivotFields count="15">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10">
        <item x="0"/>
        <item x="1"/>
        <item x="2"/>
        <item x="3"/>
        <item x="4"/>
        <item x="5"/>
        <item x="6"/>
        <item x="7"/>
        <item x="8"/>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baseField="10" baseItem="0"/>
  </dataFields>
  <chartFormats count="2">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B6AEFBA-8056-44D5-85F5-F896F694CB73}" name="PivotTable7" cacheId="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A101:B117" firstHeaderRow="1" firstDataRow="1" firstDataCol="1"/>
  <pivotFields count="15">
    <pivotField compact="0" outline="0" showAll="0"/>
    <pivotField axis="axisRow" compact="0" outline="0"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compact="0" outline="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compact="0" outline="0" showAll="0">
      <items count="6">
        <item h="1" x="2"/>
        <item h="1" x="1"/>
        <item h="1" x="4"/>
        <item h="1" x="3"/>
        <item x="0"/>
        <item t="default"/>
      </items>
    </pivotField>
    <pivotField compact="0" numFmtId="15"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
  </rowFields>
  <rowItems count="16">
    <i>
      <x v="3"/>
    </i>
    <i>
      <x v="4"/>
    </i>
    <i>
      <x v="11"/>
    </i>
    <i>
      <x v="2"/>
    </i>
    <i>
      <x v="6"/>
    </i>
    <i>
      <x v="13"/>
    </i>
    <i>
      <x v="9"/>
    </i>
    <i>
      <x v="8"/>
    </i>
    <i>
      <x v="10"/>
    </i>
    <i>
      <x v="7"/>
    </i>
    <i>
      <x/>
    </i>
    <i>
      <x v="14"/>
    </i>
    <i>
      <x v="5"/>
    </i>
    <i>
      <x v="1"/>
    </i>
    <i>
      <x v="12"/>
    </i>
    <i t="grand">
      <x/>
    </i>
  </rowItems>
  <colItems count="1">
    <i/>
  </colItems>
  <dataFields count="1">
    <dataField name="Sum of Purchase Amount" fld="5" baseField="0" baseItem="0" numFmtId="166"/>
  </dataFields>
  <formats count="1">
    <format dxfId="1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6B8DC7D-B7AE-483B-9785-B2CA3B4CBC93}" sourceName="Representative">
  <pivotTables>
    <pivotTable tabId="16" name="PivotTable7"/>
  </pivotTables>
  <data>
    <tabular pivotCacheId="1636204204">
      <items count="5">
        <i x="2"/>
        <i x="1"/>
        <i x="4"/>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880830AD-3CAB-47CB-B0B3-8092727F00DE}" sourceName="Representative">
  <pivotTables>
    <pivotTable tabId="16" name="PivotTable8"/>
    <pivotTable tabId="16" name="PivotTable9"/>
    <pivotTable tabId="16" name="PivotTable10"/>
    <pivotTable tabId="16" name="PivotTable11"/>
  </pivotTables>
  <data>
    <tabular pivotCacheId="1636204204">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FD43165F-E695-43ED-AE26-62D8F74AE20E}" sourceName="Representative">
  <pivotTables>
    <pivotTable tabId="16" name="PivotTable14"/>
  </pivotTables>
  <data>
    <tabular pivotCacheId="1636204204">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CA52FF2-7297-4A24-8A58-C034563C6F05}" cache="Slicer_Representative" caption="Representative" rowHeight="228600"/>
  <slicer name="Representative 1" xr10:uid="{A803DC7D-7041-45B1-B12B-E4FCC16A2AAF}" cache="Slicer_Representative1" caption="Representative" rowHeight="311150"/>
  <slicer name="Representative 2" xr10:uid="{E08B9C75-3496-4203-B4D8-EA40E9974EF0}" cache="Slicer_Representative2" caption="Representative" rowHeight="3111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83BF6D-C541-4DD0-8381-C3FCC00EDBC3}" name="Employee_Raw_Data" displayName="Employee_Raw_Data" ref="A1:I58" totalsRowShown="0">
  <autoFilter ref="A1:I58" xr:uid="{AF3E5D69-0126-4153-9E40-BBA6CB3C5CF3}"/>
  <tableColumns count="9">
    <tableColumn id="1" xr3:uid="{09E3A91A-78AB-4A28-895D-BA81BF728930}" name="Emp ID"/>
    <tableColumn id="2" xr3:uid="{E3E5A76B-A32A-4574-87E8-F31599F0EC20}" name="Name"/>
    <tableColumn id="3" xr3:uid="{ABD1DF71-61A6-492B-9EA4-29DB06A22083}" name="Gender"/>
    <tableColumn id="4" xr3:uid="{BD74098F-5028-4A08-8F4B-93C3C656EF96}" name="Department"/>
    <tableColumn id="5" xr3:uid="{363A3808-0BEE-4FEF-ACFA-6FE43B8EAB56}" name="Salary" dataDxfId="46"/>
    <tableColumn id="6" xr3:uid="{8846A55F-BA3F-47D7-92A3-FF75DFDEEA54}" name="Start Date" dataDxfId="45"/>
    <tableColumn id="7" xr3:uid="{A97A11BC-748C-4FA9-9A95-D2301A4F339A}" name="FTE" dataDxfId="44"/>
    <tableColumn id="8" xr3:uid="{F5519B35-2EA7-4CB0-BA0E-D92F424C5A45}" name="Employee type"/>
    <tableColumn id="9" xr3:uid="{B0AE1E92-4DB3-497D-86A5-D152216C4CE2}" name="Work locatio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B4381E-F5F1-4D93-BB7A-E4E21A32273C}" name="Olympics_Medal_Data" displayName="Olympics_Medal_Data" ref="A1:G94" totalsRowShown="0" headerRowDxfId="43" headerRowBorderDxfId="42" tableBorderDxfId="41" totalsRowBorderDxfId="40">
  <autoFilter ref="A1:G94" xr:uid="{ABB4381E-F5F1-4D93-BB7A-E4E21A32273C}"/>
  <tableColumns count="7">
    <tableColumn id="1" xr3:uid="{3C3F109A-2256-466F-AD47-DAFA952C6773}" name="Rank" dataDxfId="39"/>
    <tableColumn id="2" xr3:uid="{A3D3831A-69EC-4B83-993F-EE6B2960D56E}" name="Country" dataDxfId="38"/>
    <tableColumn id="3" xr3:uid="{00C69971-62BB-4FC3-934F-CB118D518839}" name="Gold" dataDxfId="37"/>
    <tableColumn id="4" xr3:uid="{FBDB30F6-46BA-428A-B576-8AEC8A7A4132}" name="Silver" dataDxfId="36"/>
    <tableColumn id="5" xr3:uid="{2A9A84DB-F26B-44A2-AD41-014D801374CB}" name="Bronze" dataDxfId="35"/>
    <tableColumn id="6" xr3:uid="{2B8D3E69-1857-4BBC-A6BF-D4C9712CFEE2}" name="Total" dataDxfId="34"/>
    <tableColumn id="7" xr3:uid="{08233C8C-608D-4D71-98E3-912A8AE6A540}" name="Gold %"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4CB07B-3890-4187-AA4E-3BD4E6C4C5F1}" name="Employee_Processed_Data" displayName="Employee_Processed_Data" ref="A1:N266" totalsRowShown="0" headerRowDxfId="32">
  <autoFilter ref="A1:N266" xr:uid="{604CB07B-3890-4187-AA4E-3BD4E6C4C5F1}"/>
  <tableColumns count="14">
    <tableColumn id="2" xr3:uid="{93BC28F0-1610-450F-B46E-65C681F4C5D5}" name="Emp ID"/>
    <tableColumn id="3" xr3:uid="{E64BF918-B472-49BC-B24E-7DBB49040B8A}" name="First Name" dataDxfId="31"/>
    <tableColumn id="4" xr3:uid="{FE73ACEE-26B9-41E9-900F-F8494FD59131}" name="Middle Name" dataDxfId="0"/>
    <tableColumn id="5" xr3:uid="{AB7EB370-0747-4D5D-9F25-4DA910087767}" name="Last Name" dataDxfId="30"/>
    <tableColumn id="6" xr3:uid="{68E7683C-FFBC-48F0-8F02-5FFAEA499610}" name="Gender" dataDxfId="29"/>
    <tableColumn id="7" xr3:uid="{D1F414AD-6BEC-4354-AEE1-270DA09CB68B}" name="Department" dataDxfId="28"/>
    <tableColumn id="8" xr3:uid="{3A91ACE6-D2EF-449F-840F-294C42E63C9B}" name="Salary" dataDxfId="27"/>
    <tableColumn id="9" xr3:uid="{148795E9-7D0B-4B68-AE43-9BEE37DF1AF7}" name="Salary Bins" dataDxfId="26"/>
    <tableColumn id="10" xr3:uid="{6562AFE9-43A8-4EA8-82E2-2BC93CB3B962}" name="Start Date" dataDxfId="25"/>
    <tableColumn id="11" xr3:uid="{3CE81995-6952-456D-A72D-23E3A50DCF85}" name="FTE" dataDxfId="24"/>
    <tableColumn id="12" xr3:uid="{5D734EC8-89FC-4185-A6DE-4F773F0B3311}" name="Employee type" dataDxfId="23"/>
    <tableColumn id="13" xr3:uid="{10374BFD-17AD-42BC-8C3F-B89D38282A9C}" name="Work location" dataDxfId="22"/>
    <tableColumn id="14" xr3:uid="{9E749795-B44D-4070-B6D8-E675F436E687}" name="Tenure" dataDxfId="21"/>
    <tableColumn id="15" xr3:uid="{1049699A-0D90-4B4B-88BC-1F3645F8FF6C}" name="Work Type"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6F5636-D1A1-40D8-9EA5-F5D38CA70387}" name="Call_Centre_Data" displayName="Call_Centre_Data" ref="A1:K1001" totalsRowShown="0" headerRowDxfId="60" dataDxfId="58" headerRowBorderDxfId="59" tableBorderDxfId="57" totalsRowBorderDxfId="56">
  <autoFilter ref="A1:K1001" xr:uid="{EB6F5636-D1A1-40D8-9EA5-F5D38CA70387}"/>
  <tableColumns count="11">
    <tableColumn id="1" xr3:uid="{C5901F56-C8E7-490A-B4CE-191CE04AD548}" name="Call number" dataDxfId="55"/>
    <tableColumn id="2" xr3:uid="{3E5FF584-F8B8-40B7-B48D-3A4196C7996B}" name="Customer ID" dataDxfId="54"/>
    <tableColumn id="3" xr3:uid="{D6B8C3AD-8D66-48F1-A2CF-62658580D185}" name="Duration" dataDxfId="12"/>
    <tableColumn id="4" xr3:uid="{3B4713CC-E453-448D-A786-C0997635546C}" name="Representative" dataDxfId="53"/>
    <tableColumn id="5" xr3:uid="{677682B4-441E-493F-8748-06839DF073A9}" name="Date of Call" dataDxfId="52"/>
    <tableColumn id="6" xr3:uid="{A60D2CAC-6638-4A05-B08F-11ACFC24CE28}" name="Purchase Amount" dataDxfId="51"/>
    <tableColumn id="7" xr3:uid="{3F294C47-6000-4280-BC04-1C3DD121BB88}" name="Satisfaction Rating" dataDxfId="50"/>
    <tableColumn id="8" xr3:uid="{5BC90B1E-0763-4303-977B-2E66EFD62295}" name="FY" dataDxfId="49">
      <calculatedColumnFormula>IF(MONTH(Call_Centre_Data[[#This Row],[Date of Call]])&lt;=6,YEAR(Call_Centre_Data[[#This Row],[Date of Call]]),YEAR(Call_Centre_Data[[#This Row],[Date of Call]])+1)</calculatedColumnFormula>
    </tableColumn>
    <tableColumn id="10" xr3:uid="{A256196D-C031-427B-9E00-EE5BFC146173}" name="Day of Week" dataDxfId="48">
      <calculatedColumnFormula>TEXT(Call_Centre_Data[[#This Row],[Date of Call]],"DDDD")</calculatedColumnFormula>
    </tableColumn>
    <tableColumn id="13" xr3:uid="{241D0341-44E2-4A8E-BFE7-FFA8982E6956}" name="Duration Bucket" dataDxfId="47">
      <calculatedColumnFormula array="1">_xlfn.IFS(Call_Centre_Data[[#This Row],[Duration]]&lt;=10,"Under 10 Mins", Call_Centre_Data[[#This Row],[Duration]]&lt;=30,"10-30 Mins",Call_Centre_Data[[#This Row],[Duration]]&lt;=60,"30-60 Mins",Call_Centre_Data[[#This Row],[Duration]]&lt;=120,"1-2 Hours",TRUE,"More than 2 Hours")</calculatedColumnFormula>
    </tableColumn>
    <tableColumn id="14" xr3:uid="{515F8EB4-4211-4C28-8296-2451DFF476A3}" name="Rounded Rating" dataDxfId="11">
      <calculatedColumnFormula>ROUND(Call_Centre_Data[[#This Row],[Satisfaction Rating]],0)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5D69-0126-4153-9E40-BBA6CB3C5CF3}">
  <dimension ref="A1:K59"/>
  <sheetViews>
    <sheetView topLeftCell="A45" workbookViewId="0">
      <selection activeCell="B22" sqref="B22"/>
    </sheetView>
  </sheetViews>
  <sheetFormatPr defaultRowHeight="18" x14ac:dyDescent="0.35"/>
  <cols>
    <col min="1" max="1" width="8" bestFit="1" customWidth="1"/>
    <col min="2" max="2" width="21.1640625" bestFit="1" customWidth="1"/>
    <col min="3" max="3" width="6.4140625" bestFit="1" customWidth="1"/>
    <col min="4" max="4" width="22.08203125" bestFit="1" customWidth="1"/>
    <col min="5" max="5" width="11.25" bestFit="1" customWidth="1"/>
    <col min="6" max="6" width="9.9140625" bestFit="1" customWidth="1"/>
    <col min="7" max="7" width="3.75" bestFit="1" customWidth="1"/>
    <col min="8" max="8" width="9.1640625" bestFit="1" customWidth="1"/>
    <col min="9" max="9" width="20" bestFit="1" customWidth="1"/>
    <col min="11" max="11" width="12.5" bestFit="1" customWidth="1"/>
    <col min="13" max="13" width="14.33203125" bestFit="1" customWidth="1"/>
  </cols>
  <sheetData>
    <row r="1" spans="1:11" x14ac:dyDescent="0.35">
      <c r="A1" s="1" t="s">
        <v>0</v>
      </c>
      <c r="B1" s="1" t="s">
        <v>1</v>
      </c>
      <c r="C1" s="1" t="s">
        <v>2</v>
      </c>
      <c r="D1" s="1" t="s">
        <v>3</v>
      </c>
      <c r="E1" s="2" t="s">
        <v>4</v>
      </c>
      <c r="F1" s="2" t="s">
        <v>5</v>
      </c>
      <c r="G1" s="3" t="s">
        <v>6</v>
      </c>
      <c r="H1" s="1" t="s">
        <v>7</v>
      </c>
      <c r="I1" s="1" t="s">
        <v>8</v>
      </c>
    </row>
    <row r="2" spans="1:11" x14ac:dyDescent="0.35">
      <c r="A2" t="s">
        <v>9</v>
      </c>
      <c r="B2" t="s">
        <v>10</v>
      </c>
      <c r="C2" t="s">
        <v>11</v>
      </c>
      <c r="D2" t="s">
        <v>12</v>
      </c>
      <c r="E2" s="7">
        <v>114177.23</v>
      </c>
      <c r="F2" s="5">
        <v>43908</v>
      </c>
      <c r="G2" s="6">
        <v>1</v>
      </c>
      <c r="H2" t="s">
        <v>13</v>
      </c>
      <c r="I2" t="s">
        <v>14</v>
      </c>
    </row>
    <row r="3" spans="1:11" x14ac:dyDescent="0.35">
      <c r="A3" t="s">
        <v>16</v>
      </c>
      <c r="B3" t="s">
        <v>17</v>
      </c>
      <c r="C3" t="s">
        <v>11</v>
      </c>
      <c r="D3" t="s">
        <v>18</v>
      </c>
      <c r="E3" s="7">
        <v>102934.09</v>
      </c>
      <c r="F3" s="5">
        <v>44315</v>
      </c>
      <c r="G3" s="6">
        <v>1</v>
      </c>
      <c r="H3" t="s">
        <v>13</v>
      </c>
      <c r="I3" t="s">
        <v>19</v>
      </c>
    </row>
    <row r="4" spans="1:11" x14ac:dyDescent="0.35">
      <c r="A4" t="s">
        <v>20</v>
      </c>
      <c r="B4" t="s">
        <v>21</v>
      </c>
      <c r="C4" t="s">
        <v>11</v>
      </c>
      <c r="D4" t="s">
        <v>22</v>
      </c>
      <c r="E4" s="7">
        <v>98000</v>
      </c>
      <c r="F4" s="5">
        <v>43710</v>
      </c>
      <c r="G4" s="6">
        <v>0.9</v>
      </c>
      <c r="H4" t="s">
        <v>13</v>
      </c>
      <c r="I4" t="s">
        <v>23</v>
      </c>
      <c r="K4" s="4"/>
    </row>
    <row r="5" spans="1:11" x14ac:dyDescent="0.35">
      <c r="A5" t="s">
        <v>24</v>
      </c>
      <c r="B5" t="s">
        <v>25</v>
      </c>
      <c r="C5" t="s">
        <v>11</v>
      </c>
      <c r="D5" t="s">
        <v>26</v>
      </c>
      <c r="E5" s="7">
        <v>97105.19</v>
      </c>
      <c r="F5" s="5">
        <v>44425</v>
      </c>
      <c r="G5" s="6">
        <v>1</v>
      </c>
      <c r="H5" t="s">
        <v>13</v>
      </c>
      <c r="I5" t="s">
        <v>27</v>
      </c>
    </row>
    <row r="6" spans="1:11" x14ac:dyDescent="0.35">
      <c r="A6" t="s">
        <v>28</v>
      </c>
      <c r="B6" t="s">
        <v>29</v>
      </c>
      <c r="C6" t="s">
        <v>11</v>
      </c>
      <c r="D6" t="s">
        <v>18</v>
      </c>
      <c r="E6" s="7">
        <v>96135.75</v>
      </c>
      <c r="F6" s="5">
        <v>44025</v>
      </c>
      <c r="G6" s="6">
        <v>0.3</v>
      </c>
      <c r="H6" t="s">
        <v>13</v>
      </c>
      <c r="I6" t="s">
        <v>14</v>
      </c>
    </row>
    <row r="7" spans="1:11" x14ac:dyDescent="0.35">
      <c r="A7" t="s">
        <v>30</v>
      </c>
      <c r="B7" t="s">
        <v>31</v>
      </c>
      <c r="C7" t="s">
        <v>11</v>
      </c>
      <c r="D7" t="s">
        <v>32</v>
      </c>
      <c r="E7" s="7">
        <v>92336.08</v>
      </c>
      <c r="F7" s="5">
        <v>44431</v>
      </c>
      <c r="G7" s="6">
        <v>1</v>
      </c>
      <c r="H7" t="s">
        <v>13</v>
      </c>
      <c r="I7" t="s">
        <v>19</v>
      </c>
    </row>
    <row r="8" spans="1:11" x14ac:dyDescent="0.35">
      <c r="A8" t="s">
        <v>33</v>
      </c>
      <c r="B8" t="s">
        <v>34</v>
      </c>
      <c r="C8" t="s">
        <v>11</v>
      </c>
      <c r="D8" t="s">
        <v>35</v>
      </c>
      <c r="E8" s="7">
        <v>89690.38</v>
      </c>
      <c r="F8" s="5">
        <v>43206</v>
      </c>
      <c r="G8" s="6">
        <v>1</v>
      </c>
      <c r="H8" t="s">
        <v>13</v>
      </c>
      <c r="I8" t="s">
        <v>14</v>
      </c>
    </row>
    <row r="9" spans="1:11" x14ac:dyDescent="0.35">
      <c r="A9" t="s">
        <v>36</v>
      </c>
      <c r="B9" t="s">
        <v>37</v>
      </c>
      <c r="C9" t="s">
        <v>11</v>
      </c>
      <c r="D9" t="s">
        <v>18</v>
      </c>
      <c r="E9" s="7">
        <v>84745.93</v>
      </c>
      <c r="F9" s="5">
        <v>43707</v>
      </c>
      <c r="G9" s="6">
        <v>1</v>
      </c>
      <c r="H9" t="s">
        <v>13</v>
      </c>
      <c r="I9" t="s">
        <v>14</v>
      </c>
    </row>
    <row r="10" spans="1:11" x14ac:dyDescent="0.35">
      <c r="A10" t="s">
        <v>38</v>
      </c>
      <c r="B10" t="s">
        <v>39</v>
      </c>
      <c r="C10" t="s">
        <v>11</v>
      </c>
      <c r="D10" t="s">
        <v>32</v>
      </c>
      <c r="E10" s="7">
        <v>84309.95</v>
      </c>
      <c r="F10" s="5">
        <v>44501</v>
      </c>
      <c r="G10" s="6">
        <v>1</v>
      </c>
      <c r="H10" t="s">
        <v>13</v>
      </c>
      <c r="I10" t="s">
        <v>40</v>
      </c>
    </row>
    <row r="11" spans="1:11" x14ac:dyDescent="0.35">
      <c r="A11" t="s">
        <v>41</v>
      </c>
      <c r="B11" t="s">
        <v>42</v>
      </c>
      <c r="C11" t="s">
        <v>11</v>
      </c>
      <c r="D11" t="s">
        <v>35</v>
      </c>
      <c r="E11" s="7">
        <v>81897.789999999994</v>
      </c>
      <c r="F11" s="5">
        <v>43146</v>
      </c>
      <c r="G11" s="6">
        <v>1</v>
      </c>
      <c r="H11" t="s">
        <v>13</v>
      </c>
      <c r="I11" t="s">
        <v>43</v>
      </c>
    </row>
    <row r="12" spans="1:11" x14ac:dyDescent="0.35">
      <c r="A12" t="s">
        <v>44</v>
      </c>
      <c r="B12" t="s">
        <v>45</v>
      </c>
      <c r="C12" t="s">
        <v>11</v>
      </c>
      <c r="D12" t="s">
        <v>22</v>
      </c>
      <c r="E12" s="7">
        <v>80695.740000000005</v>
      </c>
      <c r="F12" s="5">
        <v>43360</v>
      </c>
      <c r="G12" s="6">
        <v>1</v>
      </c>
      <c r="H12" t="s">
        <v>13</v>
      </c>
      <c r="I12" t="s">
        <v>27</v>
      </c>
    </row>
    <row r="13" spans="1:11" x14ac:dyDescent="0.35">
      <c r="A13" t="s">
        <v>44</v>
      </c>
      <c r="B13" t="s">
        <v>45</v>
      </c>
      <c r="C13" t="s">
        <v>11</v>
      </c>
      <c r="D13" t="s">
        <v>22</v>
      </c>
      <c r="E13" s="7">
        <v>80695.740000000005</v>
      </c>
      <c r="F13" s="5">
        <v>43360</v>
      </c>
      <c r="G13" s="6">
        <v>1</v>
      </c>
      <c r="H13" t="s">
        <v>13</v>
      </c>
      <c r="I13" t="s">
        <v>27</v>
      </c>
    </row>
    <row r="14" spans="1:11" x14ac:dyDescent="0.35">
      <c r="A14" t="s">
        <v>46</v>
      </c>
      <c r="B14" t="s">
        <v>45</v>
      </c>
      <c r="C14" t="s">
        <v>11</v>
      </c>
      <c r="D14" t="s">
        <v>22</v>
      </c>
      <c r="E14" s="7">
        <v>80695.740000000005</v>
      </c>
      <c r="F14" s="5">
        <v>43787</v>
      </c>
      <c r="G14" s="6">
        <v>0.8</v>
      </c>
      <c r="H14" t="s">
        <v>13</v>
      </c>
      <c r="I14" t="s">
        <v>27</v>
      </c>
    </row>
    <row r="15" spans="1:11" x14ac:dyDescent="0.35">
      <c r="A15" t="s">
        <v>47</v>
      </c>
      <c r="B15" t="s">
        <v>48</v>
      </c>
      <c r="C15" t="s">
        <v>11</v>
      </c>
      <c r="D15" t="s">
        <v>26</v>
      </c>
      <c r="E15" s="7">
        <v>78378.2</v>
      </c>
      <c r="F15" s="5">
        <v>43465</v>
      </c>
      <c r="G15" s="6">
        <v>0.4</v>
      </c>
      <c r="H15" t="s">
        <v>13</v>
      </c>
      <c r="I15" t="s">
        <v>40</v>
      </c>
    </row>
    <row r="16" spans="1:11" x14ac:dyDescent="0.35">
      <c r="A16" t="s">
        <v>49</v>
      </c>
      <c r="B16" t="s">
        <v>50</v>
      </c>
      <c r="C16" t="s">
        <v>11</v>
      </c>
      <c r="D16" t="s">
        <v>51</v>
      </c>
      <c r="E16" s="7">
        <v>77045.440000000002</v>
      </c>
      <c r="F16" s="5">
        <v>43636</v>
      </c>
      <c r="G16" s="6">
        <v>1</v>
      </c>
      <c r="H16" t="s">
        <v>13</v>
      </c>
      <c r="I16" t="s">
        <v>40</v>
      </c>
    </row>
    <row r="17" spans="1:9" x14ac:dyDescent="0.35">
      <c r="A17" t="s">
        <v>52</v>
      </c>
      <c r="B17" t="s">
        <v>53</v>
      </c>
      <c r="C17" t="s">
        <v>11</v>
      </c>
      <c r="D17" t="s">
        <v>54</v>
      </c>
      <c r="E17" s="7">
        <v>75974.990000000005</v>
      </c>
      <c r="F17" s="5">
        <v>44172</v>
      </c>
      <c r="G17" s="6">
        <v>1</v>
      </c>
      <c r="H17" t="s">
        <v>13</v>
      </c>
      <c r="I17" t="s">
        <v>40</v>
      </c>
    </row>
    <row r="18" spans="1:9" x14ac:dyDescent="0.35">
      <c r="A18" t="s">
        <v>55</v>
      </c>
      <c r="B18" t="s">
        <v>56</v>
      </c>
      <c r="C18" t="s">
        <v>11</v>
      </c>
      <c r="D18" t="s">
        <v>57</v>
      </c>
      <c r="E18" s="7">
        <v>72502.61</v>
      </c>
      <c r="F18" s="5">
        <v>44235</v>
      </c>
      <c r="G18" s="6">
        <v>1</v>
      </c>
      <c r="H18" t="s">
        <v>13</v>
      </c>
      <c r="I18" t="s">
        <v>14</v>
      </c>
    </row>
    <row r="19" spans="1:9" x14ac:dyDescent="0.35">
      <c r="A19" t="s">
        <v>58</v>
      </c>
      <c r="B19" t="s">
        <v>59</v>
      </c>
      <c r="C19" t="s">
        <v>11</v>
      </c>
      <c r="D19" t="s">
        <v>22</v>
      </c>
      <c r="E19" s="7">
        <v>70649.460000000006</v>
      </c>
      <c r="F19" s="5">
        <v>43843</v>
      </c>
      <c r="G19" s="6">
        <v>1</v>
      </c>
      <c r="H19" t="s">
        <v>13</v>
      </c>
      <c r="I19" t="s">
        <v>19</v>
      </c>
    </row>
    <row r="20" spans="1:9" x14ac:dyDescent="0.35">
      <c r="A20" t="s">
        <v>60</v>
      </c>
      <c r="B20" t="s">
        <v>61</v>
      </c>
      <c r="C20" t="s">
        <v>11</v>
      </c>
      <c r="D20" t="s">
        <v>22</v>
      </c>
      <c r="E20" s="7">
        <v>69192.850000000006</v>
      </c>
      <c r="F20" s="5">
        <v>44305</v>
      </c>
      <c r="G20" s="6">
        <v>1</v>
      </c>
      <c r="H20" t="s">
        <v>13</v>
      </c>
      <c r="I20" t="s">
        <v>27</v>
      </c>
    </row>
    <row r="21" spans="1:9" x14ac:dyDescent="0.35">
      <c r="A21" t="s">
        <v>62</v>
      </c>
      <c r="B21" t="s">
        <v>63</v>
      </c>
      <c r="C21" t="s">
        <v>11</v>
      </c>
      <c r="D21" t="s">
        <v>22</v>
      </c>
      <c r="E21" s="7">
        <v>68980.52</v>
      </c>
      <c r="F21" s="5">
        <v>43494</v>
      </c>
      <c r="G21" s="6">
        <v>0.8</v>
      </c>
      <c r="H21" t="s">
        <v>13</v>
      </c>
      <c r="I21" t="s">
        <v>40</v>
      </c>
    </row>
    <row r="22" spans="1:9" x14ac:dyDescent="0.35">
      <c r="A22" t="s">
        <v>64</v>
      </c>
      <c r="B22" t="s">
        <v>65</v>
      </c>
      <c r="C22" t="s">
        <v>11</v>
      </c>
      <c r="D22" t="s">
        <v>66</v>
      </c>
      <c r="E22" s="7">
        <v>67905.8</v>
      </c>
      <c r="F22" s="5">
        <v>44194</v>
      </c>
      <c r="G22" s="6">
        <v>1</v>
      </c>
      <c r="H22" t="s">
        <v>13</v>
      </c>
      <c r="I22" t="s">
        <v>40</v>
      </c>
    </row>
    <row r="23" spans="1:9" x14ac:dyDescent="0.35">
      <c r="A23" t="s">
        <v>67</v>
      </c>
      <c r="B23" t="s">
        <v>68</v>
      </c>
      <c r="C23" t="s">
        <v>11</v>
      </c>
      <c r="D23" t="s">
        <v>69</v>
      </c>
      <c r="E23" s="7">
        <v>63705.4</v>
      </c>
      <c r="F23" s="5">
        <v>43682</v>
      </c>
      <c r="G23" s="6">
        <v>1</v>
      </c>
      <c r="H23" t="s">
        <v>13</v>
      </c>
      <c r="I23" t="s">
        <v>19</v>
      </c>
    </row>
    <row r="24" spans="1:9" x14ac:dyDescent="0.35">
      <c r="A24" t="s">
        <v>70</v>
      </c>
      <c r="B24" t="s">
        <v>71</v>
      </c>
      <c r="C24" t="s">
        <v>11</v>
      </c>
      <c r="D24" t="s">
        <v>72</v>
      </c>
      <c r="E24" s="7">
        <v>61994.76</v>
      </c>
      <c r="F24" s="5">
        <v>43794</v>
      </c>
      <c r="G24" s="6">
        <v>0.3</v>
      </c>
      <c r="H24" t="s">
        <v>13</v>
      </c>
      <c r="I24" t="s">
        <v>19</v>
      </c>
    </row>
    <row r="25" spans="1:9" x14ac:dyDescent="0.35">
      <c r="A25" t="s">
        <v>73</v>
      </c>
      <c r="B25" t="s">
        <v>74</v>
      </c>
      <c r="C25" t="s">
        <v>11</v>
      </c>
      <c r="D25" t="s">
        <v>75</v>
      </c>
      <c r="E25" s="7">
        <v>58861.19</v>
      </c>
      <c r="F25" s="5">
        <v>43654</v>
      </c>
      <c r="G25" s="6">
        <v>1</v>
      </c>
      <c r="H25" t="s">
        <v>13</v>
      </c>
      <c r="I25" t="s">
        <v>27</v>
      </c>
    </row>
    <row r="26" spans="1:9" x14ac:dyDescent="0.35">
      <c r="A26" t="s">
        <v>76</v>
      </c>
      <c r="B26" t="s">
        <v>77</v>
      </c>
      <c r="C26" t="s">
        <v>11</v>
      </c>
      <c r="D26" t="s">
        <v>32</v>
      </c>
      <c r="E26" s="7">
        <v>50449.46</v>
      </c>
      <c r="F26" s="5">
        <v>43418</v>
      </c>
      <c r="G26" s="6">
        <v>0.8</v>
      </c>
      <c r="H26" t="s">
        <v>13</v>
      </c>
      <c r="I26" t="s">
        <v>43</v>
      </c>
    </row>
    <row r="27" spans="1:9" x14ac:dyDescent="0.35">
      <c r="A27" t="s">
        <v>78</v>
      </c>
      <c r="B27" t="s">
        <v>79</v>
      </c>
      <c r="C27" t="s">
        <v>11</v>
      </c>
      <c r="D27" t="s">
        <v>51</v>
      </c>
      <c r="E27" s="7">
        <v>47551.89</v>
      </c>
      <c r="F27" s="5">
        <v>43468</v>
      </c>
      <c r="G27" s="6">
        <v>1</v>
      </c>
      <c r="H27" t="s">
        <v>13</v>
      </c>
      <c r="I27" t="s">
        <v>43</v>
      </c>
    </row>
    <row r="28" spans="1:9" x14ac:dyDescent="0.35">
      <c r="A28" t="s">
        <v>80</v>
      </c>
      <c r="B28" t="s">
        <v>81</v>
      </c>
      <c r="C28" t="s">
        <v>11</v>
      </c>
      <c r="D28" t="s">
        <v>51</v>
      </c>
      <c r="E28" s="7">
        <v>41934.71</v>
      </c>
      <c r="F28" s="5">
        <v>43780</v>
      </c>
      <c r="G28" s="6">
        <v>1</v>
      </c>
      <c r="H28" t="s">
        <v>13</v>
      </c>
      <c r="I28" t="s">
        <v>40</v>
      </c>
    </row>
    <row r="29" spans="1:9" x14ac:dyDescent="0.35">
      <c r="A29" t="s">
        <v>82</v>
      </c>
      <c r="B29" t="s">
        <v>83</v>
      </c>
      <c r="C29" t="s">
        <v>11</v>
      </c>
      <c r="D29" t="s">
        <v>51</v>
      </c>
      <c r="E29" s="7">
        <v>39535.49</v>
      </c>
      <c r="F29" s="5">
        <v>43397</v>
      </c>
      <c r="G29" s="6">
        <v>0.3</v>
      </c>
      <c r="H29" t="s">
        <v>13</v>
      </c>
      <c r="I29" t="s">
        <v>40</v>
      </c>
    </row>
    <row r="30" spans="1:9" x14ac:dyDescent="0.35">
      <c r="A30" t="s">
        <v>84</v>
      </c>
      <c r="B30" t="s">
        <v>85</v>
      </c>
      <c r="C30" t="s">
        <v>11</v>
      </c>
      <c r="D30" t="s">
        <v>72</v>
      </c>
      <c r="E30" s="7">
        <v>35943.620000000003</v>
      </c>
      <c r="F30" s="5">
        <v>44078</v>
      </c>
      <c r="G30" s="6">
        <v>1</v>
      </c>
      <c r="H30" t="s">
        <v>13</v>
      </c>
      <c r="I30" t="s">
        <v>27</v>
      </c>
    </row>
    <row r="31" spans="1:9" x14ac:dyDescent="0.35">
      <c r="A31" t="s">
        <v>86</v>
      </c>
      <c r="B31" t="s">
        <v>87</v>
      </c>
      <c r="C31" t="s">
        <v>88</v>
      </c>
      <c r="D31" t="s">
        <v>75</v>
      </c>
      <c r="E31" s="7">
        <v>120000</v>
      </c>
      <c r="F31" s="5">
        <v>43416</v>
      </c>
      <c r="G31" s="6">
        <v>1</v>
      </c>
      <c r="H31" t="s">
        <v>13</v>
      </c>
      <c r="I31" t="s">
        <v>40</v>
      </c>
    </row>
    <row r="32" spans="1:9" x14ac:dyDescent="0.35">
      <c r="A32" t="s">
        <v>89</v>
      </c>
      <c r="B32" t="s">
        <v>90</v>
      </c>
      <c r="C32" t="s">
        <v>88</v>
      </c>
      <c r="D32" t="s">
        <v>12</v>
      </c>
      <c r="E32" s="7">
        <v>119022.49</v>
      </c>
      <c r="F32" s="5">
        <v>44431</v>
      </c>
      <c r="G32" s="6">
        <v>1</v>
      </c>
      <c r="H32" t="s">
        <v>13</v>
      </c>
      <c r="I32" t="s">
        <v>43</v>
      </c>
    </row>
    <row r="33" spans="1:9" x14ac:dyDescent="0.35">
      <c r="A33" t="s">
        <v>91</v>
      </c>
      <c r="B33" t="s">
        <v>92</v>
      </c>
      <c r="C33" t="s">
        <v>88</v>
      </c>
      <c r="D33" t="s">
        <v>57</v>
      </c>
      <c r="E33" s="7">
        <v>115191.38</v>
      </c>
      <c r="F33" s="5">
        <v>44004</v>
      </c>
      <c r="G33" s="6">
        <v>1</v>
      </c>
      <c r="H33" t="s">
        <v>13</v>
      </c>
      <c r="I33" t="s">
        <v>19</v>
      </c>
    </row>
    <row r="34" spans="1:9" x14ac:dyDescent="0.35">
      <c r="A34" t="s">
        <v>93</v>
      </c>
      <c r="B34" t="s">
        <v>94</v>
      </c>
      <c r="C34" t="s">
        <v>88</v>
      </c>
      <c r="D34" t="s">
        <v>75</v>
      </c>
      <c r="E34" s="7">
        <v>112645.99</v>
      </c>
      <c r="F34" s="5">
        <v>43759</v>
      </c>
      <c r="G34" s="6">
        <v>0.6</v>
      </c>
      <c r="H34" t="s">
        <v>13</v>
      </c>
      <c r="I34" t="s">
        <v>23</v>
      </c>
    </row>
    <row r="35" spans="1:9" x14ac:dyDescent="0.35">
      <c r="A35" t="s">
        <v>95</v>
      </c>
      <c r="B35" t="s">
        <v>96</v>
      </c>
      <c r="C35" t="s">
        <v>88</v>
      </c>
      <c r="D35" t="s">
        <v>22</v>
      </c>
      <c r="E35" s="7">
        <v>110042.37</v>
      </c>
      <c r="F35" s="5">
        <v>43914</v>
      </c>
      <c r="G35" s="6">
        <v>1</v>
      </c>
      <c r="H35" t="s">
        <v>13</v>
      </c>
      <c r="I35" t="s">
        <v>27</v>
      </c>
    </row>
    <row r="36" spans="1:9" x14ac:dyDescent="0.35">
      <c r="A36" t="s">
        <v>97</v>
      </c>
      <c r="B36" t="s">
        <v>98</v>
      </c>
      <c r="C36" t="s">
        <v>88</v>
      </c>
      <c r="D36" t="s">
        <v>57</v>
      </c>
      <c r="E36" s="7">
        <v>104335.03999999999</v>
      </c>
      <c r="F36" s="5">
        <v>43874</v>
      </c>
      <c r="G36" s="6">
        <v>1</v>
      </c>
      <c r="H36" t="s">
        <v>13</v>
      </c>
      <c r="I36" t="s">
        <v>27</v>
      </c>
    </row>
    <row r="37" spans="1:9" x14ac:dyDescent="0.35">
      <c r="A37" t="s">
        <v>99</v>
      </c>
      <c r="B37" t="s">
        <v>100</v>
      </c>
      <c r="C37" t="s">
        <v>88</v>
      </c>
      <c r="D37" t="s">
        <v>12</v>
      </c>
      <c r="E37" s="7">
        <v>95954.02</v>
      </c>
      <c r="F37" s="5">
        <v>43567</v>
      </c>
      <c r="G37" s="6">
        <v>0.3</v>
      </c>
      <c r="H37" t="s">
        <v>13</v>
      </c>
      <c r="I37" t="s">
        <v>19</v>
      </c>
    </row>
    <row r="38" spans="1:9" x14ac:dyDescent="0.35">
      <c r="A38" t="s">
        <v>101</v>
      </c>
      <c r="B38" t="s">
        <v>102</v>
      </c>
      <c r="C38" t="s">
        <v>88</v>
      </c>
      <c r="D38" t="s">
        <v>12</v>
      </c>
      <c r="E38" s="7">
        <v>91645.04</v>
      </c>
      <c r="F38" s="5">
        <v>44223</v>
      </c>
      <c r="G38" s="6">
        <v>1</v>
      </c>
      <c r="H38" t="s">
        <v>13</v>
      </c>
      <c r="I38" t="s">
        <v>43</v>
      </c>
    </row>
    <row r="39" spans="1:9" x14ac:dyDescent="0.35">
      <c r="A39" t="s">
        <v>103</v>
      </c>
      <c r="B39" t="s">
        <v>104</v>
      </c>
      <c r="C39" t="s">
        <v>88</v>
      </c>
      <c r="D39" t="s">
        <v>22</v>
      </c>
      <c r="E39" s="7">
        <v>85918.61</v>
      </c>
      <c r="F39" s="5">
        <v>43136</v>
      </c>
      <c r="G39" s="6">
        <v>1</v>
      </c>
      <c r="H39" t="s">
        <v>13</v>
      </c>
      <c r="I39" t="s">
        <v>27</v>
      </c>
    </row>
    <row r="40" spans="1:9" x14ac:dyDescent="0.35">
      <c r="A40" t="s">
        <v>105</v>
      </c>
      <c r="B40" t="s">
        <v>106</v>
      </c>
      <c r="C40" t="s">
        <v>88</v>
      </c>
      <c r="D40" t="s">
        <v>35</v>
      </c>
      <c r="E40" s="7">
        <v>84742.86</v>
      </c>
      <c r="F40" s="5">
        <v>44098</v>
      </c>
      <c r="G40" s="6">
        <v>1</v>
      </c>
      <c r="H40" t="s">
        <v>13</v>
      </c>
      <c r="I40" t="s">
        <v>43</v>
      </c>
    </row>
    <row r="41" spans="1:9" x14ac:dyDescent="0.35">
      <c r="A41" t="s">
        <v>107</v>
      </c>
      <c r="B41" t="s">
        <v>108</v>
      </c>
      <c r="C41" t="s">
        <v>88</v>
      </c>
      <c r="D41" t="s">
        <v>35</v>
      </c>
      <c r="E41" s="7">
        <v>77096.05</v>
      </c>
      <c r="F41" s="5">
        <v>43217</v>
      </c>
      <c r="G41" s="6">
        <v>1</v>
      </c>
      <c r="H41" t="s">
        <v>13</v>
      </c>
      <c r="I41" t="s">
        <v>109</v>
      </c>
    </row>
    <row r="42" spans="1:9" x14ac:dyDescent="0.35">
      <c r="A42" t="s">
        <v>110</v>
      </c>
      <c r="B42" t="s">
        <v>111</v>
      </c>
      <c r="C42" t="s">
        <v>88</v>
      </c>
      <c r="D42" t="s">
        <v>72</v>
      </c>
      <c r="E42" s="7">
        <v>72876.91</v>
      </c>
      <c r="F42" s="5">
        <v>43837</v>
      </c>
      <c r="G42" s="6">
        <v>1</v>
      </c>
      <c r="H42" t="s">
        <v>13</v>
      </c>
      <c r="I42" t="s">
        <v>40</v>
      </c>
    </row>
    <row r="43" spans="1:9" x14ac:dyDescent="0.35">
      <c r="A43" t="s">
        <v>112</v>
      </c>
      <c r="B43" t="s">
        <v>113</v>
      </c>
      <c r="C43" t="s">
        <v>88</v>
      </c>
      <c r="D43" t="s">
        <v>69</v>
      </c>
      <c r="E43" s="7">
        <v>66572.58</v>
      </c>
      <c r="F43" s="5">
        <v>44193</v>
      </c>
      <c r="G43" s="6">
        <v>1</v>
      </c>
      <c r="H43" t="s">
        <v>13</v>
      </c>
      <c r="I43" t="s">
        <v>109</v>
      </c>
    </row>
    <row r="44" spans="1:9" x14ac:dyDescent="0.35">
      <c r="A44" t="s">
        <v>112</v>
      </c>
      <c r="B44" t="s">
        <v>114</v>
      </c>
      <c r="C44" t="s">
        <v>88</v>
      </c>
      <c r="D44" t="s">
        <v>69</v>
      </c>
      <c r="E44" s="7">
        <v>66572.58</v>
      </c>
      <c r="F44" s="5">
        <v>44193</v>
      </c>
      <c r="G44" s="6">
        <v>1</v>
      </c>
      <c r="H44" t="s">
        <v>13</v>
      </c>
      <c r="I44" t="s">
        <v>109</v>
      </c>
    </row>
    <row r="45" spans="1:9" x14ac:dyDescent="0.35">
      <c r="A45" t="s">
        <v>115</v>
      </c>
      <c r="B45" t="s">
        <v>116</v>
      </c>
      <c r="C45" t="s">
        <v>88</v>
      </c>
      <c r="D45" t="s">
        <v>66</v>
      </c>
      <c r="E45" s="7">
        <v>65699.02</v>
      </c>
      <c r="F45" s="5">
        <v>43951</v>
      </c>
      <c r="G45" s="6">
        <v>1</v>
      </c>
      <c r="H45" t="s">
        <v>13</v>
      </c>
      <c r="I45" t="s">
        <v>27</v>
      </c>
    </row>
    <row r="46" spans="1:9" x14ac:dyDescent="0.35">
      <c r="A46" t="s">
        <v>117</v>
      </c>
      <c r="B46" t="s">
        <v>118</v>
      </c>
      <c r="C46" t="s">
        <v>88</v>
      </c>
      <c r="D46" t="s">
        <v>32</v>
      </c>
      <c r="E46" s="7">
        <v>62281.24</v>
      </c>
      <c r="F46" s="5">
        <v>43272</v>
      </c>
      <c r="G46" s="6">
        <v>1</v>
      </c>
      <c r="H46" t="s">
        <v>13</v>
      </c>
      <c r="I46" t="s">
        <v>40</v>
      </c>
    </row>
    <row r="47" spans="1:9" x14ac:dyDescent="0.35">
      <c r="A47" t="s">
        <v>119</v>
      </c>
      <c r="B47" t="s">
        <v>120</v>
      </c>
      <c r="C47" t="s">
        <v>88</v>
      </c>
      <c r="D47" t="s">
        <v>51</v>
      </c>
      <c r="E47" s="7">
        <v>62195.47</v>
      </c>
      <c r="F47" s="5">
        <v>44434</v>
      </c>
      <c r="G47" s="6">
        <v>1</v>
      </c>
      <c r="H47" t="s">
        <v>13</v>
      </c>
      <c r="I47" t="s">
        <v>40</v>
      </c>
    </row>
    <row r="48" spans="1:9" x14ac:dyDescent="0.35">
      <c r="A48" t="s">
        <v>121</v>
      </c>
      <c r="B48" t="s">
        <v>122</v>
      </c>
      <c r="C48" t="s">
        <v>88</v>
      </c>
      <c r="D48" t="s">
        <v>12</v>
      </c>
      <c r="E48" s="7">
        <v>52963.65</v>
      </c>
      <c r="F48" s="5">
        <v>44288</v>
      </c>
      <c r="G48" s="6">
        <v>0.3</v>
      </c>
      <c r="H48" t="s">
        <v>13</v>
      </c>
      <c r="I48" t="s">
        <v>27</v>
      </c>
    </row>
    <row r="49" spans="1:9" x14ac:dyDescent="0.35">
      <c r="A49" t="s">
        <v>123</v>
      </c>
      <c r="B49" t="s">
        <v>124</v>
      </c>
      <c r="C49" t="s">
        <v>88</v>
      </c>
      <c r="D49" t="s">
        <v>72</v>
      </c>
      <c r="E49" s="7">
        <v>50310.09</v>
      </c>
      <c r="F49" s="5">
        <v>44285</v>
      </c>
      <c r="G49" s="6">
        <v>0.4</v>
      </c>
      <c r="H49" t="s">
        <v>13</v>
      </c>
      <c r="I49" t="s">
        <v>19</v>
      </c>
    </row>
    <row r="50" spans="1:9" x14ac:dyDescent="0.35">
      <c r="A50" t="s">
        <v>125</v>
      </c>
      <c r="B50" t="s">
        <v>126</v>
      </c>
      <c r="C50" t="s">
        <v>88</v>
      </c>
      <c r="D50" t="s">
        <v>72</v>
      </c>
      <c r="E50" s="7">
        <v>48525.71</v>
      </c>
      <c r="F50" s="5">
        <v>43264</v>
      </c>
      <c r="G50" s="6">
        <v>1</v>
      </c>
      <c r="H50" t="s">
        <v>13</v>
      </c>
      <c r="I50" t="s">
        <v>19</v>
      </c>
    </row>
    <row r="51" spans="1:9" x14ac:dyDescent="0.35">
      <c r="A51" t="s">
        <v>127</v>
      </c>
      <c r="B51" t="s">
        <v>128</v>
      </c>
      <c r="C51" t="s">
        <v>88</v>
      </c>
      <c r="D51" t="s">
        <v>66</v>
      </c>
      <c r="E51" s="7">
        <v>37362.300000000003</v>
      </c>
      <c r="F51" s="5">
        <v>43642</v>
      </c>
      <c r="G51" s="6">
        <v>1</v>
      </c>
      <c r="H51" t="s">
        <v>13</v>
      </c>
      <c r="I51" t="s">
        <v>43</v>
      </c>
    </row>
    <row r="52" spans="1:9" x14ac:dyDescent="0.35">
      <c r="A52" t="s">
        <v>129</v>
      </c>
      <c r="B52" t="s">
        <v>130</v>
      </c>
      <c r="C52" t="s">
        <v>88</v>
      </c>
      <c r="D52" t="s">
        <v>54</v>
      </c>
      <c r="E52" s="7">
        <v>36714.379999999997</v>
      </c>
      <c r="F52" s="5">
        <v>44175</v>
      </c>
      <c r="G52" s="6">
        <v>1</v>
      </c>
      <c r="H52" t="s">
        <v>13</v>
      </c>
      <c r="I52" t="s">
        <v>109</v>
      </c>
    </row>
    <row r="53" spans="1:9" x14ac:dyDescent="0.35">
      <c r="A53" t="s">
        <v>131</v>
      </c>
      <c r="B53" t="s">
        <v>132</v>
      </c>
      <c r="C53" t="s">
        <v>88</v>
      </c>
      <c r="D53" t="s">
        <v>12</v>
      </c>
      <c r="E53" s="7">
        <v>36547.58</v>
      </c>
      <c r="F53" s="5">
        <v>43416</v>
      </c>
      <c r="G53" s="6">
        <v>1</v>
      </c>
      <c r="H53" t="s">
        <v>13</v>
      </c>
      <c r="I53" t="s">
        <v>40</v>
      </c>
    </row>
    <row r="54" spans="1:9" x14ac:dyDescent="0.35">
      <c r="A54" t="s">
        <v>131</v>
      </c>
      <c r="B54" t="s">
        <v>132</v>
      </c>
      <c r="C54" t="s">
        <v>88</v>
      </c>
      <c r="D54" t="s">
        <v>12</v>
      </c>
      <c r="E54" s="7">
        <v>36547.58</v>
      </c>
      <c r="F54" s="5">
        <v>43416</v>
      </c>
      <c r="G54" s="6">
        <v>1</v>
      </c>
      <c r="H54" t="s">
        <v>13</v>
      </c>
      <c r="I54" t="s">
        <v>40</v>
      </c>
    </row>
    <row r="55" spans="1:9" x14ac:dyDescent="0.35">
      <c r="A55" t="s">
        <v>133</v>
      </c>
      <c r="B55" t="s">
        <v>134</v>
      </c>
      <c r="C55" t="s">
        <v>88</v>
      </c>
      <c r="D55" t="s">
        <v>12</v>
      </c>
      <c r="E55" s="7">
        <v>35936.31</v>
      </c>
      <c r="F55" s="5">
        <v>43241</v>
      </c>
      <c r="G55" s="6">
        <v>1</v>
      </c>
      <c r="H55" t="s">
        <v>13</v>
      </c>
      <c r="I55" t="s">
        <v>109</v>
      </c>
    </row>
    <row r="56" spans="1:9" x14ac:dyDescent="0.35">
      <c r="A56" t="s">
        <v>135</v>
      </c>
      <c r="B56" t="s">
        <v>136</v>
      </c>
      <c r="C56" t="s">
        <v>88</v>
      </c>
      <c r="D56" t="s">
        <v>51</v>
      </c>
      <c r="E56" s="7">
        <v>32192.15</v>
      </c>
      <c r="F56" s="5">
        <v>44473</v>
      </c>
      <c r="G56" s="6">
        <v>1</v>
      </c>
      <c r="H56" t="s">
        <v>13</v>
      </c>
      <c r="I56" t="s">
        <v>19</v>
      </c>
    </row>
    <row r="57" spans="1:9" x14ac:dyDescent="0.35">
      <c r="A57" t="s">
        <v>137</v>
      </c>
      <c r="B57" t="s">
        <v>138</v>
      </c>
      <c r="C57" t="s">
        <v>88</v>
      </c>
      <c r="D57" t="s">
        <v>69</v>
      </c>
      <c r="E57" s="7">
        <v>29774.76</v>
      </c>
      <c r="F57" s="5">
        <v>44105</v>
      </c>
      <c r="G57" s="6">
        <v>1</v>
      </c>
      <c r="H57" t="s">
        <v>13</v>
      </c>
      <c r="I57" t="s">
        <v>14</v>
      </c>
    </row>
    <row r="58" spans="1:9" x14ac:dyDescent="0.35">
      <c r="A58" t="s">
        <v>139</v>
      </c>
      <c r="B58" t="s">
        <v>140</v>
      </c>
      <c r="D58" t="s">
        <v>54</v>
      </c>
      <c r="E58" s="7">
        <v>104802.63</v>
      </c>
      <c r="F58" s="5">
        <v>44502</v>
      </c>
      <c r="G58" s="6">
        <v>1</v>
      </c>
      <c r="H58" t="s">
        <v>13</v>
      </c>
      <c r="I58" t="s">
        <v>19</v>
      </c>
    </row>
    <row r="59" spans="1:9" x14ac:dyDescent="0.35">
      <c r="E59" s="4"/>
    </row>
  </sheetData>
  <conditionalFormatting sqref="A1">
    <cfRule type="duplicateValues" dxfId="14"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F57D-62C2-46EF-AEBD-14579EF775B2}">
  <dimension ref="A1:G94"/>
  <sheetViews>
    <sheetView workbookViewId="0">
      <selection activeCell="G18" sqref="A2:G94"/>
    </sheetView>
  </sheetViews>
  <sheetFormatPr defaultRowHeight="18" x14ac:dyDescent="0.35"/>
  <cols>
    <col min="1" max="1" width="2.75" bestFit="1" customWidth="1"/>
    <col min="2" max="2" width="16.33203125" bestFit="1" customWidth="1"/>
    <col min="3" max="5" width="2.75" bestFit="1" customWidth="1"/>
    <col min="6" max="6" width="3.75" bestFit="1" customWidth="1"/>
    <col min="7" max="7" width="5.25" bestFit="1" customWidth="1"/>
  </cols>
  <sheetData>
    <row r="1" spans="1:7" x14ac:dyDescent="0.35">
      <c r="A1" s="11" t="s">
        <v>141</v>
      </c>
      <c r="B1" s="12" t="s">
        <v>142</v>
      </c>
      <c r="C1" s="12" t="s">
        <v>143</v>
      </c>
      <c r="D1" s="12" t="s">
        <v>144</v>
      </c>
      <c r="E1" s="12" t="s">
        <v>145</v>
      </c>
      <c r="F1" s="12" t="s">
        <v>146</v>
      </c>
      <c r="G1" s="13" t="s">
        <v>147</v>
      </c>
    </row>
    <row r="2" spans="1:7" x14ac:dyDescent="0.35">
      <c r="A2" s="10">
        <v>1</v>
      </c>
      <c r="B2" s="9" t="s">
        <v>148</v>
      </c>
      <c r="C2" s="8">
        <v>39</v>
      </c>
      <c r="D2" s="8">
        <v>41</v>
      </c>
      <c r="E2" s="8">
        <v>33</v>
      </c>
      <c r="F2" s="8">
        <v>113</v>
      </c>
      <c r="G2" s="17">
        <v>0.34513274336283201</v>
      </c>
    </row>
    <row r="3" spans="1:7" x14ac:dyDescent="0.35">
      <c r="A3" s="10">
        <v>2</v>
      </c>
      <c r="B3" s="9" t="s">
        <v>149</v>
      </c>
      <c r="C3" s="8">
        <v>38</v>
      </c>
      <c r="D3" s="8">
        <v>32</v>
      </c>
      <c r="E3" s="8">
        <v>19</v>
      </c>
      <c r="F3" s="8">
        <v>89</v>
      </c>
      <c r="G3" s="17">
        <v>0.426966292134831</v>
      </c>
    </row>
    <row r="4" spans="1:7" x14ac:dyDescent="0.35">
      <c r="A4" s="10">
        <v>3</v>
      </c>
      <c r="B4" s="9" t="s">
        <v>150</v>
      </c>
      <c r="C4" s="8">
        <v>27</v>
      </c>
      <c r="D4" s="8">
        <v>14</v>
      </c>
      <c r="E4" s="8">
        <v>17</v>
      </c>
      <c r="F4" s="8">
        <v>58</v>
      </c>
      <c r="G4" s="17">
        <v>0.46551724137931</v>
      </c>
    </row>
    <row r="5" spans="1:7" x14ac:dyDescent="0.35">
      <c r="A5" s="10">
        <v>4</v>
      </c>
      <c r="B5" s="9" t="s">
        <v>151</v>
      </c>
      <c r="C5" s="8">
        <v>22</v>
      </c>
      <c r="D5" s="8">
        <v>20</v>
      </c>
      <c r="E5" s="8">
        <v>22</v>
      </c>
      <c r="F5" s="8">
        <v>64</v>
      </c>
      <c r="G5" s="17">
        <v>0.34375</v>
      </c>
    </row>
    <row r="6" spans="1:7" x14ac:dyDescent="0.35">
      <c r="A6" s="10">
        <v>5</v>
      </c>
      <c r="B6" s="9" t="s">
        <v>152</v>
      </c>
      <c r="C6" s="8">
        <v>20</v>
      </c>
      <c r="D6" s="8">
        <v>28</v>
      </c>
      <c r="E6" s="8">
        <v>23</v>
      </c>
      <c r="F6" s="8">
        <v>71</v>
      </c>
      <c r="G6" s="17">
        <v>0.28169014084506999</v>
      </c>
    </row>
    <row r="7" spans="1:7" x14ac:dyDescent="0.35">
      <c r="A7" s="10">
        <v>6</v>
      </c>
      <c r="B7" s="9" t="s">
        <v>153</v>
      </c>
      <c r="C7" s="8">
        <v>17</v>
      </c>
      <c r="D7" s="8">
        <v>7</v>
      </c>
      <c r="E7" s="8">
        <v>22</v>
      </c>
      <c r="F7" s="8">
        <v>46</v>
      </c>
      <c r="G7" s="17">
        <v>0.36956521739130399</v>
      </c>
    </row>
    <row r="8" spans="1:7" x14ac:dyDescent="0.35">
      <c r="A8" s="10">
        <v>7</v>
      </c>
      <c r="B8" s="9" t="s">
        <v>154</v>
      </c>
      <c r="C8" s="8">
        <v>10</v>
      </c>
      <c r="D8" s="8">
        <v>12</v>
      </c>
      <c r="E8" s="8">
        <v>14</v>
      </c>
      <c r="F8" s="8">
        <v>36</v>
      </c>
      <c r="G8" s="17">
        <v>0.27777777777777801</v>
      </c>
    </row>
    <row r="9" spans="1:7" x14ac:dyDescent="0.35">
      <c r="A9" s="10">
        <v>8</v>
      </c>
      <c r="B9" s="9" t="s">
        <v>155</v>
      </c>
      <c r="C9" s="8">
        <v>10</v>
      </c>
      <c r="D9" s="8">
        <v>12</v>
      </c>
      <c r="E9" s="8">
        <v>11</v>
      </c>
      <c r="F9" s="8">
        <v>33</v>
      </c>
      <c r="G9" s="17">
        <v>0.30303030303030298</v>
      </c>
    </row>
    <row r="10" spans="1:7" x14ac:dyDescent="0.35">
      <c r="A10" s="10">
        <v>9</v>
      </c>
      <c r="B10" s="9" t="s">
        <v>156</v>
      </c>
      <c r="C10" s="8">
        <v>10</v>
      </c>
      <c r="D10" s="8">
        <v>11</v>
      </c>
      <c r="E10" s="8">
        <v>16</v>
      </c>
      <c r="F10" s="8">
        <v>37</v>
      </c>
      <c r="G10" s="17">
        <v>0.27027027027027001</v>
      </c>
    </row>
    <row r="11" spans="1:7" x14ac:dyDescent="0.35">
      <c r="A11" s="10">
        <v>10</v>
      </c>
      <c r="B11" s="9" t="s">
        <v>157</v>
      </c>
      <c r="C11" s="8">
        <v>10</v>
      </c>
      <c r="D11" s="8">
        <v>10</v>
      </c>
      <c r="E11" s="8">
        <v>20</v>
      </c>
      <c r="F11" s="8">
        <v>40</v>
      </c>
      <c r="G11" s="17">
        <v>0.25</v>
      </c>
    </row>
    <row r="12" spans="1:7" x14ac:dyDescent="0.35">
      <c r="A12" s="10">
        <v>11</v>
      </c>
      <c r="B12" s="9" t="s">
        <v>158</v>
      </c>
      <c r="C12" s="8">
        <v>7</v>
      </c>
      <c r="D12" s="8">
        <v>7</v>
      </c>
      <c r="E12" s="8">
        <v>10</v>
      </c>
      <c r="F12" s="8">
        <v>24</v>
      </c>
      <c r="G12" s="17">
        <v>0.29166666666666702</v>
      </c>
    </row>
    <row r="13" spans="1:7" x14ac:dyDescent="0.35">
      <c r="A13" s="10">
        <v>12</v>
      </c>
      <c r="B13" s="9" t="s">
        <v>159</v>
      </c>
      <c r="C13" s="8">
        <v>7</v>
      </c>
      <c r="D13" s="8">
        <v>6</v>
      </c>
      <c r="E13" s="8">
        <v>8</v>
      </c>
      <c r="F13" s="8">
        <v>21</v>
      </c>
      <c r="G13" s="17">
        <v>0.33333333333333298</v>
      </c>
    </row>
    <row r="14" spans="1:7" x14ac:dyDescent="0.35">
      <c r="A14" s="10">
        <v>13</v>
      </c>
      <c r="B14" s="9" t="s">
        <v>160</v>
      </c>
      <c r="C14" s="8">
        <v>7</v>
      </c>
      <c r="D14" s="8">
        <v>6</v>
      </c>
      <c r="E14" s="8">
        <v>7</v>
      </c>
      <c r="F14" s="8">
        <v>20</v>
      </c>
      <c r="G14" s="17">
        <v>0.35</v>
      </c>
    </row>
    <row r="15" spans="1:7" x14ac:dyDescent="0.35">
      <c r="A15" s="10">
        <v>14</v>
      </c>
      <c r="B15" s="9" t="s">
        <v>161</v>
      </c>
      <c r="C15" s="8">
        <v>7</v>
      </c>
      <c r="D15" s="8">
        <v>3</v>
      </c>
      <c r="E15" s="8">
        <v>5</v>
      </c>
      <c r="F15" s="8">
        <v>15</v>
      </c>
      <c r="G15" s="17">
        <v>0.46666666666666701</v>
      </c>
    </row>
    <row r="16" spans="1:7" x14ac:dyDescent="0.35">
      <c r="A16" s="10">
        <v>15</v>
      </c>
      <c r="B16" s="9" t="s">
        <v>162</v>
      </c>
      <c r="C16" s="8">
        <v>6</v>
      </c>
      <c r="D16" s="8">
        <v>7</v>
      </c>
      <c r="E16" s="8">
        <v>7</v>
      </c>
      <c r="F16" s="8">
        <v>20</v>
      </c>
      <c r="G16" s="17">
        <v>0.3</v>
      </c>
    </row>
    <row r="17" spans="1:7" x14ac:dyDescent="0.35">
      <c r="A17" s="10">
        <v>16</v>
      </c>
      <c r="B17" s="9" t="s">
        <v>163</v>
      </c>
      <c r="C17" s="8">
        <v>6</v>
      </c>
      <c r="D17" s="8">
        <v>4</v>
      </c>
      <c r="E17" s="8">
        <v>10</v>
      </c>
      <c r="F17" s="8">
        <v>20</v>
      </c>
      <c r="G17" s="17">
        <v>0.3</v>
      </c>
    </row>
    <row r="18" spans="1:7" x14ac:dyDescent="0.35">
      <c r="A18" s="10">
        <v>17</v>
      </c>
      <c r="B18" s="9" t="s">
        <v>164</v>
      </c>
      <c r="C18" s="8">
        <v>4</v>
      </c>
      <c r="D18" s="8">
        <v>5</v>
      </c>
      <c r="E18" s="8">
        <v>5</v>
      </c>
      <c r="F18" s="8">
        <v>14</v>
      </c>
      <c r="G18" s="17">
        <v>0.28571428571428598</v>
      </c>
    </row>
    <row r="19" spans="1:7" x14ac:dyDescent="0.35">
      <c r="A19" s="10">
        <v>18</v>
      </c>
      <c r="B19" s="9" t="s">
        <v>165</v>
      </c>
      <c r="C19" s="8">
        <v>4</v>
      </c>
      <c r="D19" s="8">
        <v>4</v>
      </c>
      <c r="E19" s="8">
        <v>3</v>
      </c>
      <c r="F19" s="8">
        <v>11</v>
      </c>
      <c r="G19" s="17">
        <v>0.36363636363636398</v>
      </c>
    </row>
    <row r="20" spans="1:7" x14ac:dyDescent="0.35">
      <c r="A20" s="10">
        <v>19</v>
      </c>
      <c r="B20" s="9" t="s">
        <v>166</v>
      </c>
      <c r="C20" s="8">
        <v>4</v>
      </c>
      <c r="D20" s="8">
        <v>4</v>
      </c>
      <c r="E20" s="8">
        <v>2</v>
      </c>
      <c r="F20" s="8">
        <v>10</v>
      </c>
      <c r="G20" s="17">
        <v>0.4</v>
      </c>
    </row>
    <row r="21" spans="1:7" x14ac:dyDescent="0.35">
      <c r="A21" s="10">
        <v>20</v>
      </c>
      <c r="B21" s="9" t="s">
        <v>167</v>
      </c>
      <c r="C21" s="8">
        <v>4</v>
      </c>
      <c r="D21" s="8">
        <v>2</v>
      </c>
      <c r="E21" s="8">
        <v>2</v>
      </c>
      <c r="F21" s="8">
        <v>8</v>
      </c>
      <c r="G21" s="17">
        <v>0.5</v>
      </c>
    </row>
    <row r="22" spans="1:7" x14ac:dyDescent="0.35">
      <c r="A22" s="10">
        <v>21</v>
      </c>
      <c r="B22" s="9" t="s">
        <v>168</v>
      </c>
      <c r="C22" s="8">
        <v>4</v>
      </c>
      <c r="D22" s="8">
        <v>1</v>
      </c>
      <c r="E22" s="8">
        <v>4</v>
      </c>
      <c r="F22" s="8">
        <v>9</v>
      </c>
      <c r="G22" s="17">
        <v>0.44444444444444398</v>
      </c>
    </row>
    <row r="23" spans="1:7" x14ac:dyDescent="0.35">
      <c r="A23" s="10">
        <v>22</v>
      </c>
      <c r="B23" s="9" t="s">
        <v>169</v>
      </c>
      <c r="C23" s="8">
        <v>3</v>
      </c>
      <c r="D23" s="8">
        <v>8</v>
      </c>
      <c r="E23" s="8">
        <v>6</v>
      </c>
      <c r="F23" s="8">
        <v>17</v>
      </c>
      <c r="G23" s="17">
        <v>0.17647058823529399</v>
      </c>
    </row>
    <row r="24" spans="1:7" x14ac:dyDescent="0.35">
      <c r="A24" s="10">
        <v>23</v>
      </c>
      <c r="B24" s="9" t="s">
        <v>170</v>
      </c>
      <c r="C24" s="8">
        <v>3</v>
      </c>
      <c r="D24" s="8">
        <v>6</v>
      </c>
      <c r="E24" s="8">
        <v>0</v>
      </c>
      <c r="F24" s="8">
        <v>9</v>
      </c>
      <c r="G24" s="17">
        <v>0.33333333333333298</v>
      </c>
    </row>
    <row r="25" spans="1:7" x14ac:dyDescent="0.35">
      <c r="A25" s="10">
        <v>24</v>
      </c>
      <c r="B25" s="9" t="s">
        <v>171</v>
      </c>
      <c r="C25" s="8">
        <v>3</v>
      </c>
      <c r="D25" s="8">
        <v>4</v>
      </c>
      <c r="E25" s="8">
        <v>6</v>
      </c>
      <c r="F25" s="8">
        <v>13</v>
      </c>
      <c r="G25" s="17">
        <v>0.230769230769231</v>
      </c>
    </row>
    <row r="26" spans="1:7" x14ac:dyDescent="0.35">
      <c r="A26" s="10">
        <v>25</v>
      </c>
      <c r="B26" s="9" t="s">
        <v>172</v>
      </c>
      <c r="C26" s="8">
        <v>3</v>
      </c>
      <c r="D26" s="8">
        <v>4</v>
      </c>
      <c r="E26" s="8">
        <v>4</v>
      </c>
      <c r="F26" s="8">
        <v>11</v>
      </c>
      <c r="G26" s="17">
        <v>0.27272727272727298</v>
      </c>
    </row>
    <row r="27" spans="1:7" x14ac:dyDescent="0.35">
      <c r="A27" s="10">
        <v>26</v>
      </c>
      <c r="B27" s="9" t="s">
        <v>173</v>
      </c>
      <c r="C27" s="8">
        <v>3</v>
      </c>
      <c r="D27" s="8">
        <v>3</v>
      </c>
      <c r="E27" s="8">
        <v>3</v>
      </c>
      <c r="F27" s="8">
        <v>9</v>
      </c>
      <c r="G27" s="17">
        <v>0.33333333333333298</v>
      </c>
    </row>
    <row r="28" spans="1:7" x14ac:dyDescent="0.35">
      <c r="A28" s="10">
        <v>27</v>
      </c>
      <c r="B28" s="9" t="s">
        <v>174</v>
      </c>
      <c r="C28" s="8">
        <v>3</v>
      </c>
      <c r="D28" s="8">
        <v>2</v>
      </c>
      <c r="E28" s="8">
        <v>2</v>
      </c>
      <c r="F28" s="8">
        <v>7</v>
      </c>
      <c r="G28" s="17">
        <v>0.42857142857142899</v>
      </c>
    </row>
    <row r="29" spans="1:7" x14ac:dyDescent="0.35">
      <c r="A29" s="10">
        <v>28</v>
      </c>
      <c r="B29" s="9" t="s">
        <v>175</v>
      </c>
      <c r="C29" s="8">
        <v>3</v>
      </c>
      <c r="D29" s="8">
        <v>1</v>
      </c>
      <c r="E29" s="8">
        <v>4</v>
      </c>
      <c r="F29" s="8">
        <v>8</v>
      </c>
      <c r="G29" s="17">
        <v>0.375</v>
      </c>
    </row>
    <row r="30" spans="1:7" x14ac:dyDescent="0.35">
      <c r="A30" s="10">
        <v>29</v>
      </c>
      <c r="B30" s="9" t="s">
        <v>176</v>
      </c>
      <c r="C30" s="8">
        <v>3</v>
      </c>
      <c r="D30" s="8">
        <v>1</v>
      </c>
      <c r="E30" s="8">
        <v>3</v>
      </c>
      <c r="F30" s="8">
        <v>7</v>
      </c>
      <c r="G30" s="17">
        <v>0.42857142857142899</v>
      </c>
    </row>
    <row r="31" spans="1:7" x14ac:dyDescent="0.35">
      <c r="A31" s="10">
        <v>30</v>
      </c>
      <c r="B31" s="9" t="s">
        <v>177</v>
      </c>
      <c r="C31" s="8">
        <v>3</v>
      </c>
      <c r="D31" s="8">
        <v>1</v>
      </c>
      <c r="E31" s="8">
        <v>2</v>
      </c>
      <c r="F31" s="8">
        <v>6</v>
      </c>
      <c r="G31" s="17">
        <v>0.5</v>
      </c>
    </row>
    <row r="32" spans="1:7" x14ac:dyDescent="0.35">
      <c r="A32" s="10">
        <v>31</v>
      </c>
      <c r="B32" s="9" t="s">
        <v>178</v>
      </c>
      <c r="C32" s="8">
        <v>3</v>
      </c>
      <c r="D32" s="8">
        <v>1</v>
      </c>
      <c r="E32" s="8">
        <v>1</v>
      </c>
      <c r="F32" s="8">
        <v>5</v>
      </c>
      <c r="G32" s="17">
        <v>0.6</v>
      </c>
    </row>
    <row r="33" spans="1:7" x14ac:dyDescent="0.35">
      <c r="A33" s="10">
        <v>32</v>
      </c>
      <c r="B33" s="9" t="s">
        <v>179</v>
      </c>
      <c r="C33" s="8">
        <v>3</v>
      </c>
      <c r="D33" s="8">
        <v>0</v>
      </c>
      <c r="E33" s="8">
        <v>2</v>
      </c>
      <c r="F33" s="8">
        <v>5</v>
      </c>
      <c r="G33" s="17">
        <v>0.6</v>
      </c>
    </row>
    <row r="34" spans="1:7" x14ac:dyDescent="0.35">
      <c r="A34" s="10">
        <v>33</v>
      </c>
      <c r="B34" s="9" t="s">
        <v>180</v>
      </c>
      <c r="C34" s="8">
        <v>2</v>
      </c>
      <c r="D34" s="8">
        <v>5</v>
      </c>
      <c r="E34" s="8">
        <v>1</v>
      </c>
      <c r="F34" s="8">
        <v>8</v>
      </c>
      <c r="G34" s="17">
        <v>0.25</v>
      </c>
    </row>
    <row r="35" spans="1:7" x14ac:dyDescent="0.35">
      <c r="A35" s="10">
        <v>34</v>
      </c>
      <c r="B35" s="9" t="s">
        <v>181</v>
      </c>
      <c r="C35" s="8">
        <v>2</v>
      </c>
      <c r="D35" s="8">
        <v>4</v>
      </c>
      <c r="E35" s="8">
        <v>6</v>
      </c>
      <c r="F35" s="8">
        <v>12</v>
      </c>
      <c r="G35" s="17">
        <v>0.16666666666666699</v>
      </c>
    </row>
    <row r="36" spans="1:7" x14ac:dyDescent="0.35">
      <c r="A36" s="10">
        <v>35</v>
      </c>
      <c r="B36" s="9" t="s">
        <v>182</v>
      </c>
      <c r="C36" s="8">
        <v>2</v>
      </c>
      <c r="D36" s="8">
        <v>2</v>
      </c>
      <c r="E36" s="8">
        <v>9</v>
      </c>
      <c r="F36" s="8">
        <v>13</v>
      </c>
      <c r="G36" s="17">
        <v>0.15384615384615399</v>
      </c>
    </row>
    <row r="37" spans="1:7" x14ac:dyDescent="0.35">
      <c r="A37" s="10">
        <v>36</v>
      </c>
      <c r="B37" s="9" t="s">
        <v>183</v>
      </c>
      <c r="C37" s="8">
        <v>2</v>
      </c>
      <c r="D37" s="8">
        <v>1</v>
      </c>
      <c r="E37" s="8">
        <v>1</v>
      </c>
      <c r="F37" s="8">
        <v>4</v>
      </c>
      <c r="G37" s="17">
        <v>0.5</v>
      </c>
    </row>
    <row r="38" spans="1:7" x14ac:dyDescent="0.35">
      <c r="A38" s="10">
        <v>36</v>
      </c>
      <c r="B38" s="9" t="s">
        <v>184</v>
      </c>
      <c r="C38" s="8">
        <v>2</v>
      </c>
      <c r="D38" s="8">
        <v>1</v>
      </c>
      <c r="E38" s="8">
        <v>1</v>
      </c>
      <c r="F38" s="8">
        <v>4</v>
      </c>
      <c r="G38" s="17">
        <v>0.5</v>
      </c>
    </row>
    <row r="39" spans="1:7" x14ac:dyDescent="0.35">
      <c r="A39" s="10">
        <v>38</v>
      </c>
      <c r="B39" s="9" t="s">
        <v>185</v>
      </c>
      <c r="C39" s="8">
        <v>2</v>
      </c>
      <c r="D39" s="8">
        <v>1</v>
      </c>
      <c r="E39" s="8">
        <v>0</v>
      </c>
      <c r="F39" s="8">
        <v>3</v>
      </c>
      <c r="G39" s="17">
        <v>0.66666666666666696</v>
      </c>
    </row>
    <row r="40" spans="1:7" x14ac:dyDescent="0.35">
      <c r="A40" s="10">
        <v>39</v>
      </c>
      <c r="B40" s="9" t="s">
        <v>186</v>
      </c>
      <c r="C40" s="8">
        <v>2</v>
      </c>
      <c r="D40" s="8">
        <v>0</v>
      </c>
      <c r="E40" s="8">
        <v>2</v>
      </c>
      <c r="F40" s="8">
        <v>4</v>
      </c>
      <c r="G40" s="17">
        <v>0.5</v>
      </c>
    </row>
    <row r="41" spans="1:7" x14ac:dyDescent="0.35">
      <c r="A41" s="10">
        <v>39</v>
      </c>
      <c r="B41" s="9" t="s">
        <v>187</v>
      </c>
      <c r="C41" s="8">
        <v>2</v>
      </c>
      <c r="D41" s="8">
        <v>0</v>
      </c>
      <c r="E41" s="8">
        <v>2</v>
      </c>
      <c r="F41" s="8">
        <v>4</v>
      </c>
      <c r="G41" s="17">
        <v>0.5</v>
      </c>
    </row>
    <row r="42" spans="1:7" x14ac:dyDescent="0.35">
      <c r="A42" s="10">
        <v>41</v>
      </c>
      <c r="B42" s="9" t="s">
        <v>188</v>
      </c>
      <c r="C42" s="8">
        <v>2</v>
      </c>
      <c r="D42" s="8">
        <v>0</v>
      </c>
      <c r="E42" s="8">
        <v>1</v>
      </c>
      <c r="F42" s="8">
        <v>3</v>
      </c>
      <c r="G42" s="17">
        <v>0.66666666666666696</v>
      </c>
    </row>
    <row r="43" spans="1:7" x14ac:dyDescent="0.35">
      <c r="A43" s="10">
        <v>42</v>
      </c>
      <c r="B43" s="9" t="s">
        <v>189</v>
      </c>
      <c r="C43" s="8">
        <v>2</v>
      </c>
      <c r="D43" s="8">
        <v>0</v>
      </c>
      <c r="E43" s="8">
        <v>0</v>
      </c>
      <c r="F43" s="8">
        <v>2</v>
      </c>
      <c r="G43" s="17">
        <v>1</v>
      </c>
    </row>
    <row r="44" spans="1:7" x14ac:dyDescent="0.35">
      <c r="A44" s="10">
        <v>42</v>
      </c>
      <c r="B44" s="9" t="s">
        <v>190</v>
      </c>
      <c r="C44" s="8">
        <v>2</v>
      </c>
      <c r="D44" s="8">
        <v>0</v>
      </c>
      <c r="E44" s="8">
        <v>0</v>
      </c>
      <c r="F44" s="8">
        <v>2</v>
      </c>
      <c r="G44" s="17">
        <v>1</v>
      </c>
    </row>
    <row r="45" spans="1:7" x14ac:dyDescent="0.35">
      <c r="A45" s="10">
        <v>44</v>
      </c>
      <c r="B45" s="9" t="s">
        <v>191</v>
      </c>
      <c r="C45" s="8">
        <v>1</v>
      </c>
      <c r="D45" s="8">
        <v>6</v>
      </c>
      <c r="E45" s="8">
        <v>12</v>
      </c>
      <c r="F45" s="8">
        <v>19</v>
      </c>
      <c r="G45" s="17">
        <v>5.2631578947368397E-2</v>
      </c>
    </row>
    <row r="46" spans="1:7" x14ac:dyDescent="0.35">
      <c r="A46" s="10">
        <v>45</v>
      </c>
      <c r="B46" s="9" t="s">
        <v>192</v>
      </c>
      <c r="C46" s="8">
        <v>1</v>
      </c>
      <c r="D46" s="8">
        <v>3</v>
      </c>
      <c r="E46" s="8">
        <v>3</v>
      </c>
      <c r="F46" s="8">
        <v>7</v>
      </c>
      <c r="G46" s="17">
        <v>0.14285714285714299</v>
      </c>
    </row>
    <row r="47" spans="1:7" x14ac:dyDescent="0.35">
      <c r="A47" s="10">
        <v>46</v>
      </c>
      <c r="B47" s="9" t="s">
        <v>193</v>
      </c>
      <c r="C47" s="8">
        <v>1</v>
      </c>
      <c r="D47" s="8">
        <v>3</v>
      </c>
      <c r="E47" s="8">
        <v>0</v>
      </c>
      <c r="F47" s="8">
        <v>4</v>
      </c>
      <c r="G47" s="17">
        <v>0.25</v>
      </c>
    </row>
    <row r="48" spans="1:7" x14ac:dyDescent="0.35">
      <c r="A48" s="10">
        <v>46</v>
      </c>
      <c r="B48" s="9" t="s">
        <v>194</v>
      </c>
      <c r="C48" s="8">
        <v>1</v>
      </c>
      <c r="D48" s="8">
        <v>3</v>
      </c>
      <c r="E48" s="8">
        <v>0</v>
      </c>
      <c r="F48" s="8">
        <v>4</v>
      </c>
      <c r="G48" s="17">
        <v>0.25</v>
      </c>
    </row>
    <row r="49" spans="1:7" x14ac:dyDescent="0.35">
      <c r="A49" s="10">
        <v>48</v>
      </c>
      <c r="B49" s="9" t="s">
        <v>195</v>
      </c>
      <c r="C49" s="8">
        <v>1</v>
      </c>
      <c r="D49" s="8">
        <v>2</v>
      </c>
      <c r="E49" s="8">
        <v>4</v>
      </c>
      <c r="F49" s="8">
        <v>7</v>
      </c>
      <c r="G49" s="17">
        <v>0.14285714285714299</v>
      </c>
    </row>
    <row r="50" spans="1:7" x14ac:dyDescent="0.35">
      <c r="A50" s="10">
        <v>49</v>
      </c>
      <c r="B50" s="9" t="s">
        <v>196</v>
      </c>
      <c r="C50" s="8">
        <v>1</v>
      </c>
      <c r="D50" s="8">
        <v>2</v>
      </c>
      <c r="E50" s="8">
        <v>3</v>
      </c>
      <c r="F50" s="8">
        <v>6</v>
      </c>
      <c r="G50" s="17">
        <v>0.16666666666666699</v>
      </c>
    </row>
    <row r="51" spans="1:7" x14ac:dyDescent="0.35">
      <c r="A51" s="10">
        <v>50</v>
      </c>
      <c r="B51" s="9" t="s">
        <v>197</v>
      </c>
      <c r="C51" s="8">
        <v>1</v>
      </c>
      <c r="D51" s="8">
        <v>2</v>
      </c>
      <c r="E51" s="8">
        <v>1</v>
      </c>
      <c r="F51" s="8">
        <v>4</v>
      </c>
      <c r="G51" s="17">
        <v>0.25</v>
      </c>
    </row>
    <row r="52" spans="1:7" x14ac:dyDescent="0.35">
      <c r="A52" s="10">
        <v>50</v>
      </c>
      <c r="B52" s="9" t="s">
        <v>198</v>
      </c>
      <c r="C52" s="8">
        <v>1</v>
      </c>
      <c r="D52" s="8">
        <v>2</v>
      </c>
      <c r="E52" s="8">
        <v>1</v>
      </c>
      <c r="F52" s="8">
        <v>4</v>
      </c>
      <c r="G52" s="17">
        <v>0.25</v>
      </c>
    </row>
    <row r="53" spans="1:7" x14ac:dyDescent="0.35">
      <c r="A53" s="10">
        <v>52</v>
      </c>
      <c r="B53" s="9" t="s">
        <v>199</v>
      </c>
      <c r="C53" s="8">
        <v>1</v>
      </c>
      <c r="D53" s="8">
        <v>2</v>
      </c>
      <c r="E53" s="8">
        <v>0</v>
      </c>
      <c r="F53" s="8">
        <v>3</v>
      </c>
      <c r="G53" s="17">
        <v>0.33333333333333298</v>
      </c>
    </row>
    <row r="54" spans="1:7" x14ac:dyDescent="0.35">
      <c r="A54" s="10">
        <v>53</v>
      </c>
      <c r="B54" s="9" t="s">
        <v>200</v>
      </c>
      <c r="C54" s="8">
        <v>1</v>
      </c>
      <c r="D54" s="8">
        <v>1</v>
      </c>
      <c r="E54" s="8">
        <v>5</v>
      </c>
      <c r="F54" s="8">
        <v>7</v>
      </c>
      <c r="G54" s="17">
        <v>0.14285714285714299</v>
      </c>
    </row>
    <row r="55" spans="1:7" x14ac:dyDescent="0.35">
      <c r="A55" s="10">
        <v>54</v>
      </c>
      <c r="B55" s="9" t="s">
        <v>201</v>
      </c>
      <c r="C55" s="8">
        <v>1</v>
      </c>
      <c r="D55" s="8">
        <v>1</v>
      </c>
      <c r="E55" s="8">
        <v>4</v>
      </c>
      <c r="F55" s="8">
        <v>6</v>
      </c>
      <c r="G55" s="17">
        <v>0.16666666666666699</v>
      </c>
    </row>
    <row r="56" spans="1:7" x14ac:dyDescent="0.35">
      <c r="A56" s="10">
        <v>55</v>
      </c>
      <c r="B56" s="9" t="s">
        <v>202</v>
      </c>
      <c r="C56" s="8">
        <v>1</v>
      </c>
      <c r="D56" s="8">
        <v>1</v>
      </c>
      <c r="E56" s="8">
        <v>3</v>
      </c>
      <c r="F56" s="8">
        <v>5</v>
      </c>
      <c r="G56" s="17">
        <v>0.2</v>
      </c>
    </row>
    <row r="57" spans="1:7" x14ac:dyDescent="0.35">
      <c r="A57" s="10">
        <v>56</v>
      </c>
      <c r="B57" s="9" t="s">
        <v>203</v>
      </c>
      <c r="C57" s="8">
        <v>1</v>
      </c>
      <c r="D57" s="8">
        <v>1</v>
      </c>
      <c r="E57" s="8">
        <v>2</v>
      </c>
      <c r="F57" s="8">
        <v>4</v>
      </c>
      <c r="G57" s="17">
        <v>0.25</v>
      </c>
    </row>
    <row r="58" spans="1:7" x14ac:dyDescent="0.35">
      <c r="A58" s="10">
        <v>56</v>
      </c>
      <c r="B58" s="9" t="s">
        <v>204</v>
      </c>
      <c r="C58" s="8">
        <v>1</v>
      </c>
      <c r="D58" s="8">
        <v>1</v>
      </c>
      <c r="E58" s="8">
        <v>2</v>
      </c>
      <c r="F58" s="8">
        <v>4</v>
      </c>
      <c r="G58" s="17">
        <v>0.25</v>
      </c>
    </row>
    <row r="59" spans="1:7" x14ac:dyDescent="0.35">
      <c r="A59" s="10">
        <v>58</v>
      </c>
      <c r="B59" s="9" t="s">
        <v>205</v>
      </c>
      <c r="C59" s="8">
        <v>1</v>
      </c>
      <c r="D59" s="8">
        <v>1</v>
      </c>
      <c r="E59" s="8">
        <v>0</v>
      </c>
      <c r="F59" s="8">
        <v>2</v>
      </c>
      <c r="G59" s="17">
        <v>0.5</v>
      </c>
    </row>
    <row r="60" spans="1:7" x14ac:dyDescent="0.35">
      <c r="A60" s="10">
        <v>59</v>
      </c>
      <c r="B60" s="9" t="s">
        <v>206</v>
      </c>
      <c r="C60" s="8">
        <v>1</v>
      </c>
      <c r="D60" s="8">
        <v>0</v>
      </c>
      <c r="E60" s="8">
        <v>1</v>
      </c>
      <c r="F60" s="8">
        <v>2</v>
      </c>
      <c r="G60" s="17">
        <v>0.5</v>
      </c>
    </row>
    <row r="61" spans="1:7" x14ac:dyDescent="0.35">
      <c r="A61" s="10">
        <v>59</v>
      </c>
      <c r="B61" s="9" t="s">
        <v>207</v>
      </c>
      <c r="C61" s="8">
        <v>1</v>
      </c>
      <c r="D61" s="8">
        <v>0</v>
      </c>
      <c r="E61" s="8">
        <v>1</v>
      </c>
      <c r="F61" s="8">
        <v>2</v>
      </c>
      <c r="G61" s="17">
        <v>0.5</v>
      </c>
    </row>
    <row r="62" spans="1:7" x14ac:dyDescent="0.35">
      <c r="A62" s="10">
        <v>59</v>
      </c>
      <c r="B62" s="9" t="s">
        <v>208</v>
      </c>
      <c r="C62" s="8">
        <v>1</v>
      </c>
      <c r="D62" s="8">
        <v>0</v>
      </c>
      <c r="E62" s="8">
        <v>1</v>
      </c>
      <c r="F62" s="8">
        <v>2</v>
      </c>
      <c r="G62" s="17">
        <v>0.5</v>
      </c>
    </row>
    <row r="63" spans="1:7" x14ac:dyDescent="0.35">
      <c r="A63" s="10">
        <v>59</v>
      </c>
      <c r="B63" s="9" t="s">
        <v>209</v>
      </c>
      <c r="C63" s="8">
        <v>1</v>
      </c>
      <c r="D63" s="8">
        <v>0</v>
      </c>
      <c r="E63" s="8">
        <v>1</v>
      </c>
      <c r="F63" s="8">
        <v>2</v>
      </c>
      <c r="G63" s="17">
        <v>0.5</v>
      </c>
    </row>
    <row r="64" spans="1:7" x14ac:dyDescent="0.35">
      <c r="A64" s="10">
        <v>63</v>
      </c>
      <c r="B64" s="9" t="s">
        <v>210</v>
      </c>
      <c r="C64" s="8">
        <v>1</v>
      </c>
      <c r="D64" s="8">
        <v>0</v>
      </c>
      <c r="E64" s="8">
        <v>0</v>
      </c>
      <c r="F64" s="8">
        <v>1</v>
      </c>
      <c r="G64" s="17">
        <v>1</v>
      </c>
    </row>
    <row r="65" spans="1:7" x14ac:dyDescent="0.35">
      <c r="A65" s="10">
        <v>63</v>
      </c>
      <c r="B65" s="9" t="s">
        <v>211</v>
      </c>
      <c r="C65" s="8">
        <v>1</v>
      </c>
      <c r="D65" s="8">
        <v>0</v>
      </c>
      <c r="E65" s="8">
        <v>0</v>
      </c>
      <c r="F65" s="8">
        <v>1</v>
      </c>
      <c r="G65" s="17">
        <v>1</v>
      </c>
    </row>
    <row r="66" spans="1:7" x14ac:dyDescent="0.35">
      <c r="A66" s="10">
        <v>63</v>
      </c>
      <c r="B66" s="9" t="s">
        <v>212</v>
      </c>
      <c r="C66" s="8">
        <v>1</v>
      </c>
      <c r="D66" s="8">
        <v>0</v>
      </c>
      <c r="E66" s="8">
        <v>0</v>
      </c>
      <c r="F66" s="8">
        <v>1</v>
      </c>
      <c r="G66" s="17">
        <v>1</v>
      </c>
    </row>
    <row r="67" spans="1:7" x14ac:dyDescent="0.35">
      <c r="A67" s="10">
        <v>66</v>
      </c>
      <c r="B67" s="9" t="s">
        <v>213</v>
      </c>
      <c r="C67" s="8">
        <v>0</v>
      </c>
      <c r="D67" s="8">
        <v>4</v>
      </c>
      <c r="E67" s="8">
        <v>1</v>
      </c>
      <c r="F67" s="8">
        <v>5</v>
      </c>
      <c r="G67" s="17">
        <v>0</v>
      </c>
    </row>
    <row r="68" spans="1:7" x14ac:dyDescent="0.35">
      <c r="A68" s="10">
        <v>67</v>
      </c>
      <c r="B68" s="9" t="s">
        <v>214</v>
      </c>
      <c r="C68" s="8">
        <v>0</v>
      </c>
      <c r="D68" s="8">
        <v>3</v>
      </c>
      <c r="E68" s="8">
        <v>4</v>
      </c>
      <c r="F68" s="8">
        <v>7</v>
      </c>
      <c r="G68" s="17">
        <v>0</v>
      </c>
    </row>
    <row r="69" spans="1:7" x14ac:dyDescent="0.35">
      <c r="A69" s="10">
        <v>68</v>
      </c>
      <c r="B69" s="9" t="s">
        <v>215</v>
      </c>
      <c r="C69" s="8">
        <v>0</v>
      </c>
      <c r="D69" s="8">
        <v>3</v>
      </c>
      <c r="E69" s="8">
        <v>2</v>
      </c>
      <c r="F69" s="8">
        <v>5</v>
      </c>
      <c r="G69" s="17">
        <v>0</v>
      </c>
    </row>
    <row r="70" spans="1:7" x14ac:dyDescent="0.35">
      <c r="A70" s="10">
        <v>69</v>
      </c>
      <c r="B70" s="9" t="s">
        <v>216</v>
      </c>
      <c r="C70" s="8">
        <v>0</v>
      </c>
      <c r="D70" s="8">
        <v>2</v>
      </c>
      <c r="E70" s="8">
        <v>2</v>
      </c>
      <c r="F70" s="8">
        <v>4</v>
      </c>
      <c r="G70" s="17">
        <v>0</v>
      </c>
    </row>
    <row r="71" spans="1:7" x14ac:dyDescent="0.35">
      <c r="A71" s="10">
        <v>70</v>
      </c>
      <c r="B71" s="9" t="s">
        <v>217</v>
      </c>
      <c r="C71" s="8">
        <v>0</v>
      </c>
      <c r="D71" s="8">
        <v>2</v>
      </c>
      <c r="E71" s="8">
        <v>1</v>
      </c>
      <c r="F71" s="8">
        <v>3</v>
      </c>
      <c r="G71" s="17">
        <v>0</v>
      </c>
    </row>
    <row r="72" spans="1:7" x14ac:dyDescent="0.35">
      <c r="A72" s="10">
        <v>71</v>
      </c>
      <c r="B72" s="9" t="s">
        <v>218</v>
      </c>
      <c r="C72" s="8">
        <v>0</v>
      </c>
      <c r="D72" s="8">
        <v>1</v>
      </c>
      <c r="E72" s="8">
        <v>3</v>
      </c>
      <c r="F72" s="8">
        <v>4</v>
      </c>
      <c r="G72" s="17">
        <v>0</v>
      </c>
    </row>
    <row r="73" spans="1:7" x14ac:dyDescent="0.35">
      <c r="A73" s="10">
        <v>72</v>
      </c>
      <c r="B73" s="9" t="s">
        <v>219</v>
      </c>
      <c r="C73" s="8">
        <v>0</v>
      </c>
      <c r="D73" s="8">
        <v>1</v>
      </c>
      <c r="E73" s="8">
        <v>2</v>
      </c>
      <c r="F73" s="8">
        <v>3</v>
      </c>
      <c r="G73" s="17">
        <v>0</v>
      </c>
    </row>
    <row r="74" spans="1:7" x14ac:dyDescent="0.35">
      <c r="A74" s="10">
        <v>72</v>
      </c>
      <c r="B74" s="9" t="s">
        <v>220</v>
      </c>
      <c r="C74" s="8">
        <v>0</v>
      </c>
      <c r="D74" s="8">
        <v>1</v>
      </c>
      <c r="E74" s="8">
        <v>2</v>
      </c>
      <c r="F74" s="8">
        <v>3</v>
      </c>
      <c r="G74" s="17">
        <v>0</v>
      </c>
    </row>
    <row r="75" spans="1:7" x14ac:dyDescent="0.35">
      <c r="A75" s="10">
        <v>74</v>
      </c>
      <c r="B75" s="9" t="s">
        <v>221</v>
      </c>
      <c r="C75" s="8">
        <v>0</v>
      </c>
      <c r="D75" s="8">
        <v>1</v>
      </c>
      <c r="E75" s="8">
        <v>1</v>
      </c>
      <c r="F75" s="8">
        <v>2</v>
      </c>
      <c r="G75" s="17">
        <v>0</v>
      </c>
    </row>
    <row r="76" spans="1:7" x14ac:dyDescent="0.35">
      <c r="A76" s="10">
        <v>74</v>
      </c>
      <c r="B76" s="9" t="s">
        <v>222</v>
      </c>
      <c r="C76" s="8">
        <v>0</v>
      </c>
      <c r="D76" s="8">
        <v>1</v>
      </c>
      <c r="E76" s="8">
        <v>1</v>
      </c>
      <c r="F76" s="8">
        <v>2</v>
      </c>
      <c r="G76" s="17">
        <v>0</v>
      </c>
    </row>
    <row r="77" spans="1:7" x14ac:dyDescent="0.35">
      <c r="A77" s="10">
        <v>74</v>
      </c>
      <c r="B77" s="9" t="s">
        <v>223</v>
      </c>
      <c r="C77" s="8">
        <v>0</v>
      </c>
      <c r="D77" s="8">
        <v>1</v>
      </c>
      <c r="E77" s="8">
        <v>1</v>
      </c>
      <c r="F77" s="8">
        <v>2</v>
      </c>
      <c r="G77" s="17">
        <v>0</v>
      </c>
    </row>
    <row r="78" spans="1:7" x14ac:dyDescent="0.35">
      <c r="A78" s="10">
        <v>77</v>
      </c>
      <c r="B78" s="9" t="s">
        <v>224</v>
      </c>
      <c r="C78" s="8">
        <v>0</v>
      </c>
      <c r="D78" s="8">
        <v>1</v>
      </c>
      <c r="E78" s="8">
        <v>0</v>
      </c>
      <c r="F78" s="8">
        <v>1</v>
      </c>
      <c r="G78" s="17">
        <v>0</v>
      </c>
    </row>
    <row r="79" spans="1:7" x14ac:dyDescent="0.35">
      <c r="A79" s="10">
        <v>77</v>
      </c>
      <c r="B79" s="9" t="s">
        <v>225</v>
      </c>
      <c r="C79" s="8">
        <v>0</v>
      </c>
      <c r="D79" s="8">
        <v>1</v>
      </c>
      <c r="E79" s="8">
        <v>0</v>
      </c>
      <c r="F79" s="8">
        <v>1</v>
      </c>
      <c r="G79" s="17">
        <v>0</v>
      </c>
    </row>
    <row r="80" spans="1:7" x14ac:dyDescent="0.35">
      <c r="A80" s="10">
        <v>77</v>
      </c>
      <c r="B80" s="9" t="s">
        <v>226</v>
      </c>
      <c r="C80" s="8">
        <v>0</v>
      </c>
      <c r="D80" s="8">
        <v>1</v>
      </c>
      <c r="E80" s="8">
        <v>0</v>
      </c>
      <c r="F80" s="8">
        <v>1</v>
      </c>
      <c r="G80" s="17">
        <v>0</v>
      </c>
    </row>
    <row r="81" spans="1:7" x14ac:dyDescent="0.35">
      <c r="A81" s="10">
        <v>77</v>
      </c>
      <c r="B81" s="9" t="s">
        <v>227</v>
      </c>
      <c r="C81" s="8">
        <v>0</v>
      </c>
      <c r="D81" s="8">
        <v>1</v>
      </c>
      <c r="E81" s="8">
        <v>0</v>
      </c>
      <c r="F81" s="8">
        <v>1</v>
      </c>
      <c r="G81" s="17">
        <v>0</v>
      </c>
    </row>
    <row r="82" spans="1:7" x14ac:dyDescent="0.35">
      <c r="A82" s="10">
        <v>77</v>
      </c>
      <c r="B82" s="9" t="s">
        <v>228</v>
      </c>
      <c r="C82" s="8">
        <v>0</v>
      </c>
      <c r="D82" s="8">
        <v>1</v>
      </c>
      <c r="E82" s="8">
        <v>0</v>
      </c>
      <c r="F82" s="8">
        <v>1</v>
      </c>
      <c r="G82" s="17">
        <v>0</v>
      </c>
    </row>
    <row r="83" spans="1:7" x14ac:dyDescent="0.35">
      <c r="A83" s="10">
        <v>77</v>
      </c>
      <c r="B83" s="9" t="s">
        <v>229</v>
      </c>
      <c r="C83" s="8">
        <v>0</v>
      </c>
      <c r="D83" s="8">
        <v>1</v>
      </c>
      <c r="E83" s="8">
        <v>0</v>
      </c>
      <c r="F83" s="8">
        <v>1</v>
      </c>
      <c r="G83" s="17">
        <v>0</v>
      </c>
    </row>
    <row r="84" spans="1:7" x14ac:dyDescent="0.35">
      <c r="A84" s="10">
        <v>83</v>
      </c>
      <c r="B84" s="9" t="s">
        <v>230</v>
      </c>
      <c r="C84" s="8">
        <v>0</v>
      </c>
      <c r="D84" s="8">
        <v>0</v>
      </c>
      <c r="E84" s="8">
        <v>8</v>
      </c>
      <c r="F84" s="8">
        <v>8</v>
      </c>
      <c r="G84" s="17">
        <v>0</v>
      </c>
    </row>
    <row r="85" spans="1:7" x14ac:dyDescent="0.35">
      <c r="A85" s="10">
        <v>84</v>
      </c>
      <c r="B85" s="9" t="s">
        <v>231</v>
      </c>
      <c r="C85" s="8">
        <v>0</v>
      </c>
      <c r="D85" s="8">
        <v>0</v>
      </c>
      <c r="E85" s="8">
        <v>4</v>
      </c>
      <c r="F85" s="8">
        <v>4</v>
      </c>
      <c r="G85" s="17">
        <v>0</v>
      </c>
    </row>
    <row r="86" spans="1:7" x14ac:dyDescent="0.35">
      <c r="A86" s="10">
        <v>85</v>
      </c>
      <c r="B86" s="9" t="s">
        <v>232</v>
      </c>
      <c r="C86" s="8">
        <v>0</v>
      </c>
      <c r="D86" s="8">
        <v>0</v>
      </c>
      <c r="E86" s="8">
        <v>2</v>
      </c>
      <c r="F86" s="8">
        <v>2</v>
      </c>
      <c r="G86" s="17">
        <v>0</v>
      </c>
    </row>
    <row r="87" spans="1:7" x14ac:dyDescent="0.35">
      <c r="A87" s="10">
        <v>86</v>
      </c>
      <c r="B87" s="9" t="s">
        <v>233</v>
      </c>
      <c r="C87" s="8">
        <v>0</v>
      </c>
      <c r="D87" s="8">
        <v>0</v>
      </c>
      <c r="E87" s="8">
        <v>1</v>
      </c>
      <c r="F87" s="8">
        <v>1</v>
      </c>
      <c r="G87" s="17">
        <v>0</v>
      </c>
    </row>
    <row r="88" spans="1:7" x14ac:dyDescent="0.35">
      <c r="A88" s="10">
        <v>86</v>
      </c>
      <c r="B88" s="9" t="s">
        <v>234</v>
      </c>
      <c r="C88" s="8">
        <v>0</v>
      </c>
      <c r="D88" s="8">
        <v>0</v>
      </c>
      <c r="E88" s="8">
        <v>1</v>
      </c>
      <c r="F88" s="8">
        <v>1</v>
      </c>
      <c r="G88" s="17">
        <v>0</v>
      </c>
    </row>
    <row r="89" spans="1:7" x14ac:dyDescent="0.35">
      <c r="A89" s="10">
        <v>86</v>
      </c>
      <c r="B89" s="9" t="s">
        <v>235</v>
      </c>
      <c r="C89" s="8">
        <v>0</v>
      </c>
      <c r="D89" s="8">
        <v>0</v>
      </c>
      <c r="E89" s="8">
        <v>1</v>
      </c>
      <c r="F89" s="8">
        <v>1</v>
      </c>
      <c r="G89" s="17">
        <v>0</v>
      </c>
    </row>
    <row r="90" spans="1:7" x14ac:dyDescent="0.35">
      <c r="A90" s="10">
        <v>86</v>
      </c>
      <c r="B90" s="9" t="s">
        <v>236</v>
      </c>
      <c r="C90" s="8">
        <v>0</v>
      </c>
      <c r="D90" s="8">
        <v>0</v>
      </c>
      <c r="E90" s="8">
        <v>1</v>
      </c>
      <c r="F90" s="8">
        <v>1</v>
      </c>
      <c r="G90" s="17">
        <v>0</v>
      </c>
    </row>
    <row r="91" spans="1:7" x14ac:dyDescent="0.35">
      <c r="A91" s="10">
        <v>86</v>
      </c>
      <c r="B91" s="9" t="s">
        <v>237</v>
      </c>
      <c r="C91" s="8">
        <v>0</v>
      </c>
      <c r="D91" s="8">
        <v>0</v>
      </c>
      <c r="E91" s="8">
        <v>1</v>
      </c>
      <c r="F91" s="8">
        <v>1</v>
      </c>
      <c r="G91" s="17">
        <v>0</v>
      </c>
    </row>
    <row r="92" spans="1:7" x14ac:dyDescent="0.35">
      <c r="A92" s="10">
        <v>86</v>
      </c>
      <c r="B92" s="9" t="s">
        <v>238</v>
      </c>
      <c r="C92" s="8">
        <v>0</v>
      </c>
      <c r="D92" s="8">
        <v>0</v>
      </c>
      <c r="E92" s="8">
        <v>1</v>
      </c>
      <c r="F92" s="8">
        <v>1</v>
      </c>
      <c r="G92" s="17">
        <v>0</v>
      </c>
    </row>
    <row r="93" spans="1:7" x14ac:dyDescent="0.35">
      <c r="A93" s="10">
        <v>86</v>
      </c>
      <c r="B93" s="9" t="s">
        <v>239</v>
      </c>
      <c r="C93" s="8">
        <v>0</v>
      </c>
      <c r="D93" s="8">
        <v>0</v>
      </c>
      <c r="E93" s="8">
        <v>1</v>
      </c>
      <c r="F93" s="8">
        <v>1</v>
      </c>
      <c r="G93" s="17">
        <v>0</v>
      </c>
    </row>
    <row r="94" spans="1:7" x14ac:dyDescent="0.35">
      <c r="A94" s="14">
        <v>86</v>
      </c>
      <c r="B94" s="15" t="s">
        <v>240</v>
      </c>
      <c r="C94" s="16">
        <v>0</v>
      </c>
      <c r="D94" s="16">
        <v>0</v>
      </c>
      <c r="E94" s="16">
        <v>1</v>
      </c>
      <c r="F94" s="16">
        <v>1</v>
      </c>
      <c r="G94" s="1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EA35E-ECBF-49FE-BA33-390E0EDED87B}">
  <dimension ref="A1:N266"/>
  <sheetViews>
    <sheetView workbookViewId="0">
      <selection activeCell="C2" sqref="C2:C266"/>
    </sheetView>
  </sheetViews>
  <sheetFormatPr defaultRowHeight="18" x14ac:dyDescent="0.35"/>
  <cols>
    <col min="1" max="1" width="8" bestFit="1" customWidth="1"/>
    <col min="2" max="2" width="12" style="23" bestFit="1" customWidth="1"/>
    <col min="3" max="3" width="9.5" style="23" bestFit="1" customWidth="1"/>
    <col min="4" max="4" width="13" style="23" bestFit="1" customWidth="1"/>
    <col min="5" max="5" width="6.5" style="23" bestFit="1" customWidth="1"/>
    <col min="6" max="6" width="22.08203125" style="23" bestFit="1" customWidth="1"/>
    <col min="7" max="7" width="11.25" style="21" bestFit="1" customWidth="1"/>
    <col min="8" max="8" width="9.83203125" style="23" bestFit="1" customWidth="1"/>
    <col min="9" max="9" width="9.9140625" style="19" bestFit="1" customWidth="1"/>
    <col min="10" max="10" width="3.25" style="24" bestFit="1" customWidth="1"/>
    <col min="11" max="11" width="9.1640625" style="23" bestFit="1" customWidth="1"/>
    <col min="12" max="12" width="20" style="23" bestFit="1" customWidth="1"/>
    <col min="13" max="13" width="4.25" style="20" bestFit="1" customWidth="1"/>
    <col min="14" max="14" width="7.83203125" style="23" bestFit="1" customWidth="1"/>
  </cols>
  <sheetData>
    <row r="1" spans="1:14" x14ac:dyDescent="0.35">
      <c r="A1" t="s">
        <v>0</v>
      </c>
      <c r="B1" s="23" t="s">
        <v>241</v>
      </c>
      <c r="C1" s="23" t="s">
        <v>242</v>
      </c>
      <c r="D1" s="23" t="s">
        <v>243</v>
      </c>
      <c r="E1" s="23" t="s">
        <v>2</v>
      </c>
      <c r="F1" s="23" t="s">
        <v>3</v>
      </c>
      <c r="G1" s="21" t="s">
        <v>4</v>
      </c>
      <c r="H1" s="23" t="s">
        <v>244</v>
      </c>
      <c r="I1" s="19" t="s">
        <v>5</v>
      </c>
      <c r="J1" s="24" t="s">
        <v>6</v>
      </c>
      <c r="K1" s="23" t="s">
        <v>7</v>
      </c>
      <c r="L1" s="23" t="s">
        <v>8</v>
      </c>
      <c r="M1" s="20" t="s">
        <v>245</v>
      </c>
      <c r="N1" s="23" t="s">
        <v>246</v>
      </c>
    </row>
    <row r="2" spans="1:14" x14ac:dyDescent="0.35">
      <c r="A2" t="s">
        <v>86</v>
      </c>
      <c r="B2" s="23" t="s">
        <v>247</v>
      </c>
      <c r="D2" s="23" t="s">
        <v>248</v>
      </c>
      <c r="E2" s="23" t="s">
        <v>88</v>
      </c>
      <c r="F2" s="23" t="s">
        <v>26</v>
      </c>
      <c r="G2" s="21">
        <v>120000</v>
      </c>
      <c r="H2" s="23" t="s">
        <v>249</v>
      </c>
      <c r="I2" s="19">
        <v>43416</v>
      </c>
      <c r="J2" s="24">
        <v>1</v>
      </c>
      <c r="K2" s="23" t="s">
        <v>13</v>
      </c>
      <c r="L2" s="23" t="s">
        <v>40</v>
      </c>
      <c r="M2" s="20">
        <v>7.75</v>
      </c>
      <c r="N2" s="23" t="s">
        <v>250</v>
      </c>
    </row>
    <row r="3" spans="1:14" x14ac:dyDescent="0.35">
      <c r="A3" t="s">
        <v>20</v>
      </c>
      <c r="B3" s="23" t="s">
        <v>251</v>
      </c>
      <c r="D3" s="23" t="s">
        <v>252</v>
      </c>
      <c r="E3" s="23" t="s">
        <v>11</v>
      </c>
      <c r="F3" s="23" t="s">
        <v>22</v>
      </c>
      <c r="G3" s="21">
        <v>98000</v>
      </c>
      <c r="H3" s="23" t="s">
        <v>253</v>
      </c>
      <c r="I3" s="19">
        <v>43710</v>
      </c>
      <c r="J3" s="24">
        <v>0.9</v>
      </c>
      <c r="K3" s="23" t="s">
        <v>13</v>
      </c>
      <c r="L3" s="23" t="s">
        <v>23</v>
      </c>
      <c r="M3" s="20">
        <v>6.94</v>
      </c>
      <c r="N3" s="23" t="s">
        <v>254</v>
      </c>
    </row>
    <row r="4" spans="1:14" x14ac:dyDescent="0.35">
      <c r="A4" t="s">
        <v>255</v>
      </c>
      <c r="B4" s="23" t="s">
        <v>256</v>
      </c>
      <c r="D4" s="23" t="s">
        <v>257</v>
      </c>
      <c r="E4" s="23" t="s">
        <v>11</v>
      </c>
      <c r="F4" s="23" t="s">
        <v>35</v>
      </c>
      <c r="G4" s="21">
        <v>120000</v>
      </c>
      <c r="H4" s="23" t="s">
        <v>249</v>
      </c>
      <c r="I4" s="19">
        <v>43902</v>
      </c>
      <c r="J4" s="24">
        <v>0.9</v>
      </c>
      <c r="K4" s="23" t="s">
        <v>13</v>
      </c>
      <c r="L4" s="23" t="s">
        <v>40</v>
      </c>
      <c r="M4" s="20">
        <v>6.42</v>
      </c>
      <c r="N4" s="23" t="s">
        <v>254</v>
      </c>
    </row>
    <row r="5" spans="1:14" x14ac:dyDescent="0.35">
      <c r="A5" t="s">
        <v>258</v>
      </c>
      <c r="B5" s="23" t="s">
        <v>259</v>
      </c>
      <c r="D5" s="23" t="s">
        <v>260</v>
      </c>
      <c r="E5" s="23" t="s">
        <v>11</v>
      </c>
      <c r="F5" s="23" t="s">
        <v>18</v>
      </c>
      <c r="G5" s="21">
        <v>93128.34</v>
      </c>
      <c r="H5" s="23" t="s">
        <v>253</v>
      </c>
      <c r="I5" s="19">
        <v>43164</v>
      </c>
      <c r="J5" s="24">
        <v>1</v>
      </c>
      <c r="K5" s="23" t="s">
        <v>261</v>
      </c>
      <c r="L5" s="23" t="s">
        <v>23</v>
      </c>
      <c r="M5" s="20">
        <v>8.44</v>
      </c>
      <c r="N5" s="23" t="s">
        <v>250</v>
      </c>
    </row>
    <row r="6" spans="1:14" x14ac:dyDescent="0.35">
      <c r="A6" t="s">
        <v>262</v>
      </c>
      <c r="B6" s="23" t="s">
        <v>263</v>
      </c>
      <c r="D6" s="23" t="s">
        <v>264</v>
      </c>
      <c r="E6" s="23" t="s">
        <v>11</v>
      </c>
      <c r="F6" s="23" t="s">
        <v>18</v>
      </c>
      <c r="G6" s="21">
        <v>57002.02</v>
      </c>
      <c r="H6" s="23" t="s">
        <v>253</v>
      </c>
      <c r="I6" s="19">
        <v>43192</v>
      </c>
      <c r="J6" s="24">
        <v>0.7</v>
      </c>
      <c r="K6" s="23" t="s">
        <v>13</v>
      </c>
      <c r="L6" s="23" t="s">
        <v>19</v>
      </c>
      <c r="M6" s="20">
        <v>8.36</v>
      </c>
      <c r="N6" s="23" t="s">
        <v>254</v>
      </c>
    </row>
    <row r="7" spans="1:14" x14ac:dyDescent="0.35">
      <c r="A7" t="s">
        <v>265</v>
      </c>
      <c r="B7" s="23" t="s">
        <v>266</v>
      </c>
      <c r="D7" s="23" t="s">
        <v>267</v>
      </c>
      <c r="E7" s="23" t="s">
        <v>88</v>
      </c>
      <c r="F7" s="23" t="s">
        <v>26</v>
      </c>
      <c r="G7" s="21">
        <v>118976.16</v>
      </c>
      <c r="H7" s="23" t="s">
        <v>249</v>
      </c>
      <c r="I7" s="19">
        <v>44120</v>
      </c>
      <c r="J7" s="24">
        <v>1</v>
      </c>
      <c r="K7" s="23" t="s">
        <v>13</v>
      </c>
      <c r="L7" s="23" t="s">
        <v>14</v>
      </c>
      <c r="M7" s="20">
        <v>5.82</v>
      </c>
      <c r="N7" s="23" t="s">
        <v>250</v>
      </c>
    </row>
    <row r="8" spans="1:14" x14ac:dyDescent="0.35">
      <c r="A8" t="s">
        <v>139</v>
      </c>
      <c r="B8" s="23" t="s">
        <v>268</v>
      </c>
      <c r="D8" s="23" t="s">
        <v>269</v>
      </c>
      <c r="E8" s="23" t="s">
        <v>270</v>
      </c>
      <c r="F8" s="23" t="s">
        <v>54</v>
      </c>
      <c r="G8" s="21">
        <v>104802.63</v>
      </c>
      <c r="H8" s="23" t="s">
        <v>249</v>
      </c>
      <c r="I8" s="19">
        <v>44502</v>
      </c>
      <c r="J8" s="24">
        <v>1</v>
      </c>
      <c r="K8" s="23" t="s">
        <v>13</v>
      </c>
      <c r="L8" s="23" t="s">
        <v>19</v>
      </c>
      <c r="M8" s="20">
        <v>4.7699999999999996</v>
      </c>
      <c r="N8" s="23" t="s">
        <v>250</v>
      </c>
    </row>
    <row r="9" spans="1:14" x14ac:dyDescent="0.35">
      <c r="A9" t="s">
        <v>271</v>
      </c>
      <c r="B9" s="23" t="s">
        <v>272</v>
      </c>
      <c r="D9" s="23" t="s">
        <v>273</v>
      </c>
      <c r="E9" s="23" t="s">
        <v>11</v>
      </c>
      <c r="F9" s="23" t="s">
        <v>66</v>
      </c>
      <c r="G9" s="21">
        <v>66017.179999999993</v>
      </c>
      <c r="H9" s="23" t="s">
        <v>253</v>
      </c>
      <c r="I9" s="19">
        <v>43643</v>
      </c>
      <c r="J9" s="24">
        <v>0.9</v>
      </c>
      <c r="K9" s="23" t="s">
        <v>13</v>
      </c>
      <c r="L9" s="23" t="s">
        <v>40</v>
      </c>
      <c r="M9" s="20">
        <v>7.13</v>
      </c>
      <c r="N9" s="23" t="s">
        <v>254</v>
      </c>
    </row>
    <row r="10" spans="1:14" x14ac:dyDescent="0.35">
      <c r="A10" t="s">
        <v>274</v>
      </c>
      <c r="B10" s="23" t="s">
        <v>275</v>
      </c>
      <c r="D10" s="23" t="s">
        <v>276</v>
      </c>
      <c r="E10" s="23" t="s">
        <v>88</v>
      </c>
      <c r="F10" s="23" t="s">
        <v>32</v>
      </c>
      <c r="G10" s="21">
        <v>74279.009999999995</v>
      </c>
      <c r="H10" s="23" t="s">
        <v>253</v>
      </c>
      <c r="I10" s="19">
        <v>43466</v>
      </c>
      <c r="J10" s="24">
        <v>1</v>
      </c>
      <c r="K10" s="23" t="s">
        <v>13</v>
      </c>
      <c r="L10" s="23" t="s">
        <v>14</v>
      </c>
      <c r="M10" s="20">
        <v>7.61</v>
      </c>
      <c r="N10" s="23" t="s">
        <v>250</v>
      </c>
    </row>
    <row r="11" spans="1:14" x14ac:dyDescent="0.35">
      <c r="A11" t="s">
        <v>62</v>
      </c>
      <c r="B11" s="23" t="s">
        <v>277</v>
      </c>
      <c r="D11" s="23" t="s">
        <v>278</v>
      </c>
      <c r="E11" s="23" t="s">
        <v>11</v>
      </c>
      <c r="F11" s="23" t="s">
        <v>22</v>
      </c>
      <c r="G11" s="21">
        <v>68980.52</v>
      </c>
      <c r="H11" s="23" t="s">
        <v>253</v>
      </c>
      <c r="I11" s="19">
        <v>43494</v>
      </c>
      <c r="J11" s="24">
        <v>0.8</v>
      </c>
      <c r="K11" s="23" t="s">
        <v>13</v>
      </c>
      <c r="L11" s="23" t="s">
        <v>40</v>
      </c>
      <c r="M11" s="20">
        <v>7.53</v>
      </c>
      <c r="N11" s="23" t="s">
        <v>254</v>
      </c>
    </row>
    <row r="12" spans="1:14" x14ac:dyDescent="0.35">
      <c r="A12" t="s">
        <v>279</v>
      </c>
      <c r="B12" s="23" t="s">
        <v>280</v>
      </c>
      <c r="D12" s="23" t="s">
        <v>281</v>
      </c>
      <c r="E12" s="23" t="s">
        <v>11</v>
      </c>
      <c r="F12" s="23" t="s">
        <v>35</v>
      </c>
      <c r="G12" s="21">
        <v>42314.39</v>
      </c>
      <c r="H12" s="23" t="s">
        <v>282</v>
      </c>
      <c r="I12" s="19">
        <v>44487</v>
      </c>
      <c r="J12" s="24">
        <v>1</v>
      </c>
      <c r="K12" s="23" t="s">
        <v>261</v>
      </c>
      <c r="L12" s="23" t="s">
        <v>40</v>
      </c>
      <c r="M12" s="20">
        <v>4.8099999999999996</v>
      </c>
      <c r="N12" s="23" t="s">
        <v>250</v>
      </c>
    </row>
    <row r="13" spans="1:14" x14ac:dyDescent="0.35">
      <c r="A13" t="s">
        <v>283</v>
      </c>
      <c r="B13" s="23" t="s">
        <v>284</v>
      </c>
      <c r="D13" s="23" t="s">
        <v>285</v>
      </c>
      <c r="E13" s="23" t="s">
        <v>11</v>
      </c>
      <c r="F13" s="23" t="s">
        <v>26</v>
      </c>
      <c r="G13" s="21">
        <v>114425.19</v>
      </c>
      <c r="H13" s="23" t="s">
        <v>249</v>
      </c>
      <c r="I13" s="19">
        <v>43857</v>
      </c>
      <c r="J13" s="24">
        <v>1</v>
      </c>
      <c r="K13" s="23" t="s">
        <v>13</v>
      </c>
      <c r="L13" s="23" t="s">
        <v>14</v>
      </c>
      <c r="M13" s="20">
        <v>6.54</v>
      </c>
      <c r="N13" s="23" t="s">
        <v>250</v>
      </c>
    </row>
    <row r="14" spans="1:14" x14ac:dyDescent="0.35">
      <c r="A14" t="s">
        <v>60</v>
      </c>
      <c r="B14" s="23" t="s">
        <v>286</v>
      </c>
      <c r="D14" s="23" t="s">
        <v>287</v>
      </c>
      <c r="E14" s="23" t="s">
        <v>11</v>
      </c>
      <c r="F14" s="23" t="s">
        <v>22</v>
      </c>
      <c r="G14" s="21">
        <v>69192.850000000006</v>
      </c>
      <c r="H14" s="23" t="s">
        <v>253</v>
      </c>
      <c r="I14" s="19">
        <v>44305</v>
      </c>
      <c r="J14" s="24">
        <v>1</v>
      </c>
      <c r="K14" s="23" t="s">
        <v>13</v>
      </c>
      <c r="L14" s="23" t="s">
        <v>27</v>
      </c>
      <c r="M14" s="20">
        <v>5.31</v>
      </c>
      <c r="N14" s="23" t="s">
        <v>250</v>
      </c>
    </row>
    <row r="15" spans="1:14" x14ac:dyDescent="0.35">
      <c r="A15" t="s">
        <v>288</v>
      </c>
      <c r="B15" s="23" t="s">
        <v>289</v>
      </c>
      <c r="D15" s="23" t="s">
        <v>290</v>
      </c>
      <c r="E15" s="23" t="s">
        <v>88</v>
      </c>
      <c r="F15" s="23" t="s">
        <v>54</v>
      </c>
      <c r="G15" s="21">
        <v>61214.26</v>
      </c>
      <c r="H15" s="23" t="s">
        <v>253</v>
      </c>
      <c r="I15" s="19">
        <v>43171</v>
      </c>
      <c r="J15" s="24">
        <v>1</v>
      </c>
      <c r="K15" s="23" t="s">
        <v>291</v>
      </c>
      <c r="L15" s="23" t="s">
        <v>43</v>
      </c>
      <c r="M15" s="20">
        <v>8.42</v>
      </c>
      <c r="N15" s="23" t="s">
        <v>250</v>
      </c>
    </row>
    <row r="16" spans="1:14" x14ac:dyDescent="0.35">
      <c r="A16" t="s">
        <v>292</v>
      </c>
      <c r="B16" s="23" t="s">
        <v>293</v>
      </c>
      <c r="D16" s="23" t="s">
        <v>294</v>
      </c>
      <c r="E16" s="23" t="s">
        <v>88</v>
      </c>
      <c r="F16" s="23" t="s">
        <v>54</v>
      </c>
      <c r="G16" s="21">
        <v>54137.05</v>
      </c>
      <c r="H16" s="23" t="s">
        <v>253</v>
      </c>
      <c r="I16" s="19">
        <v>43763</v>
      </c>
      <c r="J16" s="24">
        <v>1</v>
      </c>
      <c r="K16" s="23" t="s">
        <v>13</v>
      </c>
      <c r="L16" s="23" t="s">
        <v>40</v>
      </c>
      <c r="M16" s="20">
        <v>6.8</v>
      </c>
      <c r="N16" s="23" t="s">
        <v>250</v>
      </c>
    </row>
    <row r="17" spans="1:14" x14ac:dyDescent="0.35">
      <c r="A17" t="s">
        <v>295</v>
      </c>
      <c r="B17" s="23" t="s">
        <v>296</v>
      </c>
      <c r="D17" s="23" t="s">
        <v>297</v>
      </c>
      <c r="E17" s="23" t="s">
        <v>11</v>
      </c>
      <c r="F17" s="23" t="s">
        <v>18</v>
      </c>
      <c r="G17" s="21">
        <v>37902.35</v>
      </c>
      <c r="H17" s="23" t="s">
        <v>282</v>
      </c>
      <c r="I17" s="19">
        <v>43823</v>
      </c>
      <c r="J17" s="24">
        <v>1</v>
      </c>
      <c r="K17" s="23" t="s">
        <v>13</v>
      </c>
      <c r="L17" s="23" t="s">
        <v>109</v>
      </c>
      <c r="M17" s="20">
        <v>6.63</v>
      </c>
      <c r="N17" s="23" t="s">
        <v>250</v>
      </c>
    </row>
    <row r="18" spans="1:14" x14ac:dyDescent="0.35">
      <c r="A18" t="s">
        <v>298</v>
      </c>
      <c r="B18" s="23" t="s">
        <v>299</v>
      </c>
      <c r="D18" s="23" t="s">
        <v>300</v>
      </c>
      <c r="E18" s="23" t="s">
        <v>88</v>
      </c>
      <c r="F18" s="23" t="s">
        <v>26</v>
      </c>
      <c r="G18" s="21">
        <v>39969.72</v>
      </c>
      <c r="H18" s="23" t="s">
        <v>282</v>
      </c>
      <c r="I18" s="19">
        <v>43444</v>
      </c>
      <c r="J18" s="24">
        <v>1</v>
      </c>
      <c r="K18" s="23" t="s">
        <v>291</v>
      </c>
      <c r="L18" s="23" t="s">
        <v>27</v>
      </c>
      <c r="M18" s="20">
        <v>7.67</v>
      </c>
      <c r="N18" s="23" t="s">
        <v>250</v>
      </c>
    </row>
    <row r="19" spans="1:14" x14ac:dyDescent="0.35">
      <c r="A19" t="s">
        <v>301</v>
      </c>
      <c r="B19" s="23" t="s">
        <v>302</v>
      </c>
      <c r="D19" s="23" t="s">
        <v>303</v>
      </c>
      <c r="E19" s="23" t="s">
        <v>88</v>
      </c>
      <c r="F19" s="23" t="s">
        <v>35</v>
      </c>
      <c r="G19" s="21">
        <v>69913.39</v>
      </c>
      <c r="H19" s="23" t="s">
        <v>253</v>
      </c>
      <c r="I19" s="19">
        <v>43584</v>
      </c>
      <c r="J19" s="24">
        <v>1</v>
      </c>
      <c r="K19" s="23" t="s">
        <v>13</v>
      </c>
      <c r="L19" s="23" t="s">
        <v>40</v>
      </c>
      <c r="M19" s="20">
        <v>7.29</v>
      </c>
      <c r="N19" s="23" t="s">
        <v>250</v>
      </c>
    </row>
    <row r="20" spans="1:14" x14ac:dyDescent="0.35">
      <c r="A20" t="s">
        <v>304</v>
      </c>
      <c r="B20" s="23" t="s">
        <v>305</v>
      </c>
      <c r="D20" s="23" t="s">
        <v>306</v>
      </c>
      <c r="E20" s="23" t="s">
        <v>88</v>
      </c>
      <c r="F20" s="23" t="s">
        <v>32</v>
      </c>
      <c r="G20" s="21">
        <v>52748.63</v>
      </c>
      <c r="H20" s="23" t="s">
        <v>253</v>
      </c>
      <c r="I20" s="19">
        <v>43857</v>
      </c>
      <c r="J20" s="24">
        <v>1</v>
      </c>
      <c r="K20" s="23" t="s">
        <v>13</v>
      </c>
      <c r="L20" s="23" t="s">
        <v>109</v>
      </c>
      <c r="M20" s="20">
        <v>6.54</v>
      </c>
      <c r="N20" s="23" t="s">
        <v>250</v>
      </c>
    </row>
    <row r="21" spans="1:14" x14ac:dyDescent="0.35">
      <c r="A21" t="s">
        <v>123</v>
      </c>
      <c r="B21" s="23" t="s">
        <v>307</v>
      </c>
      <c r="D21" s="23" t="s">
        <v>308</v>
      </c>
      <c r="E21" s="23" t="s">
        <v>88</v>
      </c>
      <c r="F21" s="23" t="s">
        <v>72</v>
      </c>
      <c r="G21" s="21">
        <v>50310.09</v>
      </c>
      <c r="H21" s="23" t="s">
        <v>253</v>
      </c>
      <c r="I21" s="19">
        <v>44285</v>
      </c>
      <c r="J21" s="24">
        <v>0.4</v>
      </c>
      <c r="K21" s="23" t="s">
        <v>13</v>
      </c>
      <c r="L21" s="23" t="s">
        <v>19</v>
      </c>
      <c r="M21" s="20">
        <v>5.37</v>
      </c>
      <c r="N21" s="23" t="s">
        <v>254</v>
      </c>
    </row>
    <row r="22" spans="1:14" x14ac:dyDescent="0.35">
      <c r="A22" t="s">
        <v>121</v>
      </c>
      <c r="B22" s="23" t="s">
        <v>309</v>
      </c>
      <c r="D22" s="23" t="s">
        <v>310</v>
      </c>
      <c r="E22" s="23" t="s">
        <v>88</v>
      </c>
      <c r="F22" s="23" t="s">
        <v>12</v>
      </c>
      <c r="G22" s="21">
        <v>52963.65</v>
      </c>
      <c r="H22" s="23" t="s">
        <v>253</v>
      </c>
      <c r="I22" s="19">
        <v>44288</v>
      </c>
      <c r="J22" s="24">
        <v>0.3</v>
      </c>
      <c r="K22" s="23" t="s">
        <v>13</v>
      </c>
      <c r="L22" s="23" t="s">
        <v>27</v>
      </c>
      <c r="M22" s="20">
        <v>5.36</v>
      </c>
      <c r="N22" s="23" t="s">
        <v>254</v>
      </c>
    </row>
    <row r="23" spans="1:14" x14ac:dyDescent="0.35">
      <c r="A23" t="s">
        <v>119</v>
      </c>
      <c r="B23" s="23" t="s">
        <v>311</v>
      </c>
      <c r="D23" s="23" t="s">
        <v>312</v>
      </c>
      <c r="E23" s="23" t="s">
        <v>88</v>
      </c>
      <c r="F23" s="23" t="s">
        <v>51</v>
      </c>
      <c r="G23" s="21">
        <v>62195.47</v>
      </c>
      <c r="H23" s="23" t="s">
        <v>253</v>
      </c>
      <c r="I23" s="19">
        <v>44434</v>
      </c>
      <c r="J23" s="24">
        <v>1</v>
      </c>
      <c r="K23" s="23" t="s">
        <v>13</v>
      </c>
      <c r="L23" s="23" t="s">
        <v>40</v>
      </c>
      <c r="M23" s="20">
        <v>4.96</v>
      </c>
      <c r="N23" s="23" t="s">
        <v>250</v>
      </c>
    </row>
    <row r="24" spans="1:14" x14ac:dyDescent="0.35">
      <c r="A24" t="s">
        <v>313</v>
      </c>
      <c r="B24" s="23" t="s">
        <v>314</v>
      </c>
      <c r="D24" s="23" t="s">
        <v>315</v>
      </c>
      <c r="E24" s="23" t="s">
        <v>88</v>
      </c>
      <c r="F24" s="23" t="s">
        <v>26</v>
      </c>
      <c r="G24" s="21">
        <v>43329.22</v>
      </c>
      <c r="H24" s="23" t="s">
        <v>282</v>
      </c>
      <c r="I24" s="19">
        <v>43809</v>
      </c>
      <c r="J24" s="24">
        <v>0.5</v>
      </c>
      <c r="K24" s="23" t="s">
        <v>261</v>
      </c>
      <c r="L24" s="23" t="s">
        <v>40</v>
      </c>
      <c r="M24" s="20">
        <v>6.67</v>
      </c>
      <c r="N24" s="23" t="s">
        <v>254</v>
      </c>
    </row>
    <row r="25" spans="1:14" x14ac:dyDescent="0.35">
      <c r="A25" t="s">
        <v>316</v>
      </c>
      <c r="B25" s="23" t="s">
        <v>317</v>
      </c>
      <c r="D25" s="23" t="s">
        <v>318</v>
      </c>
      <c r="E25" s="23" t="s">
        <v>11</v>
      </c>
      <c r="F25" s="23" t="s">
        <v>18</v>
      </c>
      <c r="G25" s="21">
        <v>71570.990000000005</v>
      </c>
      <c r="H25" s="23" t="s">
        <v>253</v>
      </c>
      <c r="I25" s="19">
        <v>44249</v>
      </c>
      <c r="J25" s="24">
        <v>0.5</v>
      </c>
      <c r="K25" s="23" t="s">
        <v>13</v>
      </c>
      <c r="L25" s="23" t="s">
        <v>19</v>
      </c>
      <c r="M25" s="20">
        <v>5.47</v>
      </c>
      <c r="N25" s="23" t="s">
        <v>254</v>
      </c>
    </row>
    <row r="26" spans="1:14" x14ac:dyDescent="0.35">
      <c r="A26" t="s">
        <v>319</v>
      </c>
      <c r="B26" s="23" t="s">
        <v>320</v>
      </c>
      <c r="D26" s="23" t="s">
        <v>321</v>
      </c>
      <c r="E26" s="23" t="s">
        <v>270</v>
      </c>
      <c r="F26" s="23" t="s">
        <v>18</v>
      </c>
      <c r="G26" s="21">
        <v>78840.23</v>
      </c>
      <c r="H26" s="23" t="s">
        <v>253</v>
      </c>
      <c r="I26" s="19">
        <v>43633</v>
      </c>
      <c r="J26" s="24">
        <v>1</v>
      </c>
      <c r="K26" s="23" t="s">
        <v>291</v>
      </c>
      <c r="L26" s="23" t="s">
        <v>40</v>
      </c>
      <c r="M26" s="20">
        <v>7.15</v>
      </c>
      <c r="N26" s="23" t="s">
        <v>250</v>
      </c>
    </row>
    <row r="27" spans="1:14" x14ac:dyDescent="0.35">
      <c r="A27" t="s">
        <v>70</v>
      </c>
      <c r="B27" s="23" t="s">
        <v>322</v>
      </c>
      <c r="D27" s="23" t="s">
        <v>323</v>
      </c>
      <c r="E27" s="23" t="s">
        <v>11</v>
      </c>
      <c r="F27" s="23" t="s">
        <v>72</v>
      </c>
      <c r="G27" s="21">
        <v>61994.76</v>
      </c>
      <c r="H27" s="23" t="s">
        <v>253</v>
      </c>
      <c r="I27" s="19">
        <v>43794</v>
      </c>
      <c r="J27" s="24">
        <v>0.3</v>
      </c>
      <c r="K27" s="23" t="s">
        <v>13</v>
      </c>
      <c r="L27" s="23" t="s">
        <v>19</v>
      </c>
      <c r="M27" s="20">
        <v>6.71</v>
      </c>
      <c r="N27" s="23" t="s">
        <v>254</v>
      </c>
    </row>
    <row r="28" spans="1:14" x14ac:dyDescent="0.35">
      <c r="A28" t="s">
        <v>33</v>
      </c>
      <c r="B28" s="23" t="s">
        <v>324</v>
      </c>
      <c r="D28" s="23" t="s">
        <v>325</v>
      </c>
      <c r="E28" s="23" t="s">
        <v>11</v>
      </c>
      <c r="F28" s="23" t="s">
        <v>35</v>
      </c>
      <c r="G28" s="21">
        <v>89690.38</v>
      </c>
      <c r="H28" s="23" t="s">
        <v>253</v>
      </c>
      <c r="I28" s="19">
        <v>43206</v>
      </c>
      <c r="J28" s="24">
        <v>1</v>
      </c>
      <c r="K28" s="23" t="s">
        <v>13</v>
      </c>
      <c r="L28" s="23" t="s">
        <v>14</v>
      </c>
      <c r="M28" s="20">
        <v>8.32</v>
      </c>
      <c r="N28" s="23" t="s">
        <v>250</v>
      </c>
    </row>
    <row r="29" spans="1:14" x14ac:dyDescent="0.35">
      <c r="A29" t="s">
        <v>97</v>
      </c>
      <c r="B29" s="23" t="s">
        <v>326</v>
      </c>
      <c r="D29" s="23" t="s">
        <v>327</v>
      </c>
      <c r="E29" s="23" t="s">
        <v>88</v>
      </c>
      <c r="F29" s="23" t="s">
        <v>57</v>
      </c>
      <c r="G29" s="21">
        <v>104335.03999999999</v>
      </c>
      <c r="H29" s="23" t="s">
        <v>249</v>
      </c>
      <c r="I29" s="19">
        <v>43874</v>
      </c>
      <c r="J29" s="24">
        <v>1</v>
      </c>
      <c r="K29" s="23" t="s">
        <v>13</v>
      </c>
      <c r="L29" s="23" t="s">
        <v>27</v>
      </c>
      <c r="M29" s="20">
        <v>6.49</v>
      </c>
      <c r="N29" s="23" t="s">
        <v>250</v>
      </c>
    </row>
    <row r="30" spans="1:14" x14ac:dyDescent="0.35">
      <c r="A30" t="s">
        <v>328</v>
      </c>
      <c r="B30" s="23" t="s">
        <v>329</v>
      </c>
      <c r="D30" s="23" t="s">
        <v>330</v>
      </c>
      <c r="E30" s="23" t="s">
        <v>88</v>
      </c>
      <c r="F30" s="23" t="s">
        <v>12</v>
      </c>
      <c r="G30" s="21">
        <v>52246.29</v>
      </c>
      <c r="H30" s="23" t="s">
        <v>253</v>
      </c>
      <c r="I30" s="19">
        <v>43573</v>
      </c>
      <c r="J30" s="24">
        <v>1</v>
      </c>
      <c r="K30" s="23" t="s">
        <v>291</v>
      </c>
      <c r="L30" s="23" t="s">
        <v>14</v>
      </c>
      <c r="M30" s="20">
        <v>7.32</v>
      </c>
      <c r="N30" s="23" t="s">
        <v>250</v>
      </c>
    </row>
    <row r="31" spans="1:14" x14ac:dyDescent="0.35">
      <c r="A31" t="s">
        <v>331</v>
      </c>
      <c r="B31" s="23" t="s">
        <v>332</v>
      </c>
      <c r="D31" s="23" t="s">
        <v>333</v>
      </c>
      <c r="E31" s="23" t="s">
        <v>88</v>
      </c>
      <c r="F31" s="23" t="s">
        <v>69</v>
      </c>
      <c r="G31" s="21">
        <v>90697.67</v>
      </c>
      <c r="H31" s="23" t="s">
        <v>253</v>
      </c>
      <c r="I31" s="19">
        <v>44221</v>
      </c>
      <c r="J31" s="24">
        <v>0.8</v>
      </c>
      <c r="K31" s="23" t="s">
        <v>13</v>
      </c>
      <c r="L31" s="23" t="s">
        <v>23</v>
      </c>
      <c r="M31" s="20">
        <v>5.54</v>
      </c>
      <c r="N31" s="23" t="s">
        <v>254</v>
      </c>
    </row>
    <row r="32" spans="1:14" x14ac:dyDescent="0.35">
      <c r="A32" t="s">
        <v>334</v>
      </c>
      <c r="B32" s="23" t="s">
        <v>335</v>
      </c>
      <c r="D32" s="23" t="s">
        <v>336</v>
      </c>
      <c r="E32" s="23" t="s">
        <v>88</v>
      </c>
      <c r="F32" s="23" t="s">
        <v>22</v>
      </c>
      <c r="G32" s="21">
        <v>90884.32</v>
      </c>
      <c r="H32" s="23" t="s">
        <v>253</v>
      </c>
      <c r="I32" s="19">
        <v>43826</v>
      </c>
      <c r="J32" s="24">
        <v>1</v>
      </c>
      <c r="K32" s="23" t="s">
        <v>13</v>
      </c>
      <c r="L32" s="23" t="s">
        <v>27</v>
      </c>
      <c r="M32" s="20">
        <v>6.62</v>
      </c>
      <c r="N32" s="23" t="s">
        <v>250</v>
      </c>
    </row>
    <row r="33" spans="1:14" x14ac:dyDescent="0.35">
      <c r="A33" t="s">
        <v>337</v>
      </c>
      <c r="B33" s="23" t="s">
        <v>338</v>
      </c>
      <c r="D33" s="23" t="s">
        <v>339</v>
      </c>
      <c r="E33" s="23" t="s">
        <v>88</v>
      </c>
      <c r="F33" s="23" t="s">
        <v>72</v>
      </c>
      <c r="G33" s="21">
        <v>76320.44</v>
      </c>
      <c r="H33" s="23" t="s">
        <v>253</v>
      </c>
      <c r="I33" s="19">
        <v>44383</v>
      </c>
      <c r="J33" s="24">
        <v>0.8</v>
      </c>
      <c r="K33" s="23" t="s">
        <v>291</v>
      </c>
      <c r="L33" s="23" t="s">
        <v>40</v>
      </c>
      <c r="M33" s="20">
        <v>5.0999999999999996</v>
      </c>
      <c r="N33" s="23" t="s">
        <v>254</v>
      </c>
    </row>
    <row r="34" spans="1:14" x14ac:dyDescent="0.35">
      <c r="A34" t="s">
        <v>340</v>
      </c>
      <c r="B34" s="23" t="s">
        <v>341</v>
      </c>
      <c r="D34" s="23" t="s">
        <v>342</v>
      </c>
      <c r="E34" s="23" t="s">
        <v>88</v>
      </c>
      <c r="F34" s="23" t="s">
        <v>22</v>
      </c>
      <c r="G34" s="21">
        <v>73360.38</v>
      </c>
      <c r="H34" s="23" t="s">
        <v>253</v>
      </c>
      <c r="I34" s="19">
        <v>43972</v>
      </c>
      <c r="J34" s="24">
        <v>1</v>
      </c>
      <c r="K34" s="23" t="s">
        <v>291</v>
      </c>
      <c r="L34" s="23" t="s">
        <v>40</v>
      </c>
      <c r="M34" s="20">
        <v>6.22</v>
      </c>
      <c r="N34" s="23" t="s">
        <v>250</v>
      </c>
    </row>
    <row r="35" spans="1:14" x14ac:dyDescent="0.35">
      <c r="A35" t="s">
        <v>76</v>
      </c>
      <c r="B35" s="23" t="s">
        <v>343</v>
      </c>
      <c r="D35" s="23" t="s">
        <v>344</v>
      </c>
      <c r="E35" s="23" t="s">
        <v>11</v>
      </c>
      <c r="F35" s="23" t="s">
        <v>32</v>
      </c>
      <c r="G35" s="21">
        <v>50449.46</v>
      </c>
      <c r="H35" s="23" t="s">
        <v>253</v>
      </c>
      <c r="I35" s="19">
        <v>43418</v>
      </c>
      <c r="J35" s="24">
        <v>0.8</v>
      </c>
      <c r="K35" s="23" t="s">
        <v>13</v>
      </c>
      <c r="L35" s="23" t="s">
        <v>43</v>
      </c>
      <c r="M35" s="20">
        <v>7.74</v>
      </c>
      <c r="N35" s="23" t="s">
        <v>254</v>
      </c>
    </row>
    <row r="36" spans="1:14" x14ac:dyDescent="0.35">
      <c r="A36" t="s">
        <v>345</v>
      </c>
      <c r="B36" s="23" t="s">
        <v>346</v>
      </c>
      <c r="D36" s="23" t="s">
        <v>347</v>
      </c>
      <c r="E36" s="23" t="s">
        <v>88</v>
      </c>
      <c r="F36" s="23" t="s">
        <v>18</v>
      </c>
      <c r="G36" s="21">
        <v>53949.26</v>
      </c>
      <c r="H36" s="23" t="s">
        <v>253</v>
      </c>
      <c r="I36" s="19">
        <v>43808</v>
      </c>
      <c r="J36" s="24">
        <v>1</v>
      </c>
      <c r="K36" s="23" t="s">
        <v>291</v>
      </c>
      <c r="L36" s="23" t="s">
        <v>27</v>
      </c>
      <c r="M36" s="20">
        <v>6.67</v>
      </c>
      <c r="N36" s="23" t="s">
        <v>250</v>
      </c>
    </row>
    <row r="37" spans="1:14" x14ac:dyDescent="0.35">
      <c r="A37" t="s">
        <v>348</v>
      </c>
      <c r="B37" s="23" t="s">
        <v>349</v>
      </c>
      <c r="D37" s="23" t="s">
        <v>350</v>
      </c>
      <c r="E37" s="23" t="s">
        <v>88</v>
      </c>
      <c r="F37" s="23" t="s">
        <v>69</v>
      </c>
      <c r="G37" s="21">
        <v>113616.23</v>
      </c>
      <c r="H37" s="23" t="s">
        <v>249</v>
      </c>
      <c r="I37" s="19">
        <v>43255</v>
      </c>
      <c r="J37" s="24">
        <v>1</v>
      </c>
      <c r="K37" s="23" t="s">
        <v>13</v>
      </c>
      <c r="L37" s="23" t="s">
        <v>40</v>
      </c>
      <c r="M37" s="20">
        <v>8.19</v>
      </c>
      <c r="N37" s="23" t="s">
        <v>250</v>
      </c>
    </row>
    <row r="38" spans="1:14" x14ac:dyDescent="0.35">
      <c r="A38" t="s">
        <v>351</v>
      </c>
      <c r="B38" s="23" t="s">
        <v>352</v>
      </c>
      <c r="D38" s="23" t="s">
        <v>353</v>
      </c>
      <c r="E38" s="23" t="s">
        <v>11</v>
      </c>
      <c r="F38" s="23" t="s">
        <v>57</v>
      </c>
      <c r="G38" s="21">
        <v>110906.35</v>
      </c>
      <c r="H38" s="23" t="s">
        <v>249</v>
      </c>
      <c r="I38" s="19">
        <v>43434</v>
      </c>
      <c r="J38" s="24">
        <v>1</v>
      </c>
      <c r="K38" s="23" t="s">
        <v>291</v>
      </c>
      <c r="L38" s="23" t="s">
        <v>14</v>
      </c>
      <c r="M38" s="20">
        <v>7.7</v>
      </c>
      <c r="N38" s="23" t="s">
        <v>250</v>
      </c>
    </row>
    <row r="39" spans="1:14" x14ac:dyDescent="0.35">
      <c r="A39" t="s">
        <v>354</v>
      </c>
      <c r="B39" s="23" t="s">
        <v>355</v>
      </c>
      <c r="D39" s="23" t="s">
        <v>356</v>
      </c>
      <c r="E39" s="23" t="s">
        <v>11</v>
      </c>
      <c r="F39" s="23" t="s">
        <v>54</v>
      </c>
      <c r="G39" s="21">
        <v>100371.31</v>
      </c>
      <c r="H39" s="23" t="s">
        <v>249</v>
      </c>
      <c r="I39" s="19">
        <v>44067</v>
      </c>
      <c r="J39" s="24">
        <v>0.8</v>
      </c>
      <c r="K39" s="23" t="s">
        <v>261</v>
      </c>
      <c r="L39" s="23" t="s">
        <v>43</v>
      </c>
      <c r="M39" s="20">
        <v>5.96</v>
      </c>
      <c r="N39" s="23" t="s">
        <v>254</v>
      </c>
    </row>
    <row r="40" spans="1:14" x14ac:dyDescent="0.35">
      <c r="A40" t="s">
        <v>357</v>
      </c>
      <c r="B40" s="23" t="s">
        <v>358</v>
      </c>
      <c r="D40" s="23" t="s">
        <v>359</v>
      </c>
      <c r="E40" s="23" t="s">
        <v>11</v>
      </c>
      <c r="F40" s="23" t="s">
        <v>12</v>
      </c>
      <c r="G40" s="21">
        <v>69163.39</v>
      </c>
      <c r="H40" s="23" t="s">
        <v>253</v>
      </c>
      <c r="I40" s="19">
        <v>43397</v>
      </c>
      <c r="J40" s="24">
        <v>1</v>
      </c>
      <c r="K40" s="23" t="s">
        <v>13</v>
      </c>
      <c r="L40" s="23" t="s">
        <v>40</v>
      </c>
      <c r="M40" s="20">
        <v>7.8</v>
      </c>
      <c r="N40" s="23" t="s">
        <v>250</v>
      </c>
    </row>
    <row r="41" spans="1:14" x14ac:dyDescent="0.35">
      <c r="A41" t="s">
        <v>360</v>
      </c>
      <c r="B41" s="23" t="s">
        <v>361</v>
      </c>
      <c r="D41" s="23" t="s">
        <v>362</v>
      </c>
      <c r="E41" s="23" t="s">
        <v>88</v>
      </c>
      <c r="F41" s="23" t="s">
        <v>18</v>
      </c>
      <c r="G41" s="21">
        <v>114691.03</v>
      </c>
      <c r="H41" s="23" t="s">
        <v>249</v>
      </c>
      <c r="I41" s="19">
        <v>44039</v>
      </c>
      <c r="J41" s="24">
        <v>1</v>
      </c>
      <c r="K41" s="23" t="s">
        <v>291</v>
      </c>
      <c r="L41" s="23" t="s">
        <v>14</v>
      </c>
      <c r="M41" s="20">
        <v>6.04</v>
      </c>
      <c r="N41" s="23" t="s">
        <v>250</v>
      </c>
    </row>
    <row r="42" spans="1:14" x14ac:dyDescent="0.35">
      <c r="A42" t="s">
        <v>363</v>
      </c>
      <c r="B42" s="23" t="s">
        <v>364</v>
      </c>
      <c r="C42" s="23" t="s">
        <v>365</v>
      </c>
      <c r="D42" s="23" t="s">
        <v>366</v>
      </c>
      <c r="E42" s="23" t="s">
        <v>88</v>
      </c>
      <c r="F42" s="23" t="s">
        <v>72</v>
      </c>
      <c r="G42" s="21">
        <v>86556.96</v>
      </c>
      <c r="H42" s="23" t="s">
        <v>253</v>
      </c>
      <c r="I42" s="19">
        <v>44104</v>
      </c>
      <c r="J42" s="24">
        <v>1</v>
      </c>
      <c r="K42" s="23" t="s">
        <v>13</v>
      </c>
      <c r="L42" s="23" t="s">
        <v>19</v>
      </c>
      <c r="M42" s="20">
        <v>5.86</v>
      </c>
      <c r="N42" s="23" t="s">
        <v>250</v>
      </c>
    </row>
    <row r="43" spans="1:14" x14ac:dyDescent="0.35">
      <c r="A43" t="s">
        <v>367</v>
      </c>
      <c r="B43" s="23" t="s">
        <v>368</v>
      </c>
      <c r="D43" s="23" t="s">
        <v>369</v>
      </c>
      <c r="E43" s="23" t="s">
        <v>11</v>
      </c>
      <c r="F43" s="23" t="s">
        <v>35</v>
      </c>
      <c r="G43" s="21">
        <v>31172.77</v>
      </c>
      <c r="H43" s="23" t="s">
        <v>282</v>
      </c>
      <c r="I43" s="19">
        <v>43665</v>
      </c>
      <c r="J43" s="24">
        <v>1</v>
      </c>
      <c r="K43" s="23" t="s">
        <v>261</v>
      </c>
      <c r="L43" s="23" t="s">
        <v>40</v>
      </c>
      <c r="M43" s="20">
        <v>7.07</v>
      </c>
      <c r="N43" s="23" t="s">
        <v>250</v>
      </c>
    </row>
    <row r="44" spans="1:14" x14ac:dyDescent="0.35">
      <c r="A44" t="s">
        <v>370</v>
      </c>
      <c r="B44" s="23" t="s">
        <v>371</v>
      </c>
      <c r="D44" s="23" t="s">
        <v>372</v>
      </c>
      <c r="E44" s="23" t="s">
        <v>88</v>
      </c>
      <c r="F44" s="23" t="s">
        <v>22</v>
      </c>
      <c r="G44" s="21">
        <v>80169.42</v>
      </c>
      <c r="H44" s="23" t="s">
        <v>253</v>
      </c>
      <c r="I44" s="19">
        <v>44053</v>
      </c>
      <c r="J44" s="24">
        <v>1</v>
      </c>
      <c r="K44" s="23" t="s">
        <v>13</v>
      </c>
      <c r="L44" s="23" t="s">
        <v>43</v>
      </c>
      <c r="M44" s="20">
        <v>6</v>
      </c>
      <c r="N44" s="23" t="s">
        <v>250</v>
      </c>
    </row>
    <row r="45" spans="1:14" x14ac:dyDescent="0.35">
      <c r="A45" t="s">
        <v>345</v>
      </c>
      <c r="B45" s="23" t="s">
        <v>346</v>
      </c>
      <c r="D45" s="23" t="s">
        <v>347</v>
      </c>
      <c r="E45" s="23" t="s">
        <v>88</v>
      </c>
      <c r="F45" s="23" t="s">
        <v>18</v>
      </c>
      <c r="G45" s="21">
        <v>53949.26</v>
      </c>
      <c r="H45" s="23" t="s">
        <v>253</v>
      </c>
      <c r="I45" s="19">
        <v>43808</v>
      </c>
      <c r="J45" s="24">
        <v>1</v>
      </c>
      <c r="K45" s="23" t="s">
        <v>291</v>
      </c>
      <c r="L45" s="23" t="s">
        <v>27</v>
      </c>
      <c r="M45" s="20">
        <v>6.67</v>
      </c>
      <c r="N45" s="23" t="s">
        <v>250</v>
      </c>
    </row>
    <row r="46" spans="1:14" x14ac:dyDescent="0.35">
      <c r="A46" t="s">
        <v>373</v>
      </c>
      <c r="B46" s="23" t="s">
        <v>374</v>
      </c>
      <c r="D46" s="23" t="s">
        <v>375</v>
      </c>
      <c r="E46" s="23" t="s">
        <v>11</v>
      </c>
      <c r="F46" s="23" t="s">
        <v>54</v>
      </c>
      <c r="G46" s="21">
        <v>58935.92</v>
      </c>
      <c r="H46" s="23" t="s">
        <v>253</v>
      </c>
      <c r="I46" s="19">
        <v>43717</v>
      </c>
      <c r="J46" s="24">
        <v>1</v>
      </c>
      <c r="K46" s="23" t="s">
        <v>291</v>
      </c>
      <c r="L46" s="23" t="s">
        <v>19</v>
      </c>
      <c r="M46" s="20">
        <v>6.92</v>
      </c>
      <c r="N46" s="23" t="s">
        <v>250</v>
      </c>
    </row>
    <row r="47" spans="1:14" x14ac:dyDescent="0.35">
      <c r="A47" t="s">
        <v>376</v>
      </c>
      <c r="B47" s="23" t="s">
        <v>377</v>
      </c>
      <c r="D47" s="23" t="s">
        <v>378</v>
      </c>
      <c r="E47" s="23" t="s">
        <v>11</v>
      </c>
      <c r="F47" s="23" t="s">
        <v>54</v>
      </c>
      <c r="G47" s="21">
        <v>63555.73</v>
      </c>
      <c r="H47" s="23" t="s">
        <v>253</v>
      </c>
      <c r="I47" s="19">
        <v>44159</v>
      </c>
      <c r="J47" s="24">
        <v>1</v>
      </c>
      <c r="K47" s="23" t="s">
        <v>13</v>
      </c>
      <c r="L47" s="23" t="s">
        <v>109</v>
      </c>
      <c r="M47" s="20">
        <v>5.71</v>
      </c>
      <c r="N47" s="23" t="s">
        <v>250</v>
      </c>
    </row>
    <row r="48" spans="1:14" x14ac:dyDescent="0.35">
      <c r="A48" t="s">
        <v>379</v>
      </c>
      <c r="B48" s="23" t="s">
        <v>380</v>
      </c>
      <c r="D48" s="23" t="s">
        <v>381</v>
      </c>
      <c r="E48" s="23" t="s">
        <v>88</v>
      </c>
      <c r="F48" s="23" t="s">
        <v>12</v>
      </c>
      <c r="G48" s="21">
        <v>57419.35</v>
      </c>
      <c r="H48" s="23" t="s">
        <v>253</v>
      </c>
      <c r="I48" s="19">
        <v>43305</v>
      </c>
      <c r="J48" s="24">
        <v>1</v>
      </c>
      <c r="K48" s="23" t="s">
        <v>261</v>
      </c>
      <c r="L48" s="23" t="s">
        <v>43</v>
      </c>
      <c r="M48" s="20">
        <v>8.0500000000000007</v>
      </c>
      <c r="N48" s="23" t="s">
        <v>250</v>
      </c>
    </row>
    <row r="49" spans="1:14" x14ac:dyDescent="0.35">
      <c r="A49" t="s">
        <v>382</v>
      </c>
      <c r="B49" s="23" t="s">
        <v>383</v>
      </c>
      <c r="D49" s="23" t="s">
        <v>384</v>
      </c>
      <c r="E49" s="23" t="s">
        <v>11</v>
      </c>
      <c r="F49" s="23" t="s">
        <v>57</v>
      </c>
      <c r="G49" s="21">
        <v>67818.14</v>
      </c>
      <c r="H49" s="23" t="s">
        <v>253</v>
      </c>
      <c r="I49" s="19">
        <v>43406</v>
      </c>
      <c r="J49" s="24">
        <v>0.6</v>
      </c>
      <c r="K49" s="23" t="s">
        <v>261</v>
      </c>
      <c r="L49" s="23" t="s">
        <v>40</v>
      </c>
      <c r="M49" s="20">
        <v>7.78</v>
      </c>
      <c r="N49" s="23" t="s">
        <v>254</v>
      </c>
    </row>
    <row r="50" spans="1:14" x14ac:dyDescent="0.35">
      <c r="A50" t="s">
        <v>385</v>
      </c>
      <c r="B50" s="23" t="s">
        <v>386</v>
      </c>
      <c r="D50" s="23" t="s">
        <v>387</v>
      </c>
      <c r="E50" s="23" t="s">
        <v>11</v>
      </c>
      <c r="F50" s="23" t="s">
        <v>26</v>
      </c>
      <c r="G50" s="21">
        <v>44403.77</v>
      </c>
      <c r="H50" s="23" t="s">
        <v>282</v>
      </c>
      <c r="I50" s="19">
        <v>43416</v>
      </c>
      <c r="J50" s="24">
        <v>1</v>
      </c>
      <c r="K50" s="23" t="s">
        <v>13</v>
      </c>
      <c r="L50" s="23" t="s">
        <v>19</v>
      </c>
      <c r="M50" s="20">
        <v>7.75</v>
      </c>
      <c r="N50" s="23" t="s">
        <v>250</v>
      </c>
    </row>
    <row r="51" spans="1:14" x14ac:dyDescent="0.35">
      <c r="A51" t="s">
        <v>388</v>
      </c>
      <c r="B51" s="23" t="s">
        <v>389</v>
      </c>
      <c r="D51" s="23" t="s">
        <v>390</v>
      </c>
      <c r="E51" s="23" t="s">
        <v>88</v>
      </c>
      <c r="F51" s="23" t="s">
        <v>66</v>
      </c>
      <c r="G51" s="21">
        <v>40753.54</v>
      </c>
      <c r="H51" s="23" t="s">
        <v>282</v>
      </c>
      <c r="I51" s="19">
        <v>43152</v>
      </c>
      <c r="J51" s="24">
        <v>0.6</v>
      </c>
      <c r="K51" s="23" t="s">
        <v>13</v>
      </c>
      <c r="L51" s="23" t="s">
        <v>14</v>
      </c>
      <c r="M51" s="20">
        <v>8.4700000000000006</v>
      </c>
      <c r="N51" s="23" t="s">
        <v>254</v>
      </c>
    </row>
    <row r="52" spans="1:14" x14ac:dyDescent="0.35">
      <c r="A52" t="s">
        <v>16</v>
      </c>
      <c r="B52" s="23" t="s">
        <v>391</v>
      </c>
      <c r="C52" s="23" t="s">
        <v>392</v>
      </c>
      <c r="D52" s="23" t="s">
        <v>393</v>
      </c>
      <c r="E52" s="23" t="s">
        <v>11</v>
      </c>
      <c r="F52" s="23" t="s">
        <v>18</v>
      </c>
      <c r="G52" s="21">
        <v>102934.09</v>
      </c>
      <c r="H52" s="23" t="s">
        <v>249</v>
      </c>
      <c r="I52" s="19">
        <v>44315</v>
      </c>
      <c r="J52" s="24">
        <v>1</v>
      </c>
      <c r="K52" s="23" t="s">
        <v>13</v>
      </c>
      <c r="L52" s="23" t="s">
        <v>19</v>
      </c>
      <c r="M52" s="20">
        <v>5.28</v>
      </c>
      <c r="N52" s="23" t="s">
        <v>250</v>
      </c>
    </row>
    <row r="53" spans="1:14" x14ac:dyDescent="0.35">
      <c r="A53" t="s">
        <v>394</v>
      </c>
      <c r="B53" s="23" t="s">
        <v>395</v>
      </c>
      <c r="D53" s="23" t="s">
        <v>396</v>
      </c>
      <c r="E53" s="23" t="s">
        <v>88</v>
      </c>
      <c r="F53" s="23" t="s">
        <v>51</v>
      </c>
      <c r="G53" s="21">
        <v>68860.399999999994</v>
      </c>
      <c r="H53" s="23" t="s">
        <v>253</v>
      </c>
      <c r="I53" s="19">
        <v>43508</v>
      </c>
      <c r="J53" s="24">
        <v>0.4</v>
      </c>
      <c r="K53" s="23" t="s">
        <v>13</v>
      </c>
      <c r="L53" s="23" t="s">
        <v>27</v>
      </c>
      <c r="M53" s="20">
        <v>7.5</v>
      </c>
      <c r="N53" s="23" t="s">
        <v>254</v>
      </c>
    </row>
    <row r="54" spans="1:14" x14ac:dyDescent="0.35">
      <c r="A54" t="s">
        <v>397</v>
      </c>
      <c r="B54" s="23" t="s">
        <v>398</v>
      </c>
      <c r="D54" s="23" t="s">
        <v>399</v>
      </c>
      <c r="E54" s="23" t="s">
        <v>88</v>
      </c>
      <c r="F54" s="23" t="s">
        <v>18</v>
      </c>
      <c r="G54" s="21">
        <v>79567.69</v>
      </c>
      <c r="H54" s="23" t="s">
        <v>253</v>
      </c>
      <c r="I54" s="19">
        <v>43272</v>
      </c>
      <c r="J54" s="24">
        <v>1</v>
      </c>
      <c r="K54" s="23" t="s">
        <v>261</v>
      </c>
      <c r="L54" s="23" t="s">
        <v>109</v>
      </c>
      <c r="M54" s="20">
        <v>8.14</v>
      </c>
      <c r="N54" s="23" t="s">
        <v>250</v>
      </c>
    </row>
    <row r="55" spans="1:14" x14ac:dyDescent="0.35">
      <c r="A55" t="s">
        <v>84</v>
      </c>
      <c r="B55" s="23" t="s">
        <v>400</v>
      </c>
      <c r="D55" s="23" t="s">
        <v>401</v>
      </c>
      <c r="E55" s="23" t="s">
        <v>11</v>
      </c>
      <c r="F55" s="23" t="s">
        <v>72</v>
      </c>
      <c r="G55" s="21">
        <v>35943.620000000003</v>
      </c>
      <c r="H55" s="23" t="s">
        <v>282</v>
      </c>
      <c r="I55" s="19">
        <v>44078</v>
      </c>
      <c r="J55" s="24">
        <v>1</v>
      </c>
      <c r="K55" s="23" t="s">
        <v>13</v>
      </c>
      <c r="L55" s="23" t="s">
        <v>27</v>
      </c>
      <c r="M55" s="20">
        <v>5.93</v>
      </c>
      <c r="N55" s="23" t="s">
        <v>250</v>
      </c>
    </row>
    <row r="56" spans="1:14" x14ac:dyDescent="0.35">
      <c r="A56" t="s">
        <v>402</v>
      </c>
      <c r="B56" s="23" t="s">
        <v>403</v>
      </c>
      <c r="C56" s="23" t="s">
        <v>404</v>
      </c>
      <c r="D56" s="23" t="s">
        <v>405</v>
      </c>
      <c r="E56" s="23" t="s">
        <v>11</v>
      </c>
      <c r="F56" s="23" t="s">
        <v>18</v>
      </c>
      <c r="G56" s="21">
        <v>116767.63</v>
      </c>
      <c r="H56" s="23" t="s">
        <v>249</v>
      </c>
      <c r="I56" s="19">
        <v>43949</v>
      </c>
      <c r="J56" s="24">
        <v>0.4</v>
      </c>
      <c r="K56" s="23" t="s">
        <v>291</v>
      </c>
      <c r="L56" s="23" t="s">
        <v>109</v>
      </c>
      <c r="M56" s="20">
        <v>6.29</v>
      </c>
      <c r="N56" s="23" t="s">
        <v>254</v>
      </c>
    </row>
    <row r="57" spans="1:14" x14ac:dyDescent="0.35">
      <c r="A57" t="s">
        <v>406</v>
      </c>
      <c r="B57" s="23" t="s">
        <v>407</v>
      </c>
      <c r="D57" s="23" t="s">
        <v>408</v>
      </c>
      <c r="E57" s="23" t="s">
        <v>88</v>
      </c>
      <c r="F57" s="23" t="s">
        <v>32</v>
      </c>
      <c r="G57" s="21">
        <v>85455.53</v>
      </c>
      <c r="H57" s="23" t="s">
        <v>253</v>
      </c>
      <c r="I57" s="19">
        <v>43839</v>
      </c>
      <c r="J57" s="24">
        <v>1</v>
      </c>
      <c r="K57" s="23" t="s">
        <v>13</v>
      </c>
      <c r="L57" s="23" t="s">
        <v>14</v>
      </c>
      <c r="M57" s="20">
        <v>6.59</v>
      </c>
      <c r="N57" s="23" t="s">
        <v>250</v>
      </c>
    </row>
    <row r="58" spans="1:14" x14ac:dyDescent="0.35">
      <c r="A58" t="s">
        <v>409</v>
      </c>
      <c r="B58" s="23" t="s">
        <v>410</v>
      </c>
      <c r="D58" s="23" t="s">
        <v>411</v>
      </c>
      <c r="E58" s="23" t="s">
        <v>11</v>
      </c>
      <c r="F58" s="23" t="s">
        <v>32</v>
      </c>
      <c r="G58" s="21">
        <v>39700.82</v>
      </c>
      <c r="H58" s="23" t="s">
        <v>282</v>
      </c>
      <c r="I58" s="19">
        <v>44203</v>
      </c>
      <c r="J58" s="24">
        <v>0.8</v>
      </c>
      <c r="K58" s="23" t="s">
        <v>13</v>
      </c>
      <c r="L58" s="23" t="s">
        <v>109</v>
      </c>
      <c r="M58" s="20">
        <v>5.59</v>
      </c>
      <c r="N58" s="23" t="s">
        <v>254</v>
      </c>
    </row>
    <row r="59" spans="1:14" x14ac:dyDescent="0.35">
      <c r="A59" t="s">
        <v>412</v>
      </c>
      <c r="B59" s="23" t="s">
        <v>413</v>
      </c>
      <c r="D59" s="23" t="s">
        <v>414</v>
      </c>
      <c r="E59" s="23" t="s">
        <v>11</v>
      </c>
      <c r="F59" s="23" t="s">
        <v>57</v>
      </c>
      <c r="G59" s="21">
        <v>38438.239999999998</v>
      </c>
      <c r="H59" s="23" t="s">
        <v>282</v>
      </c>
      <c r="I59" s="19">
        <v>43962</v>
      </c>
      <c r="J59" s="24">
        <v>1</v>
      </c>
      <c r="K59" s="23" t="s">
        <v>13</v>
      </c>
      <c r="L59" s="23" t="s">
        <v>109</v>
      </c>
      <c r="M59" s="20">
        <v>6.25</v>
      </c>
      <c r="N59" s="23" t="s">
        <v>250</v>
      </c>
    </row>
    <row r="60" spans="1:14" x14ac:dyDescent="0.35">
      <c r="A60" t="s">
        <v>415</v>
      </c>
      <c r="B60" s="23" t="s">
        <v>416</v>
      </c>
      <c r="D60" s="23" t="s">
        <v>417</v>
      </c>
      <c r="E60" s="23" t="s">
        <v>88</v>
      </c>
      <c r="F60" s="23" t="s">
        <v>26</v>
      </c>
      <c r="G60" s="21">
        <v>50855.53</v>
      </c>
      <c r="H60" s="23" t="s">
        <v>253</v>
      </c>
      <c r="I60" s="19">
        <v>44221</v>
      </c>
      <c r="J60" s="24">
        <v>1</v>
      </c>
      <c r="K60" s="23" t="s">
        <v>13</v>
      </c>
      <c r="L60" s="23" t="s">
        <v>14</v>
      </c>
      <c r="M60" s="20">
        <v>5.54</v>
      </c>
      <c r="N60" s="23" t="s">
        <v>250</v>
      </c>
    </row>
    <row r="61" spans="1:14" x14ac:dyDescent="0.35">
      <c r="A61" t="s">
        <v>418</v>
      </c>
      <c r="B61" s="23" t="s">
        <v>419</v>
      </c>
      <c r="D61" s="23" t="s">
        <v>420</v>
      </c>
      <c r="E61" s="23" t="s">
        <v>88</v>
      </c>
      <c r="F61" s="23" t="s">
        <v>54</v>
      </c>
      <c r="G61" s="21">
        <v>0</v>
      </c>
      <c r="H61" s="23" t="s">
        <v>282</v>
      </c>
      <c r="I61" s="19">
        <v>43724</v>
      </c>
      <c r="J61" s="24">
        <v>0.2</v>
      </c>
      <c r="K61" s="23" t="s">
        <v>13</v>
      </c>
      <c r="L61" s="23" t="s">
        <v>43</v>
      </c>
      <c r="M61" s="20">
        <v>6.9</v>
      </c>
      <c r="N61" s="23" t="s">
        <v>254</v>
      </c>
    </row>
    <row r="62" spans="1:14" x14ac:dyDescent="0.35">
      <c r="A62" t="s">
        <v>127</v>
      </c>
      <c r="B62" s="23" t="s">
        <v>421</v>
      </c>
      <c r="D62" s="23" t="s">
        <v>422</v>
      </c>
      <c r="E62" s="23" t="s">
        <v>88</v>
      </c>
      <c r="F62" s="23" t="s">
        <v>66</v>
      </c>
      <c r="G62" s="21">
        <v>37362.300000000003</v>
      </c>
      <c r="H62" s="23" t="s">
        <v>282</v>
      </c>
      <c r="I62" s="19">
        <v>43642</v>
      </c>
      <c r="J62" s="24">
        <v>1</v>
      </c>
      <c r="K62" s="23" t="s">
        <v>13</v>
      </c>
      <c r="L62" s="23" t="s">
        <v>43</v>
      </c>
      <c r="M62" s="20">
        <v>7.13</v>
      </c>
      <c r="N62" s="23" t="s">
        <v>250</v>
      </c>
    </row>
    <row r="63" spans="1:14" x14ac:dyDescent="0.35">
      <c r="A63" t="s">
        <v>423</v>
      </c>
      <c r="B63" s="23" t="s">
        <v>424</v>
      </c>
      <c r="D63" s="23" t="s">
        <v>425</v>
      </c>
      <c r="E63" s="23" t="s">
        <v>88</v>
      </c>
      <c r="F63" s="23" t="s">
        <v>72</v>
      </c>
      <c r="G63" s="21">
        <v>72876.91</v>
      </c>
      <c r="H63" s="23" t="s">
        <v>253</v>
      </c>
      <c r="I63" s="19">
        <v>43612</v>
      </c>
      <c r="J63" s="24">
        <v>0.4</v>
      </c>
      <c r="K63" s="23" t="s">
        <v>261</v>
      </c>
      <c r="L63" s="23" t="s">
        <v>43</v>
      </c>
      <c r="M63" s="20">
        <v>7.21</v>
      </c>
      <c r="N63" s="23" t="s">
        <v>254</v>
      </c>
    </row>
    <row r="64" spans="1:14" x14ac:dyDescent="0.35">
      <c r="A64" t="s">
        <v>426</v>
      </c>
      <c r="B64" s="23" t="s">
        <v>427</v>
      </c>
      <c r="D64" s="23" t="s">
        <v>428</v>
      </c>
      <c r="E64" s="23" t="s">
        <v>11</v>
      </c>
      <c r="F64" s="23" t="s">
        <v>69</v>
      </c>
      <c r="G64" s="21">
        <v>31042.51</v>
      </c>
      <c r="H64" s="23" t="s">
        <v>282</v>
      </c>
      <c r="I64" s="19">
        <v>44473</v>
      </c>
      <c r="J64" s="24">
        <v>0.3</v>
      </c>
      <c r="K64" s="23" t="s">
        <v>261</v>
      </c>
      <c r="L64" s="23" t="s">
        <v>40</v>
      </c>
      <c r="M64" s="20">
        <v>4.8499999999999996</v>
      </c>
      <c r="N64" s="23" t="s">
        <v>254</v>
      </c>
    </row>
    <row r="65" spans="1:14" x14ac:dyDescent="0.35">
      <c r="A65" t="s">
        <v>67</v>
      </c>
      <c r="B65" s="23" t="s">
        <v>429</v>
      </c>
      <c r="D65" s="23" t="s">
        <v>430</v>
      </c>
      <c r="E65" s="23" t="s">
        <v>11</v>
      </c>
      <c r="F65" s="23" t="s">
        <v>69</v>
      </c>
      <c r="G65" s="21">
        <v>63705.4</v>
      </c>
      <c r="H65" s="23" t="s">
        <v>253</v>
      </c>
      <c r="I65" s="19">
        <v>43682</v>
      </c>
      <c r="J65" s="24">
        <v>1</v>
      </c>
      <c r="K65" s="23" t="s">
        <v>13</v>
      </c>
      <c r="L65" s="23" t="s">
        <v>19</v>
      </c>
      <c r="M65" s="20">
        <v>7.02</v>
      </c>
      <c r="N65" s="23" t="s">
        <v>250</v>
      </c>
    </row>
    <row r="66" spans="1:14" x14ac:dyDescent="0.35">
      <c r="A66" t="s">
        <v>431</v>
      </c>
      <c r="B66" s="23" t="s">
        <v>432</v>
      </c>
      <c r="D66" s="23" t="s">
        <v>433</v>
      </c>
      <c r="E66" s="23" t="s">
        <v>11</v>
      </c>
      <c r="F66" s="23" t="s">
        <v>32</v>
      </c>
      <c r="G66" s="21">
        <v>59434.18</v>
      </c>
      <c r="H66" s="23" t="s">
        <v>253</v>
      </c>
      <c r="I66" s="19">
        <v>43931</v>
      </c>
      <c r="J66" s="24">
        <v>1</v>
      </c>
      <c r="K66" s="23" t="s">
        <v>291</v>
      </c>
      <c r="L66" s="23" t="s">
        <v>23</v>
      </c>
      <c r="M66" s="20">
        <v>6.34</v>
      </c>
      <c r="N66" s="23" t="s">
        <v>250</v>
      </c>
    </row>
    <row r="67" spans="1:14" x14ac:dyDescent="0.35">
      <c r="A67" t="s">
        <v>434</v>
      </c>
      <c r="B67" s="23" t="s">
        <v>435</v>
      </c>
      <c r="D67" s="23" t="s">
        <v>436</v>
      </c>
      <c r="E67" s="23" t="s">
        <v>11</v>
      </c>
      <c r="F67" s="23" t="s">
        <v>51</v>
      </c>
      <c r="G67" s="21">
        <v>84762.76</v>
      </c>
      <c r="H67" s="23" t="s">
        <v>253</v>
      </c>
      <c r="I67" s="19">
        <v>43332</v>
      </c>
      <c r="J67" s="24">
        <v>1</v>
      </c>
      <c r="K67" s="23" t="s">
        <v>13</v>
      </c>
      <c r="L67" s="23" t="s">
        <v>19</v>
      </c>
      <c r="M67" s="20">
        <v>7.98</v>
      </c>
      <c r="N67" s="23" t="s">
        <v>250</v>
      </c>
    </row>
    <row r="68" spans="1:14" x14ac:dyDescent="0.35">
      <c r="A68" t="s">
        <v>437</v>
      </c>
      <c r="B68" s="23" t="s">
        <v>438</v>
      </c>
      <c r="D68" s="23" t="s">
        <v>439</v>
      </c>
      <c r="E68" s="23" t="s">
        <v>11</v>
      </c>
      <c r="F68" s="23" t="s">
        <v>35</v>
      </c>
      <c r="G68" s="21">
        <v>69057.320000000007</v>
      </c>
      <c r="H68" s="23" t="s">
        <v>253</v>
      </c>
      <c r="I68" s="19">
        <v>43390</v>
      </c>
      <c r="J68" s="24">
        <v>1</v>
      </c>
      <c r="K68" s="23" t="s">
        <v>13</v>
      </c>
      <c r="L68" s="23" t="s">
        <v>14</v>
      </c>
      <c r="M68" s="20">
        <v>7.82</v>
      </c>
      <c r="N68" s="23" t="s">
        <v>250</v>
      </c>
    </row>
    <row r="69" spans="1:14" x14ac:dyDescent="0.35">
      <c r="A69" t="s">
        <v>440</v>
      </c>
      <c r="B69" s="23" t="s">
        <v>441</v>
      </c>
      <c r="D69" s="23" t="s">
        <v>442</v>
      </c>
      <c r="E69" s="23" t="s">
        <v>270</v>
      </c>
      <c r="F69" s="23" t="s">
        <v>72</v>
      </c>
      <c r="G69" s="21">
        <v>99448.78</v>
      </c>
      <c r="H69" s="23" t="s">
        <v>253</v>
      </c>
      <c r="I69" s="19">
        <v>43473</v>
      </c>
      <c r="J69" s="24">
        <v>1</v>
      </c>
      <c r="K69" s="23" t="s">
        <v>261</v>
      </c>
      <c r="L69" s="23" t="s">
        <v>14</v>
      </c>
      <c r="M69" s="20">
        <v>7.59</v>
      </c>
      <c r="N69" s="23" t="s">
        <v>250</v>
      </c>
    </row>
    <row r="70" spans="1:14" x14ac:dyDescent="0.35">
      <c r="A70" t="s">
        <v>443</v>
      </c>
      <c r="B70" s="23" t="s">
        <v>444</v>
      </c>
      <c r="D70" s="23" t="s">
        <v>445</v>
      </c>
      <c r="E70" s="23" t="s">
        <v>11</v>
      </c>
      <c r="F70" s="23" t="s">
        <v>57</v>
      </c>
      <c r="G70" s="21">
        <v>66865.490000000005</v>
      </c>
      <c r="H70" s="23" t="s">
        <v>253</v>
      </c>
      <c r="I70" s="19">
        <v>43514</v>
      </c>
      <c r="J70" s="24">
        <v>1</v>
      </c>
      <c r="K70" s="23" t="s">
        <v>13</v>
      </c>
      <c r="L70" s="23" t="s">
        <v>23</v>
      </c>
      <c r="M70" s="20">
        <v>7.48</v>
      </c>
      <c r="N70" s="23" t="s">
        <v>250</v>
      </c>
    </row>
    <row r="71" spans="1:14" x14ac:dyDescent="0.35">
      <c r="A71" t="s">
        <v>446</v>
      </c>
      <c r="B71" s="23" t="s">
        <v>447</v>
      </c>
      <c r="D71" s="23" t="s">
        <v>448</v>
      </c>
      <c r="E71" s="23" t="s">
        <v>88</v>
      </c>
      <c r="F71" s="23" t="s">
        <v>69</v>
      </c>
      <c r="G71" s="21">
        <v>113747.56</v>
      </c>
      <c r="H71" s="23" t="s">
        <v>249</v>
      </c>
      <c r="I71" s="19">
        <v>44270</v>
      </c>
      <c r="J71" s="24">
        <v>0.7</v>
      </c>
      <c r="K71" s="23" t="s">
        <v>291</v>
      </c>
      <c r="L71" s="23" t="s">
        <v>27</v>
      </c>
      <c r="M71" s="20">
        <v>5.41</v>
      </c>
      <c r="N71" s="23" t="s">
        <v>254</v>
      </c>
    </row>
    <row r="72" spans="1:14" x14ac:dyDescent="0.35">
      <c r="A72" t="s">
        <v>103</v>
      </c>
      <c r="B72" s="23" t="s">
        <v>449</v>
      </c>
      <c r="D72" s="23" t="s">
        <v>450</v>
      </c>
      <c r="E72" s="23" t="s">
        <v>88</v>
      </c>
      <c r="F72" s="23" t="s">
        <v>22</v>
      </c>
      <c r="G72" s="21">
        <v>85918.61</v>
      </c>
      <c r="H72" s="23" t="s">
        <v>253</v>
      </c>
      <c r="I72" s="19">
        <v>43136</v>
      </c>
      <c r="J72" s="24">
        <v>1</v>
      </c>
      <c r="K72" s="23" t="s">
        <v>13</v>
      </c>
      <c r="L72" s="23" t="s">
        <v>27</v>
      </c>
      <c r="M72" s="20">
        <v>8.52</v>
      </c>
      <c r="N72" s="23" t="s">
        <v>250</v>
      </c>
    </row>
    <row r="73" spans="1:14" x14ac:dyDescent="0.35">
      <c r="A73" t="s">
        <v>451</v>
      </c>
      <c r="B73" s="23" t="s">
        <v>452</v>
      </c>
      <c r="D73" s="23" t="s">
        <v>453</v>
      </c>
      <c r="E73" s="23" t="s">
        <v>11</v>
      </c>
      <c r="F73" s="23" t="s">
        <v>26</v>
      </c>
      <c r="G73" s="21">
        <v>51165.37</v>
      </c>
      <c r="H73" s="23" t="s">
        <v>253</v>
      </c>
      <c r="I73" s="19">
        <v>44237</v>
      </c>
      <c r="J73" s="24">
        <v>1</v>
      </c>
      <c r="K73" s="23" t="s">
        <v>261</v>
      </c>
      <c r="L73" s="23" t="s">
        <v>19</v>
      </c>
      <c r="M73" s="20">
        <v>5.5</v>
      </c>
      <c r="N73" s="23" t="s">
        <v>250</v>
      </c>
    </row>
    <row r="74" spans="1:14" x14ac:dyDescent="0.35">
      <c r="A74" t="s">
        <v>454</v>
      </c>
      <c r="B74" s="23" t="s">
        <v>455</v>
      </c>
      <c r="D74" s="23" t="s">
        <v>456</v>
      </c>
      <c r="E74" s="23" t="s">
        <v>270</v>
      </c>
      <c r="F74" s="23" t="s">
        <v>72</v>
      </c>
      <c r="G74" s="21">
        <v>67957.899999999994</v>
      </c>
      <c r="H74" s="23" t="s">
        <v>253</v>
      </c>
      <c r="I74" s="19">
        <v>43430</v>
      </c>
      <c r="J74" s="24">
        <v>1</v>
      </c>
      <c r="K74" s="23" t="s">
        <v>13</v>
      </c>
      <c r="L74" s="23" t="s">
        <v>109</v>
      </c>
      <c r="M74" s="20">
        <v>7.71</v>
      </c>
      <c r="N74" s="23" t="s">
        <v>250</v>
      </c>
    </row>
    <row r="75" spans="1:14" x14ac:dyDescent="0.35">
      <c r="A75" t="s">
        <v>457</v>
      </c>
      <c r="B75" s="23" t="s">
        <v>458</v>
      </c>
      <c r="D75" s="23" t="s">
        <v>459</v>
      </c>
      <c r="E75" s="23" t="s">
        <v>88</v>
      </c>
      <c r="F75" s="23" t="s">
        <v>26</v>
      </c>
      <c r="G75" s="21">
        <v>114465.93</v>
      </c>
      <c r="H75" s="23" t="s">
        <v>249</v>
      </c>
      <c r="I75" s="19">
        <v>43291</v>
      </c>
      <c r="J75" s="24">
        <v>1</v>
      </c>
      <c r="K75" s="23" t="s">
        <v>291</v>
      </c>
      <c r="L75" s="23" t="s">
        <v>14</v>
      </c>
      <c r="M75" s="20">
        <v>8.09</v>
      </c>
      <c r="N75" s="23" t="s">
        <v>250</v>
      </c>
    </row>
    <row r="76" spans="1:14" x14ac:dyDescent="0.35">
      <c r="A76" t="s">
        <v>115</v>
      </c>
      <c r="B76" s="23" t="s">
        <v>460</v>
      </c>
      <c r="D76" s="23" t="s">
        <v>461</v>
      </c>
      <c r="E76" s="23" t="s">
        <v>88</v>
      </c>
      <c r="F76" s="23" t="s">
        <v>66</v>
      </c>
      <c r="G76" s="21">
        <v>65699.02</v>
      </c>
      <c r="H76" s="23" t="s">
        <v>253</v>
      </c>
      <c r="I76" s="19">
        <v>43951</v>
      </c>
      <c r="J76" s="24">
        <v>1</v>
      </c>
      <c r="K76" s="23" t="s">
        <v>13</v>
      </c>
      <c r="L76" s="23" t="s">
        <v>27</v>
      </c>
      <c r="M76" s="20">
        <v>6.28</v>
      </c>
      <c r="N76" s="23" t="s">
        <v>250</v>
      </c>
    </row>
    <row r="77" spans="1:14" x14ac:dyDescent="0.35">
      <c r="A77" t="s">
        <v>462</v>
      </c>
      <c r="B77" s="23" t="s">
        <v>463</v>
      </c>
      <c r="D77" s="23" t="s">
        <v>464</v>
      </c>
      <c r="E77" s="23" t="s">
        <v>88</v>
      </c>
      <c r="F77" s="23" t="s">
        <v>51</v>
      </c>
      <c r="G77" s="21">
        <v>83191.95</v>
      </c>
      <c r="H77" s="23" t="s">
        <v>253</v>
      </c>
      <c r="I77" s="19">
        <v>43700</v>
      </c>
      <c r="J77" s="24">
        <v>0.6</v>
      </c>
      <c r="K77" s="23" t="s">
        <v>291</v>
      </c>
      <c r="L77" s="23" t="s">
        <v>40</v>
      </c>
      <c r="M77" s="20">
        <v>6.97</v>
      </c>
      <c r="N77" s="23" t="s">
        <v>254</v>
      </c>
    </row>
    <row r="78" spans="1:14" x14ac:dyDescent="0.35">
      <c r="A78" t="s">
        <v>465</v>
      </c>
      <c r="B78" s="23" t="s">
        <v>466</v>
      </c>
      <c r="D78" s="23" t="s">
        <v>467</v>
      </c>
      <c r="E78" s="23" t="s">
        <v>88</v>
      </c>
      <c r="F78" s="23" t="s">
        <v>57</v>
      </c>
      <c r="G78" s="21">
        <v>106775.14</v>
      </c>
      <c r="H78" s="23" t="s">
        <v>249</v>
      </c>
      <c r="I78" s="19">
        <v>43563</v>
      </c>
      <c r="J78" s="24">
        <v>1</v>
      </c>
      <c r="K78" s="23" t="s">
        <v>261</v>
      </c>
      <c r="L78" s="23" t="s">
        <v>19</v>
      </c>
      <c r="M78" s="20">
        <v>7.35</v>
      </c>
      <c r="N78" s="23" t="s">
        <v>250</v>
      </c>
    </row>
    <row r="79" spans="1:14" x14ac:dyDescent="0.35">
      <c r="A79" t="s">
        <v>468</v>
      </c>
      <c r="B79" s="23" t="s">
        <v>469</v>
      </c>
      <c r="D79" s="23" t="s">
        <v>470</v>
      </c>
      <c r="E79" s="23" t="s">
        <v>88</v>
      </c>
      <c r="F79" s="23" t="s">
        <v>72</v>
      </c>
      <c r="G79" s="21">
        <v>83396.5</v>
      </c>
      <c r="H79" s="23" t="s">
        <v>253</v>
      </c>
      <c r="I79" s="19">
        <v>44285</v>
      </c>
      <c r="J79" s="24">
        <v>1</v>
      </c>
      <c r="K79" s="23" t="s">
        <v>291</v>
      </c>
      <c r="L79" s="23" t="s">
        <v>43</v>
      </c>
      <c r="M79" s="20">
        <v>5.37</v>
      </c>
      <c r="N79" s="23" t="s">
        <v>250</v>
      </c>
    </row>
    <row r="80" spans="1:14" x14ac:dyDescent="0.35">
      <c r="A80" t="s">
        <v>471</v>
      </c>
      <c r="B80" s="23" t="s">
        <v>472</v>
      </c>
      <c r="D80" s="23" t="s">
        <v>473</v>
      </c>
      <c r="E80" s="23" t="s">
        <v>88</v>
      </c>
      <c r="F80" s="23" t="s">
        <v>69</v>
      </c>
      <c r="G80" s="21">
        <v>28481.16</v>
      </c>
      <c r="H80" s="23" t="s">
        <v>282</v>
      </c>
      <c r="I80" s="19">
        <v>44228</v>
      </c>
      <c r="J80" s="24">
        <v>1</v>
      </c>
      <c r="K80" s="23" t="s">
        <v>291</v>
      </c>
      <c r="L80" s="23" t="s">
        <v>109</v>
      </c>
      <c r="M80" s="20">
        <v>5.52</v>
      </c>
      <c r="N80" s="23" t="s">
        <v>250</v>
      </c>
    </row>
    <row r="81" spans="1:14" x14ac:dyDescent="0.35">
      <c r="A81" t="s">
        <v>135</v>
      </c>
      <c r="B81" s="23" t="s">
        <v>474</v>
      </c>
      <c r="C81" s="23" t="s">
        <v>475</v>
      </c>
      <c r="D81" s="23" t="s">
        <v>476</v>
      </c>
      <c r="E81" s="23" t="s">
        <v>88</v>
      </c>
      <c r="F81" s="23" t="s">
        <v>51</v>
      </c>
      <c r="G81" s="21">
        <v>32192.15</v>
      </c>
      <c r="H81" s="23" t="s">
        <v>282</v>
      </c>
      <c r="I81" s="19">
        <v>44473</v>
      </c>
      <c r="J81" s="24">
        <v>1</v>
      </c>
      <c r="K81" s="23" t="s">
        <v>13</v>
      </c>
      <c r="L81" s="23" t="s">
        <v>19</v>
      </c>
      <c r="M81" s="20">
        <v>4.8499999999999996</v>
      </c>
      <c r="N81" s="23" t="s">
        <v>250</v>
      </c>
    </row>
    <row r="82" spans="1:14" x14ac:dyDescent="0.35">
      <c r="A82" t="s">
        <v>93</v>
      </c>
      <c r="B82" s="23" t="s">
        <v>477</v>
      </c>
      <c r="D82" s="23" t="s">
        <v>478</v>
      </c>
      <c r="E82" s="23" t="s">
        <v>88</v>
      </c>
      <c r="F82" s="23" t="s">
        <v>26</v>
      </c>
      <c r="G82" s="21">
        <v>112645.99</v>
      </c>
      <c r="H82" s="23" t="s">
        <v>249</v>
      </c>
      <c r="I82" s="19">
        <v>43759</v>
      </c>
      <c r="J82" s="24">
        <v>0.6</v>
      </c>
      <c r="K82" s="23" t="s">
        <v>13</v>
      </c>
      <c r="L82" s="23" t="s">
        <v>23</v>
      </c>
      <c r="M82" s="20">
        <v>6.81</v>
      </c>
      <c r="N82" s="23" t="s">
        <v>254</v>
      </c>
    </row>
    <row r="83" spans="1:14" x14ac:dyDescent="0.35">
      <c r="A83" t="s">
        <v>479</v>
      </c>
      <c r="B83" s="23" t="s">
        <v>480</v>
      </c>
      <c r="D83" s="23" t="s">
        <v>481</v>
      </c>
      <c r="E83" s="23" t="s">
        <v>270</v>
      </c>
      <c r="F83" s="23" t="s">
        <v>12</v>
      </c>
      <c r="G83" s="21">
        <v>107107.6</v>
      </c>
      <c r="H83" s="23" t="s">
        <v>249</v>
      </c>
      <c r="I83" s="19">
        <v>43325</v>
      </c>
      <c r="J83" s="24">
        <v>0.9</v>
      </c>
      <c r="K83" s="23" t="s">
        <v>13</v>
      </c>
      <c r="L83" s="23" t="s">
        <v>109</v>
      </c>
      <c r="M83" s="20">
        <v>8</v>
      </c>
      <c r="N83" s="23" t="s">
        <v>254</v>
      </c>
    </row>
    <row r="84" spans="1:14" x14ac:dyDescent="0.35">
      <c r="A84" t="s">
        <v>46</v>
      </c>
      <c r="B84" s="23" t="s">
        <v>482</v>
      </c>
      <c r="D84" s="23" t="s">
        <v>483</v>
      </c>
      <c r="E84" s="23" t="s">
        <v>11</v>
      </c>
      <c r="F84" s="23" t="s">
        <v>22</v>
      </c>
      <c r="G84" s="21">
        <v>80695.740000000005</v>
      </c>
      <c r="H84" s="23" t="s">
        <v>253</v>
      </c>
      <c r="I84" s="19">
        <v>43787</v>
      </c>
      <c r="J84" s="24">
        <v>0.8</v>
      </c>
      <c r="K84" s="23" t="s">
        <v>13</v>
      </c>
      <c r="L84" s="23" t="s">
        <v>27</v>
      </c>
      <c r="M84" s="20">
        <v>6.73</v>
      </c>
      <c r="N84" s="23" t="s">
        <v>254</v>
      </c>
    </row>
    <row r="85" spans="1:14" x14ac:dyDescent="0.35">
      <c r="A85" t="s">
        <v>484</v>
      </c>
      <c r="B85" s="23" t="s">
        <v>485</v>
      </c>
      <c r="D85" s="23" t="s">
        <v>486</v>
      </c>
      <c r="E85" s="23" t="s">
        <v>11</v>
      </c>
      <c r="F85" s="23" t="s">
        <v>57</v>
      </c>
      <c r="G85" s="21">
        <v>75475.929999999993</v>
      </c>
      <c r="H85" s="23" t="s">
        <v>253</v>
      </c>
      <c r="I85" s="19">
        <v>43794</v>
      </c>
      <c r="J85" s="24">
        <v>1</v>
      </c>
      <c r="K85" s="23" t="s">
        <v>13</v>
      </c>
      <c r="L85" s="23" t="s">
        <v>40</v>
      </c>
      <c r="M85" s="20">
        <v>6.71</v>
      </c>
      <c r="N85" s="23" t="s">
        <v>250</v>
      </c>
    </row>
    <row r="86" spans="1:14" x14ac:dyDescent="0.35">
      <c r="A86" t="s">
        <v>487</v>
      </c>
      <c r="B86" s="23" t="s">
        <v>488</v>
      </c>
      <c r="D86" s="23" t="s">
        <v>489</v>
      </c>
      <c r="E86" s="23" t="s">
        <v>11</v>
      </c>
      <c r="F86" s="23" t="s">
        <v>22</v>
      </c>
      <c r="G86" s="21">
        <v>86558.58</v>
      </c>
      <c r="H86" s="23" t="s">
        <v>253</v>
      </c>
      <c r="I86" s="19">
        <v>43887</v>
      </c>
      <c r="J86" s="24">
        <v>1</v>
      </c>
      <c r="K86" s="23" t="s">
        <v>261</v>
      </c>
      <c r="L86" s="23" t="s">
        <v>40</v>
      </c>
      <c r="M86" s="20">
        <v>6.46</v>
      </c>
      <c r="N86" s="23" t="s">
        <v>250</v>
      </c>
    </row>
    <row r="87" spans="1:14" x14ac:dyDescent="0.35">
      <c r="A87" t="s">
        <v>38</v>
      </c>
      <c r="B87" s="23" t="s">
        <v>490</v>
      </c>
      <c r="D87" s="23" t="s">
        <v>491</v>
      </c>
      <c r="E87" s="23" t="s">
        <v>11</v>
      </c>
      <c r="F87" s="23" t="s">
        <v>32</v>
      </c>
      <c r="G87" s="21">
        <v>84309.95</v>
      </c>
      <c r="H87" s="23" t="s">
        <v>253</v>
      </c>
      <c r="I87" s="19">
        <v>44501</v>
      </c>
      <c r="J87" s="24">
        <v>1</v>
      </c>
      <c r="K87" s="23" t="s">
        <v>13</v>
      </c>
      <c r="L87" s="23" t="s">
        <v>40</v>
      </c>
      <c r="M87" s="20">
        <v>4.78</v>
      </c>
      <c r="N87" s="23" t="s">
        <v>250</v>
      </c>
    </row>
    <row r="88" spans="1:14" x14ac:dyDescent="0.35">
      <c r="A88" t="s">
        <v>101</v>
      </c>
      <c r="B88" s="23" t="s">
        <v>492</v>
      </c>
      <c r="D88" s="23" t="s">
        <v>493</v>
      </c>
      <c r="E88" s="23" t="s">
        <v>88</v>
      </c>
      <c r="F88" s="23" t="s">
        <v>12</v>
      </c>
      <c r="G88" s="21">
        <v>91645.04</v>
      </c>
      <c r="H88" s="23" t="s">
        <v>253</v>
      </c>
      <c r="I88" s="19">
        <v>44223</v>
      </c>
      <c r="J88" s="24">
        <v>1</v>
      </c>
      <c r="K88" s="23" t="s">
        <v>13</v>
      </c>
      <c r="L88" s="23" t="s">
        <v>43</v>
      </c>
      <c r="M88" s="20">
        <v>5.54</v>
      </c>
      <c r="N88" s="23" t="s">
        <v>250</v>
      </c>
    </row>
    <row r="89" spans="1:14" x14ac:dyDescent="0.35">
      <c r="A89" t="s">
        <v>494</v>
      </c>
      <c r="B89" s="23" t="s">
        <v>495</v>
      </c>
      <c r="D89" s="23" t="s">
        <v>496</v>
      </c>
      <c r="E89" s="23" t="s">
        <v>11</v>
      </c>
      <c r="F89" s="23" t="s">
        <v>18</v>
      </c>
      <c r="G89" s="21">
        <v>101187.36</v>
      </c>
      <c r="H89" s="23" t="s">
        <v>249</v>
      </c>
      <c r="I89" s="19">
        <v>43258</v>
      </c>
      <c r="J89" s="24">
        <v>1</v>
      </c>
      <c r="K89" s="23" t="s">
        <v>261</v>
      </c>
      <c r="L89" s="23" t="s">
        <v>27</v>
      </c>
      <c r="M89" s="20">
        <v>8.18</v>
      </c>
      <c r="N89" s="23" t="s">
        <v>250</v>
      </c>
    </row>
    <row r="90" spans="1:14" x14ac:dyDescent="0.35">
      <c r="A90" t="s">
        <v>370</v>
      </c>
      <c r="B90" s="23" t="s">
        <v>371</v>
      </c>
      <c r="D90" s="23" t="s">
        <v>372</v>
      </c>
      <c r="E90" s="23" t="s">
        <v>88</v>
      </c>
      <c r="F90" s="23" t="s">
        <v>22</v>
      </c>
      <c r="G90" s="21">
        <v>80169.42</v>
      </c>
      <c r="H90" s="23" t="s">
        <v>253</v>
      </c>
      <c r="I90" s="19">
        <v>44053</v>
      </c>
      <c r="J90" s="24">
        <v>1</v>
      </c>
      <c r="K90" s="23" t="s">
        <v>13</v>
      </c>
      <c r="L90" s="23" t="s">
        <v>43</v>
      </c>
      <c r="M90" s="20">
        <v>6</v>
      </c>
      <c r="N90" s="23" t="s">
        <v>250</v>
      </c>
    </row>
    <row r="91" spans="1:14" x14ac:dyDescent="0.35">
      <c r="A91" t="s">
        <v>497</v>
      </c>
      <c r="B91" s="23" t="s">
        <v>498</v>
      </c>
      <c r="D91" s="23" t="s">
        <v>499</v>
      </c>
      <c r="E91" s="23" t="s">
        <v>11</v>
      </c>
      <c r="F91" s="23" t="s">
        <v>54</v>
      </c>
      <c r="G91" s="21">
        <v>104038.9</v>
      </c>
      <c r="H91" s="23" t="s">
        <v>249</v>
      </c>
      <c r="I91" s="19">
        <v>43815</v>
      </c>
      <c r="J91" s="24">
        <v>1</v>
      </c>
      <c r="K91" s="23" t="s">
        <v>261</v>
      </c>
      <c r="L91" s="23" t="s">
        <v>40</v>
      </c>
      <c r="M91" s="20">
        <v>6.65</v>
      </c>
      <c r="N91" s="23" t="s">
        <v>250</v>
      </c>
    </row>
    <row r="92" spans="1:14" x14ac:dyDescent="0.35">
      <c r="A92" t="s">
        <v>500</v>
      </c>
      <c r="B92" s="23" t="s">
        <v>501</v>
      </c>
      <c r="D92" s="23" t="s">
        <v>502</v>
      </c>
      <c r="E92" s="23" t="s">
        <v>11</v>
      </c>
      <c r="F92" s="23" t="s">
        <v>32</v>
      </c>
      <c r="G92" s="21">
        <v>99683.67</v>
      </c>
      <c r="H92" s="23" t="s">
        <v>253</v>
      </c>
      <c r="I92" s="19">
        <v>43500</v>
      </c>
      <c r="J92" s="24">
        <v>1</v>
      </c>
      <c r="K92" s="23" t="s">
        <v>261</v>
      </c>
      <c r="L92" s="23" t="s">
        <v>23</v>
      </c>
      <c r="M92" s="20">
        <v>7.52</v>
      </c>
      <c r="N92" s="23" t="s">
        <v>250</v>
      </c>
    </row>
    <row r="93" spans="1:14" x14ac:dyDescent="0.35">
      <c r="A93" t="s">
        <v>503</v>
      </c>
      <c r="B93" s="23" t="s">
        <v>504</v>
      </c>
      <c r="D93" s="23" t="s">
        <v>505</v>
      </c>
      <c r="E93" s="23" t="s">
        <v>88</v>
      </c>
      <c r="F93" s="23" t="s">
        <v>26</v>
      </c>
      <c r="G93" s="21">
        <v>47362.62</v>
      </c>
      <c r="H93" s="23" t="s">
        <v>282</v>
      </c>
      <c r="I93" s="19">
        <v>43973</v>
      </c>
      <c r="J93" s="24">
        <v>1</v>
      </c>
      <c r="K93" s="23" t="s">
        <v>291</v>
      </c>
      <c r="L93" s="23" t="s">
        <v>40</v>
      </c>
      <c r="M93" s="20">
        <v>6.22</v>
      </c>
      <c r="N93" s="23" t="s">
        <v>250</v>
      </c>
    </row>
    <row r="94" spans="1:14" x14ac:dyDescent="0.35">
      <c r="A94" t="s">
        <v>58</v>
      </c>
      <c r="B94" s="23" t="s">
        <v>506</v>
      </c>
      <c r="D94" s="23" t="s">
        <v>507</v>
      </c>
      <c r="E94" s="23" t="s">
        <v>11</v>
      </c>
      <c r="F94" s="23" t="s">
        <v>22</v>
      </c>
      <c r="G94" s="21">
        <v>70649.460000000006</v>
      </c>
      <c r="H94" s="23" t="s">
        <v>253</v>
      </c>
      <c r="I94" s="19">
        <v>43843</v>
      </c>
      <c r="J94" s="24">
        <v>1</v>
      </c>
      <c r="K94" s="23" t="s">
        <v>13</v>
      </c>
      <c r="L94" s="23" t="s">
        <v>19</v>
      </c>
      <c r="M94" s="20">
        <v>6.58</v>
      </c>
      <c r="N94" s="23" t="s">
        <v>250</v>
      </c>
    </row>
    <row r="95" spans="1:14" x14ac:dyDescent="0.35">
      <c r="A95" t="s">
        <v>508</v>
      </c>
      <c r="B95" s="23" t="s">
        <v>509</v>
      </c>
      <c r="D95" s="23" t="s">
        <v>510</v>
      </c>
      <c r="E95" s="23" t="s">
        <v>11</v>
      </c>
      <c r="F95" s="23" t="s">
        <v>69</v>
      </c>
      <c r="G95" s="21">
        <v>75733.740000000005</v>
      </c>
      <c r="H95" s="23" t="s">
        <v>253</v>
      </c>
      <c r="I95" s="19">
        <v>44382</v>
      </c>
      <c r="J95" s="24">
        <v>1</v>
      </c>
      <c r="K95" s="23" t="s">
        <v>13</v>
      </c>
      <c r="L95" s="23" t="s">
        <v>19</v>
      </c>
      <c r="M95" s="20">
        <v>5.0999999999999996</v>
      </c>
      <c r="N95" s="23" t="s">
        <v>250</v>
      </c>
    </row>
    <row r="96" spans="1:14" x14ac:dyDescent="0.35">
      <c r="A96" t="s">
        <v>511</v>
      </c>
      <c r="B96" s="23" t="s">
        <v>512</v>
      </c>
      <c r="D96" s="23" t="s">
        <v>513</v>
      </c>
      <c r="E96" s="23" t="s">
        <v>11</v>
      </c>
      <c r="F96" s="23" t="s">
        <v>12</v>
      </c>
      <c r="G96" s="21">
        <v>71823.56</v>
      </c>
      <c r="H96" s="23" t="s">
        <v>253</v>
      </c>
      <c r="I96" s="19">
        <v>43374</v>
      </c>
      <c r="J96" s="24">
        <v>0.3</v>
      </c>
      <c r="K96" s="23" t="s">
        <v>291</v>
      </c>
      <c r="L96" s="23" t="s">
        <v>40</v>
      </c>
      <c r="M96" s="20">
        <v>7.86</v>
      </c>
      <c r="N96" s="23" t="s">
        <v>254</v>
      </c>
    </row>
    <row r="97" spans="1:14" x14ac:dyDescent="0.35">
      <c r="A97" t="s">
        <v>514</v>
      </c>
      <c r="B97" s="23" t="s">
        <v>515</v>
      </c>
      <c r="D97" s="23" t="s">
        <v>516</v>
      </c>
      <c r="E97" s="23" t="s">
        <v>11</v>
      </c>
      <c r="F97" s="23" t="s">
        <v>51</v>
      </c>
      <c r="G97" s="21">
        <v>41934.71</v>
      </c>
      <c r="H97" s="23" t="s">
        <v>282</v>
      </c>
      <c r="I97" s="19">
        <v>43943</v>
      </c>
      <c r="J97" s="24">
        <v>1</v>
      </c>
      <c r="K97" s="23" t="s">
        <v>13</v>
      </c>
      <c r="L97" s="23" t="s">
        <v>40</v>
      </c>
      <c r="M97" s="20">
        <v>6.3</v>
      </c>
      <c r="N97" s="23" t="s">
        <v>250</v>
      </c>
    </row>
    <row r="98" spans="1:14" x14ac:dyDescent="0.35">
      <c r="A98" t="s">
        <v>112</v>
      </c>
      <c r="B98" s="23" t="s">
        <v>517</v>
      </c>
      <c r="D98" s="23" t="s">
        <v>518</v>
      </c>
      <c r="E98" s="23" t="s">
        <v>88</v>
      </c>
      <c r="F98" s="23" t="s">
        <v>69</v>
      </c>
      <c r="G98" s="21">
        <v>66572.58</v>
      </c>
      <c r="H98" s="23" t="s">
        <v>253</v>
      </c>
      <c r="I98" s="19">
        <v>44193</v>
      </c>
      <c r="J98" s="24">
        <v>1</v>
      </c>
      <c r="K98" s="23" t="s">
        <v>13</v>
      </c>
      <c r="L98" s="23" t="s">
        <v>109</v>
      </c>
      <c r="M98" s="20">
        <v>5.62</v>
      </c>
      <c r="N98" s="23" t="s">
        <v>250</v>
      </c>
    </row>
    <row r="99" spans="1:14" x14ac:dyDescent="0.35">
      <c r="A99" t="s">
        <v>519</v>
      </c>
      <c r="B99" s="23" t="s">
        <v>520</v>
      </c>
      <c r="D99" s="23" t="s">
        <v>521</v>
      </c>
      <c r="E99" s="23" t="s">
        <v>88</v>
      </c>
      <c r="F99" s="23" t="s">
        <v>66</v>
      </c>
      <c r="G99" s="21">
        <v>76932.600000000006</v>
      </c>
      <c r="H99" s="23" t="s">
        <v>253</v>
      </c>
      <c r="I99" s="19">
        <v>43493</v>
      </c>
      <c r="J99" s="24">
        <v>1</v>
      </c>
      <c r="K99" s="23" t="s">
        <v>13</v>
      </c>
      <c r="L99" s="23" t="s">
        <v>19</v>
      </c>
      <c r="M99" s="20">
        <v>7.54</v>
      </c>
      <c r="N99" s="23" t="s">
        <v>250</v>
      </c>
    </row>
    <row r="100" spans="1:14" x14ac:dyDescent="0.35">
      <c r="A100" t="s">
        <v>522</v>
      </c>
      <c r="B100" s="23" t="s">
        <v>523</v>
      </c>
      <c r="D100" s="23" t="s">
        <v>524</v>
      </c>
      <c r="E100" s="23" t="s">
        <v>88</v>
      </c>
      <c r="F100" s="23" t="s">
        <v>54</v>
      </c>
      <c r="G100" s="21">
        <v>59258.19</v>
      </c>
      <c r="H100" s="23" t="s">
        <v>253</v>
      </c>
      <c r="I100" s="19">
        <v>43452</v>
      </c>
      <c r="J100" s="24">
        <v>0.8</v>
      </c>
      <c r="K100" s="23" t="s">
        <v>13</v>
      </c>
      <c r="L100" s="23" t="s">
        <v>23</v>
      </c>
      <c r="M100" s="20">
        <v>7.65</v>
      </c>
      <c r="N100" s="23" t="s">
        <v>254</v>
      </c>
    </row>
    <row r="101" spans="1:14" x14ac:dyDescent="0.35">
      <c r="A101" t="s">
        <v>525</v>
      </c>
      <c r="B101" s="23" t="s">
        <v>526</v>
      </c>
      <c r="D101" s="23" t="s">
        <v>527</v>
      </c>
      <c r="E101" s="23" t="s">
        <v>88</v>
      </c>
      <c r="F101" s="23" t="s">
        <v>18</v>
      </c>
      <c r="G101" s="21">
        <v>112778.28</v>
      </c>
      <c r="H101" s="23" t="s">
        <v>249</v>
      </c>
      <c r="I101" s="19">
        <v>43250</v>
      </c>
      <c r="J101" s="24">
        <v>1</v>
      </c>
      <c r="K101" s="23" t="s">
        <v>261</v>
      </c>
      <c r="L101" s="23" t="s">
        <v>40</v>
      </c>
      <c r="M101" s="20">
        <v>8.1999999999999993</v>
      </c>
      <c r="N101" s="23" t="s">
        <v>250</v>
      </c>
    </row>
    <row r="102" spans="1:14" x14ac:dyDescent="0.35">
      <c r="A102" t="s">
        <v>528</v>
      </c>
      <c r="B102" s="23" t="s">
        <v>529</v>
      </c>
      <c r="D102" s="23" t="s">
        <v>530</v>
      </c>
      <c r="E102" s="23" t="s">
        <v>11</v>
      </c>
      <c r="F102" s="23" t="s">
        <v>12</v>
      </c>
      <c r="G102" s="21">
        <v>44845.33</v>
      </c>
      <c r="H102" s="23" t="s">
        <v>282</v>
      </c>
      <c r="I102" s="19">
        <v>43277</v>
      </c>
      <c r="J102" s="24">
        <v>1</v>
      </c>
      <c r="K102" s="23" t="s">
        <v>13</v>
      </c>
      <c r="L102" s="23" t="s">
        <v>23</v>
      </c>
      <c r="M102" s="20">
        <v>8.1300000000000008</v>
      </c>
      <c r="N102" s="23" t="s">
        <v>250</v>
      </c>
    </row>
    <row r="103" spans="1:14" x14ac:dyDescent="0.35">
      <c r="A103" t="s">
        <v>91</v>
      </c>
      <c r="B103" s="23" t="s">
        <v>531</v>
      </c>
      <c r="D103" s="23" t="s">
        <v>532</v>
      </c>
      <c r="E103" s="23" t="s">
        <v>88</v>
      </c>
      <c r="F103" s="23" t="s">
        <v>57</v>
      </c>
      <c r="G103" s="21">
        <v>115191.38</v>
      </c>
      <c r="H103" s="23" t="s">
        <v>249</v>
      </c>
      <c r="I103" s="19">
        <v>44004</v>
      </c>
      <c r="J103" s="24">
        <v>1</v>
      </c>
      <c r="K103" s="23" t="s">
        <v>13</v>
      </c>
      <c r="L103" s="23" t="s">
        <v>19</v>
      </c>
      <c r="M103" s="20">
        <v>6.14</v>
      </c>
      <c r="N103" s="23" t="s">
        <v>250</v>
      </c>
    </row>
    <row r="104" spans="1:14" x14ac:dyDescent="0.35">
      <c r="A104" t="s">
        <v>533</v>
      </c>
      <c r="B104" s="23" t="s">
        <v>534</v>
      </c>
      <c r="D104" s="23" t="s">
        <v>535</v>
      </c>
      <c r="E104" s="23" t="s">
        <v>11</v>
      </c>
      <c r="F104" s="23" t="s">
        <v>69</v>
      </c>
      <c r="G104" s="21">
        <v>111049.84</v>
      </c>
      <c r="H104" s="23" t="s">
        <v>249</v>
      </c>
      <c r="I104" s="19">
        <v>44393</v>
      </c>
      <c r="J104" s="24">
        <v>1</v>
      </c>
      <c r="K104" s="23" t="s">
        <v>13</v>
      </c>
      <c r="L104" s="23" t="s">
        <v>14</v>
      </c>
      <c r="M104" s="20">
        <v>5.07</v>
      </c>
      <c r="N104" s="23" t="s">
        <v>250</v>
      </c>
    </row>
    <row r="105" spans="1:14" x14ac:dyDescent="0.35">
      <c r="A105" t="s">
        <v>52</v>
      </c>
      <c r="B105" s="23" t="s">
        <v>536</v>
      </c>
      <c r="D105" s="23" t="s">
        <v>537</v>
      </c>
      <c r="E105" s="23" t="s">
        <v>11</v>
      </c>
      <c r="F105" s="23" t="s">
        <v>54</v>
      </c>
      <c r="G105" s="21">
        <v>75974.990000000005</v>
      </c>
      <c r="H105" s="23" t="s">
        <v>253</v>
      </c>
      <c r="I105" s="19">
        <v>44172</v>
      </c>
      <c r="J105" s="24">
        <v>1</v>
      </c>
      <c r="K105" s="23" t="s">
        <v>13</v>
      </c>
      <c r="L105" s="23" t="s">
        <v>40</v>
      </c>
      <c r="M105" s="20">
        <v>5.68</v>
      </c>
      <c r="N105" s="23" t="s">
        <v>250</v>
      </c>
    </row>
    <row r="106" spans="1:14" x14ac:dyDescent="0.35">
      <c r="A106" t="s">
        <v>538</v>
      </c>
      <c r="B106" s="23" t="s">
        <v>539</v>
      </c>
      <c r="D106" s="23" t="s">
        <v>540</v>
      </c>
      <c r="E106" s="23" t="s">
        <v>11</v>
      </c>
      <c r="F106" s="23" t="s">
        <v>35</v>
      </c>
      <c r="G106" s="21">
        <v>42161.77</v>
      </c>
      <c r="H106" s="23" t="s">
        <v>282</v>
      </c>
      <c r="I106" s="19">
        <v>43494</v>
      </c>
      <c r="J106" s="24">
        <v>1</v>
      </c>
      <c r="K106" s="23" t="s">
        <v>13</v>
      </c>
      <c r="L106" s="23" t="s">
        <v>43</v>
      </c>
      <c r="M106" s="20">
        <v>7.53</v>
      </c>
      <c r="N106" s="23" t="s">
        <v>250</v>
      </c>
    </row>
    <row r="107" spans="1:14" x14ac:dyDescent="0.35">
      <c r="A107" t="s">
        <v>541</v>
      </c>
      <c r="B107" s="23" t="s">
        <v>542</v>
      </c>
      <c r="D107" s="23" t="s">
        <v>543</v>
      </c>
      <c r="E107" s="23" t="s">
        <v>88</v>
      </c>
      <c r="F107" s="23" t="s">
        <v>22</v>
      </c>
      <c r="G107" s="21">
        <v>71371.37</v>
      </c>
      <c r="H107" s="23" t="s">
        <v>253</v>
      </c>
      <c r="I107" s="19">
        <v>43392</v>
      </c>
      <c r="J107" s="24">
        <v>1</v>
      </c>
      <c r="K107" s="23" t="s">
        <v>13</v>
      </c>
      <c r="L107" s="23" t="s">
        <v>19</v>
      </c>
      <c r="M107" s="20">
        <v>7.81</v>
      </c>
      <c r="N107" s="23" t="s">
        <v>250</v>
      </c>
    </row>
    <row r="108" spans="1:14" x14ac:dyDescent="0.35">
      <c r="A108" t="s">
        <v>544</v>
      </c>
      <c r="B108" s="23" t="s">
        <v>545</v>
      </c>
      <c r="D108" s="23" t="s">
        <v>546</v>
      </c>
      <c r="E108" s="23" t="s">
        <v>88</v>
      </c>
      <c r="F108" s="23" t="s">
        <v>12</v>
      </c>
      <c r="G108" s="21">
        <v>49915.14</v>
      </c>
      <c r="H108" s="23" t="s">
        <v>282</v>
      </c>
      <c r="I108" s="19">
        <v>43550</v>
      </c>
      <c r="J108" s="24">
        <v>1</v>
      </c>
      <c r="K108" s="23" t="s">
        <v>13</v>
      </c>
      <c r="L108" s="23" t="s">
        <v>40</v>
      </c>
      <c r="M108" s="20">
        <v>7.38</v>
      </c>
      <c r="N108" s="23" t="s">
        <v>250</v>
      </c>
    </row>
    <row r="109" spans="1:14" x14ac:dyDescent="0.35">
      <c r="A109" t="s">
        <v>547</v>
      </c>
      <c r="B109" s="23" t="s">
        <v>548</v>
      </c>
      <c r="D109" s="23" t="s">
        <v>549</v>
      </c>
      <c r="E109" s="23" t="s">
        <v>11</v>
      </c>
      <c r="F109" s="23" t="s">
        <v>69</v>
      </c>
      <c r="G109" s="21">
        <v>0</v>
      </c>
      <c r="H109" s="23" t="s">
        <v>282</v>
      </c>
      <c r="I109" s="19">
        <v>44011</v>
      </c>
      <c r="J109" s="24">
        <v>1</v>
      </c>
      <c r="K109" s="23" t="s">
        <v>13</v>
      </c>
      <c r="L109" s="23" t="s">
        <v>14</v>
      </c>
      <c r="M109" s="20">
        <v>6.12</v>
      </c>
      <c r="N109" s="23" t="s">
        <v>250</v>
      </c>
    </row>
    <row r="110" spans="1:14" x14ac:dyDescent="0.35">
      <c r="A110" t="s">
        <v>550</v>
      </c>
      <c r="B110" s="23" t="s">
        <v>551</v>
      </c>
      <c r="D110" s="23" t="s">
        <v>552</v>
      </c>
      <c r="E110" s="23" t="s">
        <v>88</v>
      </c>
      <c r="F110" s="23" t="s">
        <v>54</v>
      </c>
      <c r="G110" s="21">
        <v>37062.1</v>
      </c>
      <c r="H110" s="23" t="s">
        <v>282</v>
      </c>
      <c r="I110" s="19">
        <v>44357</v>
      </c>
      <c r="J110" s="24">
        <v>1</v>
      </c>
      <c r="K110" s="23" t="s">
        <v>291</v>
      </c>
      <c r="L110" s="23" t="s">
        <v>109</v>
      </c>
      <c r="M110" s="20">
        <v>5.17</v>
      </c>
      <c r="N110" s="23" t="s">
        <v>250</v>
      </c>
    </row>
    <row r="111" spans="1:14" x14ac:dyDescent="0.35">
      <c r="A111" t="s">
        <v>553</v>
      </c>
      <c r="B111" s="23" t="s">
        <v>554</v>
      </c>
      <c r="D111" s="23" t="s">
        <v>555</v>
      </c>
      <c r="E111" s="23" t="s">
        <v>11</v>
      </c>
      <c r="F111" s="23" t="s">
        <v>32</v>
      </c>
      <c r="G111" s="21">
        <v>0</v>
      </c>
      <c r="H111" s="23" t="s">
        <v>282</v>
      </c>
      <c r="I111" s="19">
        <v>43504</v>
      </c>
      <c r="J111" s="24">
        <v>1</v>
      </c>
      <c r="K111" s="23" t="s">
        <v>13</v>
      </c>
      <c r="L111" s="23" t="s">
        <v>40</v>
      </c>
      <c r="M111" s="20">
        <v>7.51</v>
      </c>
      <c r="N111" s="23" t="s">
        <v>250</v>
      </c>
    </row>
    <row r="112" spans="1:14" x14ac:dyDescent="0.35">
      <c r="A112" t="s">
        <v>334</v>
      </c>
      <c r="B112" s="23" t="s">
        <v>335</v>
      </c>
      <c r="D112" s="23" t="s">
        <v>336</v>
      </c>
      <c r="E112" s="23" t="s">
        <v>88</v>
      </c>
      <c r="F112" s="23" t="s">
        <v>22</v>
      </c>
      <c r="G112" s="21">
        <v>90884.32</v>
      </c>
      <c r="H112" s="23" t="s">
        <v>253</v>
      </c>
      <c r="I112" s="19">
        <v>43826</v>
      </c>
      <c r="J112" s="24">
        <v>1</v>
      </c>
      <c r="K112" s="23" t="s">
        <v>13</v>
      </c>
      <c r="L112" s="23" t="s">
        <v>27</v>
      </c>
      <c r="M112" s="20">
        <v>6.62</v>
      </c>
      <c r="N112" s="23" t="s">
        <v>250</v>
      </c>
    </row>
    <row r="113" spans="1:14" x14ac:dyDescent="0.35">
      <c r="A113" t="s">
        <v>556</v>
      </c>
      <c r="B113" s="23" t="s">
        <v>557</v>
      </c>
      <c r="D113" s="23" t="s">
        <v>558</v>
      </c>
      <c r="E113" s="23" t="s">
        <v>88</v>
      </c>
      <c r="F113" s="23" t="s">
        <v>69</v>
      </c>
      <c r="G113" s="21">
        <v>89838.77</v>
      </c>
      <c r="H113" s="23" t="s">
        <v>253</v>
      </c>
      <c r="I113" s="19">
        <v>43602</v>
      </c>
      <c r="J113" s="24">
        <v>1</v>
      </c>
      <c r="K113" s="23" t="s">
        <v>13</v>
      </c>
      <c r="L113" s="23" t="s">
        <v>40</v>
      </c>
      <c r="M113" s="20">
        <v>7.24</v>
      </c>
      <c r="N113" s="23" t="s">
        <v>250</v>
      </c>
    </row>
    <row r="114" spans="1:14" x14ac:dyDescent="0.35">
      <c r="A114" t="s">
        <v>559</v>
      </c>
      <c r="B114" s="23" t="s">
        <v>560</v>
      </c>
      <c r="D114" s="23" t="s">
        <v>561</v>
      </c>
      <c r="E114" s="23" t="s">
        <v>88</v>
      </c>
      <c r="F114" s="23" t="s">
        <v>69</v>
      </c>
      <c r="G114" s="21">
        <v>0</v>
      </c>
      <c r="H114" s="23" t="s">
        <v>282</v>
      </c>
      <c r="I114" s="19">
        <v>44462</v>
      </c>
      <c r="J114" s="24">
        <v>1</v>
      </c>
      <c r="K114" s="23" t="s">
        <v>13</v>
      </c>
      <c r="L114" s="23" t="s">
        <v>109</v>
      </c>
      <c r="M114" s="20">
        <v>4.88</v>
      </c>
      <c r="N114" s="23" t="s">
        <v>250</v>
      </c>
    </row>
    <row r="115" spans="1:14" x14ac:dyDescent="0.35">
      <c r="A115" t="s">
        <v>562</v>
      </c>
      <c r="B115" s="23" t="s">
        <v>563</v>
      </c>
      <c r="D115" s="23" t="s">
        <v>564</v>
      </c>
      <c r="E115" s="23" t="s">
        <v>11</v>
      </c>
      <c r="F115" s="23" t="s">
        <v>12</v>
      </c>
      <c r="G115" s="21">
        <v>68887.839999999997</v>
      </c>
      <c r="H115" s="23" t="s">
        <v>253</v>
      </c>
      <c r="I115" s="19">
        <v>43297</v>
      </c>
      <c r="J115" s="24">
        <v>1</v>
      </c>
      <c r="K115" s="23" t="s">
        <v>13</v>
      </c>
      <c r="L115" s="23" t="s">
        <v>40</v>
      </c>
      <c r="M115" s="20">
        <v>8.07</v>
      </c>
      <c r="N115" s="23" t="s">
        <v>250</v>
      </c>
    </row>
    <row r="116" spans="1:14" x14ac:dyDescent="0.35">
      <c r="A116" t="s">
        <v>465</v>
      </c>
      <c r="B116" s="23" t="s">
        <v>565</v>
      </c>
      <c r="D116" s="23" t="s">
        <v>566</v>
      </c>
      <c r="E116" s="23" t="s">
        <v>88</v>
      </c>
      <c r="F116" s="23" t="s">
        <v>57</v>
      </c>
      <c r="G116" s="21">
        <v>106775.14</v>
      </c>
      <c r="H116" s="23" t="s">
        <v>249</v>
      </c>
      <c r="I116" s="19">
        <v>43563</v>
      </c>
      <c r="J116" s="24">
        <v>1</v>
      </c>
      <c r="K116" s="23" t="s">
        <v>261</v>
      </c>
      <c r="L116" s="23" t="s">
        <v>19</v>
      </c>
      <c r="M116" s="20">
        <v>7.35</v>
      </c>
      <c r="N116" s="23" t="s">
        <v>250</v>
      </c>
    </row>
    <row r="117" spans="1:14" x14ac:dyDescent="0.35">
      <c r="A117" t="s">
        <v>567</v>
      </c>
      <c r="B117" s="23" t="s">
        <v>568</v>
      </c>
      <c r="D117" s="23" t="s">
        <v>569</v>
      </c>
      <c r="E117" s="23" t="s">
        <v>11</v>
      </c>
      <c r="F117" s="23" t="s">
        <v>35</v>
      </c>
      <c r="G117" s="21">
        <v>89690.38</v>
      </c>
      <c r="H117" s="23" t="s">
        <v>253</v>
      </c>
      <c r="I117" s="19">
        <v>43213</v>
      </c>
      <c r="J117" s="24">
        <v>1</v>
      </c>
      <c r="K117" s="23" t="s">
        <v>13</v>
      </c>
      <c r="L117" s="23" t="s">
        <v>19</v>
      </c>
      <c r="M117" s="20">
        <v>8.3000000000000007</v>
      </c>
      <c r="N117" s="23" t="s">
        <v>250</v>
      </c>
    </row>
    <row r="118" spans="1:14" x14ac:dyDescent="0.35">
      <c r="A118" t="s">
        <v>570</v>
      </c>
      <c r="B118" s="23" t="s">
        <v>571</v>
      </c>
      <c r="D118" s="23" t="s">
        <v>572</v>
      </c>
      <c r="E118" s="23" t="s">
        <v>88</v>
      </c>
      <c r="F118" s="23" t="s">
        <v>57</v>
      </c>
      <c r="G118" s="21">
        <v>111229.47</v>
      </c>
      <c r="H118" s="23" t="s">
        <v>249</v>
      </c>
      <c r="I118" s="19">
        <v>43402</v>
      </c>
      <c r="J118" s="24">
        <v>1</v>
      </c>
      <c r="K118" s="23" t="s">
        <v>13</v>
      </c>
      <c r="L118" s="23" t="s">
        <v>40</v>
      </c>
      <c r="M118" s="20">
        <v>7.79</v>
      </c>
      <c r="N118" s="23" t="s">
        <v>250</v>
      </c>
    </row>
    <row r="119" spans="1:14" x14ac:dyDescent="0.35">
      <c r="A119" t="s">
        <v>573</v>
      </c>
      <c r="B119" s="23" t="s">
        <v>574</v>
      </c>
      <c r="D119" s="23" t="s">
        <v>575</v>
      </c>
      <c r="E119" s="23" t="s">
        <v>88</v>
      </c>
      <c r="F119" s="23" t="s">
        <v>12</v>
      </c>
      <c r="G119" s="21">
        <v>67633.850000000006</v>
      </c>
      <c r="H119" s="23" t="s">
        <v>253</v>
      </c>
      <c r="I119" s="19">
        <v>43340</v>
      </c>
      <c r="J119" s="24">
        <v>1</v>
      </c>
      <c r="K119" s="23" t="s">
        <v>13</v>
      </c>
      <c r="L119" s="23" t="s">
        <v>27</v>
      </c>
      <c r="M119" s="20">
        <v>7.96</v>
      </c>
      <c r="N119" s="23" t="s">
        <v>250</v>
      </c>
    </row>
    <row r="120" spans="1:14" x14ac:dyDescent="0.35">
      <c r="A120" t="s">
        <v>576</v>
      </c>
      <c r="B120" s="23" t="s">
        <v>577</v>
      </c>
      <c r="D120" s="23" t="s">
        <v>578</v>
      </c>
      <c r="E120" s="23" t="s">
        <v>88</v>
      </c>
      <c r="F120" s="23" t="s">
        <v>35</v>
      </c>
      <c r="G120" s="21">
        <v>111815.49</v>
      </c>
      <c r="H120" s="23" t="s">
        <v>249</v>
      </c>
      <c r="I120" s="19">
        <v>43895</v>
      </c>
      <c r="J120" s="24">
        <v>0.7</v>
      </c>
      <c r="K120" s="23" t="s">
        <v>291</v>
      </c>
      <c r="L120" s="23" t="s">
        <v>40</v>
      </c>
      <c r="M120" s="20">
        <v>6.44</v>
      </c>
      <c r="N120" s="23" t="s">
        <v>254</v>
      </c>
    </row>
    <row r="121" spans="1:14" x14ac:dyDescent="0.35">
      <c r="A121" t="s">
        <v>579</v>
      </c>
      <c r="B121" s="23" t="s">
        <v>580</v>
      </c>
      <c r="D121" s="23" t="s">
        <v>581</v>
      </c>
      <c r="E121" s="23" t="s">
        <v>88</v>
      </c>
      <c r="F121" s="23" t="s">
        <v>22</v>
      </c>
      <c r="G121" s="21">
        <v>39784.239999999998</v>
      </c>
      <c r="H121" s="23" t="s">
        <v>282</v>
      </c>
      <c r="I121" s="19">
        <v>43465</v>
      </c>
      <c r="J121" s="24">
        <v>1</v>
      </c>
      <c r="K121" s="23" t="s">
        <v>261</v>
      </c>
      <c r="L121" s="23" t="s">
        <v>109</v>
      </c>
      <c r="M121" s="20">
        <v>7.61</v>
      </c>
      <c r="N121" s="23" t="s">
        <v>250</v>
      </c>
    </row>
    <row r="122" spans="1:14" x14ac:dyDescent="0.35">
      <c r="A122" t="s">
        <v>582</v>
      </c>
      <c r="B122" s="23" t="s">
        <v>583</v>
      </c>
      <c r="D122" s="23" t="s">
        <v>584</v>
      </c>
      <c r="E122" s="23" t="s">
        <v>11</v>
      </c>
      <c r="F122" s="23" t="s">
        <v>57</v>
      </c>
      <c r="G122" s="21">
        <v>89829.33</v>
      </c>
      <c r="H122" s="23" t="s">
        <v>253</v>
      </c>
      <c r="I122" s="19">
        <v>43794</v>
      </c>
      <c r="J122" s="24">
        <v>1</v>
      </c>
      <c r="K122" s="23" t="s">
        <v>291</v>
      </c>
      <c r="L122" s="23" t="s">
        <v>109</v>
      </c>
      <c r="M122" s="20">
        <v>6.71</v>
      </c>
      <c r="N122" s="23" t="s">
        <v>250</v>
      </c>
    </row>
    <row r="123" spans="1:14" x14ac:dyDescent="0.35">
      <c r="A123" t="s">
        <v>576</v>
      </c>
      <c r="B123" s="23" t="s">
        <v>577</v>
      </c>
      <c r="D123" s="23" t="s">
        <v>578</v>
      </c>
      <c r="E123" s="23" t="s">
        <v>88</v>
      </c>
      <c r="F123" s="23" t="s">
        <v>35</v>
      </c>
      <c r="G123" s="21">
        <v>111815.49</v>
      </c>
      <c r="H123" s="23" t="s">
        <v>249</v>
      </c>
      <c r="I123" s="19">
        <v>43895</v>
      </c>
      <c r="J123" s="24">
        <v>0.7</v>
      </c>
      <c r="K123" s="23" t="s">
        <v>291</v>
      </c>
      <c r="L123" s="23" t="s">
        <v>40</v>
      </c>
      <c r="M123" s="20">
        <v>6.44</v>
      </c>
      <c r="N123" s="23" t="s">
        <v>254</v>
      </c>
    </row>
    <row r="124" spans="1:14" x14ac:dyDescent="0.35">
      <c r="A124" t="s">
        <v>585</v>
      </c>
      <c r="B124" s="23" t="s">
        <v>586</v>
      </c>
      <c r="D124" s="23" t="s">
        <v>587</v>
      </c>
      <c r="E124" s="23" t="s">
        <v>88</v>
      </c>
      <c r="F124" s="23" t="s">
        <v>69</v>
      </c>
      <c r="G124" s="21">
        <v>72843.23</v>
      </c>
      <c r="H124" s="23" t="s">
        <v>253</v>
      </c>
      <c r="I124" s="19">
        <v>43280</v>
      </c>
      <c r="J124" s="24">
        <v>1</v>
      </c>
      <c r="K124" s="23" t="s">
        <v>261</v>
      </c>
      <c r="L124" s="23" t="s">
        <v>14</v>
      </c>
      <c r="M124" s="20">
        <v>8.1199999999999992</v>
      </c>
      <c r="N124" s="23" t="s">
        <v>250</v>
      </c>
    </row>
    <row r="125" spans="1:14" x14ac:dyDescent="0.35">
      <c r="A125" t="s">
        <v>511</v>
      </c>
      <c r="B125" s="23" t="s">
        <v>512</v>
      </c>
      <c r="D125" s="23" t="s">
        <v>513</v>
      </c>
      <c r="E125" s="23" t="s">
        <v>11</v>
      </c>
      <c r="F125" s="23" t="s">
        <v>12</v>
      </c>
      <c r="G125" s="21">
        <v>71823.56</v>
      </c>
      <c r="H125" s="23" t="s">
        <v>253</v>
      </c>
      <c r="I125" s="19">
        <v>43374</v>
      </c>
      <c r="J125" s="24">
        <v>0.3</v>
      </c>
      <c r="K125" s="23" t="s">
        <v>291</v>
      </c>
      <c r="L125" s="23" t="s">
        <v>40</v>
      </c>
      <c r="M125" s="20">
        <v>7.86</v>
      </c>
      <c r="N125" s="23" t="s">
        <v>254</v>
      </c>
    </row>
    <row r="126" spans="1:14" x14ac:dyDescent="0.35">
      <c r="A126" t="s">
        <v>588</v>
      </c>
      <c r="B126" s="23" t="s">
        <v>589</v>
      </c>
      <c r="D126" s="23" t="s">
        <v>590</v>
      </c>
      <c r="E126" s="23" t="s">
        <v>88</v>
      </c>
      <c r="F126" s="23" t="s">
        <v>22</v>
      </c>
      <c r="G126" s="21">
        <v>88511.17</v>
      </c>
      <c r="H126" s="23" t="s">
        <v>253</v>
      </c>
      <c r="I126" s="19">
        <v>43950</v>
      </c>
      <c r="J126" s="24">
        <v>1</v>
      </c>
      <c r="K126" s="23" t="s">
        <v>13</v>
      </c>
      <c r="L126" s="23" t="s">
        <v>27</v>
      </c>
      <c r="M126" s="20">
        <v>6.28</v>
      </c>
      <c r="N126" s="23" t="s">
        <v>250</v>
      </c>
    </row>
    <row r="127" spans="1:14" x14ac:dyDescent="0.35">
      <c r="A127" t="s">
        <v>131</v>
      </c>
      <c r="B127" s="23" t="s">
        <v>591</v>
      </c>
      <c r="D127" s="23" t="s">
        <v>592</v>
      </c>
      <c r="E127" s="23" t="s">
        <v>88</v>
      </c>
      <c r="F127" s="23" t="s">
        <v>12</v>
      </c>
      <c r="G127" s="21">
        <v>36547.58</v>
      </c>
      <c r="H127" s="23" t="s">
        <v>282</v>
      </c>
      <c r="I127" s="19">
        <v>43416</v>
      </c>
      <c r="J127" s="24">
        <v>1</v>
      </c>
      <c r="K127" s="23" t="s">
        <v>13</v>
      </c>
      <c r="L127" s="23" t="s">
        <v>40</v>
      </c>
      <c r="M127" s="20">
        <v>7.75</v>
      </c>
      <c r="N127" s="23" t="s">
        <v>250</v>
      </c>
    </row>
    <row r="128" spans="1:14" x14ac:dyDescent="0.35">
      <c r="A128" t="s">
        <v>99</v>
      </c>
      <c r="B128" s="23" t="s">
        <v>593</v>
      </c>
      <c r="D128" s="23" t="s">
        <v>594</v>
      </c>
      <c r="E128" s="23" t="s">
        <v>88</v>
      </c>
      <c r="F128" s="23" t="s">
        <v>12</v>
      </c>
      <c r="G128" s="21">
        <v>95954.02</v>
      </c>
      <c r="H128" s="23" t="s">
        <v>253</v>
      </c>
      <c r="I128" s="19">
        <v>43567</v>
      </c>
      <c r="J128" s="24">
        <v>0.3</v>
      </c>
      <c r="K128" s="23" t="s">
        <v>13</v>
      </c>
      <c r="L128" s="23" t="s">
        <v>19</v>
      </c>
      <c r="M128" s="20">
        <v>7.33</v>
      </c>
      <c r="N128" s="23" t="s">
        <v>254</v>
      </c>
    </row>
    <row r="129" spans="1:14" x14ac:dyDescent="0.35">
      <c r="A129" t="s">
        <v>595</v>
      </c>
      <c r="B129" s="23" t="s">
        <v>596</v>
      </c>
      <c r="D129" s="23" t="s">
        <v>597</v>
      </c>
      <c r="E129" s="23" t="s">
        <v>11</v>
      </c>
      <c r="F129" s="23" t="s">
        <v>18</v>
      </c>
      <c r="G129" s="21">
        <v>95677.9</v>
      </c>
      <c r="H129" s="23" t="s">
        <v>253</v>
      </c>
      <c r="I129" s="19">
        <v>44396</v>
      </c>
      <c r="J129" s="24">
        <v>0.3</v>
      </c>
      <c r="K129" s="23" t="s">
        <v>13</v>
      </c>
      <c r="L129" s="23" t="s">
        <v>109</v>
      </c>
      <c r="M129" s="20">
        <v>5.0599999999999996</v>
      </c>
      <c r="N129" s="23" t="s">
        <v>254</v>
      </c>
    </row>
    <row r="130" spans="1:14" x14ac:dyDescent="0.35">
      <c r="A130" t="s">
        <v>598</v>
      </c>
      <c r="B130" s="23" t="s">
        <v>599</v>
      </c>
      <c r="D130" s="23" t="s">
        <v>600</v>
      </c>
      <c r="E130" s="23" t="s">
        <v>11</v>
      </c>
      <c r="F130" s="23" t="s">
        <v>12</v>
      </c>
      <c r="G130" s="21">
        <v>76303.820000000007</v>
      </c>
      <c r="H130" s="23" t="s">
        <v>253</v>
      </c>
      <c r="I130" s="19">
        <v>43458</v>
      </c>
      <c r="J130" s="24">
        <v>1</v>
      </c>
      <c r="K130" s="23" t="s">
        <v>261</v>
      </c>
      <c r="L130" s="23" t="s">
        <v>19</v>
      </c>
      <c r="M130" s="20">
        <v>7.63</v>
      </c>
      <c r="N130" s="23" t="s">
        <v>250</v>
      </c>
    </row>
    <row r="131" spans="1:14" x14ac:dyDescent="0.35">
      <c r="A131" t="s">
        <v>601</v>
      </c>
      <c r="B131" s="23" t="s">
        <v>602</v>
      </c>
      <c r="D131" s="23" t="s">
        <v>603</v>
      </c>
      <c r="E131" s="23" t="s">
        <v>88</v>
      </c>
      <c r="F131" s="23" t="s">
        <v>69</v>
      </c>
      <c r="G131" s="21">
        <v>99460.78</v>
      </c>
      <c r="H131" s="23" t="s">
        <v>253</v>
      </c>
      <c r="I131" s="19">
        <v>43956</v>
      </c>
      <c r="J131" s="24">
        <v>1</v>
      </c>
      <c r="K131" s="23" t="s">
        <v>13</v>
      </c>
      <c r="L131" s="23" t="s">
        <v>40</v>
      </c>
      <c r="M131" s="20">
        <v>6.27</v>
      </c>
      <c r="N131" s="23" t="s">
        <v>250</v>
      </c>
    </row>
    <row r="132" spans="1:14" x14ac:dyDescent="0.35">
      <c r="A132" t="s">
        <v>604</v>
      </c>
      <c r="B132" s="23" t="s">
        <v>605</v>
      </c>
      <c r="D132" s="23" t="s">
        <v>606</v>
      </c>
      <c r="E132" s="23" t="s">
        <v>11</v>
      </c>
      <c r="F132" s="23" t="s">
        <v>54</v>
      </c>
      <c r="G132" s="21">
        <v>88034.67</v>
      </c>
      <c r="H132" s="23" t="s">
        <v>253</v>
      </c>
      <c r="I132" s="19">
        <v>43669</v>
      </c>
      <c r="J132" s="24">
        <v>1</v>
      </c>
      <c r="K132" s="23" t="s">
        <v>13</v>
      </c>
      <c r="L132" s="23" t="s">
        <v>40</v>
      </c>
      <c r="M132" s="20">
        <v>7.05</v>
      </c>
      <c r="N132" s="23" t="s">
        <v>250</v>
      </c>
    </row>
    <row r="133" spans="1:14" x14ac:dyDescent="0.35">
      <c r="A133" t="s">
        <v>607</v>
      </c>
      <c r="B133" s="23" t="s">
        <v>608</v>
      </c>
      <c r="D133" s="23" t="s">
        <v>609</v>
      </c>
      <c r="E133" s="23" t="s">
        <v>11</v>
      </c>
      <c r="F133" s="23" t="s">
        <v>32</v>
      </c>
      <c r="G133" s="21">
        <v>44447.26</v>
      </c>
      <c r="H133" s="23" t="s">
        <v>282</v>
      </c>
      <c r="I133" s="19">
        <v>43846</v>
      </c>
      <c r="J133" s="24">
        <v>0.4</v>
      </c>
      <c r="K133" s="23" t="s">
        <v>13</v>
      </c>
      <c r="L133" s="23" t="s">
        <v>23</v>
      </c>
      <c r="M133" s="20">
        <v>6.57</v>
      </c>
      <c r="N133" s="23" t="s">
        <v>254</v>
      </c>
    </row>
    <row r="134" spans="1:14" x14ac:dyDescent="0.35">
      <c r="A134" t="s">
        <v>610</v>
      </c>
      <c r="B134" s="23" t="s">
        <v>611</v>
      </c>
      <c r="D134" s="23" t="s">
        <v>612</v>
      </c>
      <c r="E134" s="23" t="s">
        <v>88</v>
      </c>
      <c r="F134" s="23" t="s">
        <v>57</v>
      </c>
      <c r="G134" s="21">
        <v>40445.29</v>
      </c>
      <c r="H134" s="23" t="s">
        <v>282</v>
      </c>
      <c r="I134" s="19">
        <v>44393</v>
      </c>
      <c r="J134" s="24">
        <v>1</v>
      </c>
      <c r="K134" s="23" t="s">
        <v>13</v>
      </c>
      <c r="L134" s="23" t="s">
        <v>109</v>
      </c>
      <c r="M134" s="20">
        <v>5.07</v>
      </c>
      <c r="N134" s="23" t="s">
        <v>250</v>
      </c>
    </row>
    <row r="135" spans="1:14" x14ac:dyDescent="0.35">
      <c r="A135" t="s">
        <v>30</v>
      </c>
      <c r="B135" s="23" t="s">
        <v>613</v>
      </c>
      <c r="C135" s="23" t="s">
        <v>614</v>
      </c>
      <c r="D135" s="23" t="s">
        <v>615</v>
      </c>
      <c r="E135" s="23" t="s">
        <v>11</v>
      </c>
      <c r="F135" s="23" t="s">
        <v>32</v>
      </c>
      <c r="G135" s="21">
        <v>92336.08</v>
      </c>
      <c r="H135" s="23" t="s">
        <v>253</v>
      </c>
      <c r="I135" s="19">
        <v>44431</v>
      </c>
      <c r="J135" s="24">
        <v>1</v>
      </c>
      <c r="K135" s="23" t="s">
        <v>13</v>
      </c>
      <c r="L135" s="23" t="s">
        <v>19</v>
      </c>
      <c r="M135" s="20">
        <v>4.97</v>
      </c>
      <c r="N135" s="23" t="s">
        <v>250</v>
      </c>
    </row>
    <row r="136" spans="1:14" x14ac:dyDescent="0.35">
      <c r="A136" t="s">
        <v>616</v>
      </c>
      <c r="B136" s="23" t="s">
        <v>617</v>
      </c>
      <c r="D136" s="23" t="s">
        <v>618</v>
      </c>
      <c r="E136" s="23" t="s">
        <v>11</v>
      </c>
      <c r="F136" s="23" t="s">
        <v>66</v>
      </c>
      <c r="G136" s="21">
        <v>68008.55</v>
      </c>
      <c r="H136" s="23" t="s">
        <v>253</v>
      </c>
      <c r="I136" s="19">
        <v>44062</v>
      </c>
      <c r="J136" s="24">
        <v>1</v>
      </c>
      <c r="K136" s="23" t="s">
        <v>13</v>
      </c>
      <c r="L136" s="23" t="s">
        <v>43</v>
      </c>
      <c r="M136" s="20">
        <v>5.98</v>
      </c>
      <c r="N136" s="23" t="s">
        <v>250</v>
      </c>
    </row>
    <row r="137" spans="1:14" x14ac:dyDescent="0.35">
      <c r="A137" t="s">
        <v>619</v>
      </c>
      <c r="B137" s="23" t="s">
        <v>620</v>
      </c>
      <c r="C137" s="23" t="s">
        <v>621</v>
      </c>
      <c r="D137" s="23" t="s">
        <v>622</v>
      </c>
      <c r="E137" s="23" t="s">
        <v>88</v>
      </c>
      <c r="F137" s="23" t="s">
        <v>57</v>
      </c>
      <c r="G137" s="21">
        <v>74924.649999999994</v>
      </c>
      <c r="H137" s="23" t="s">
        <v>253</v>
      </c>
      <c r="I137" s="19">
        <v>44239</v>
      </c>
      <c r="J137" s="24">
        <v>1</v>
      </c>
      <c r="K137" s="23" t="s">
        <v>13</v>
      </c>
      <c r="L137" s="23" t="s">
        <v>19</v>
      </c>
      <c r="M137" s="20">
        <v>5.49</v>
      </c>
      <c r="N137" s="23" t="s">
        <v>250</v>
      </c>
    </row>
    <row r="138" spans="1:14" x14ac:dyDescent="0.35">
      <c r="A138" t="s">
        <v>623</v>
      </c>
      <c r="B138" s="23" t="s">
        <v>624</v>
      </c>
      <c r="D138" s="23" t="s">
        <v>625</v>
      </c>
      <c r="E138" s="23" t="s">
        <v>88</v>
      </c>
      <c r="F138" s="23" t="s">
        <v>35</v>
      </c>
      <c r="G138" s="21">
        <v>88689.09</v>
      </c>
      <c r="H138" s="23" t="s">
        <v>253</v>
      </c>
      <c r="I138" s="19">
        <v>43740</v>
      </c>
      <c r="J138" s="24">
        <v>1</v>
      </c>
      <c r="K138" s="23" t="s">
        <v>13</v>
      </c>
      <c r="L138" s="23" t="s">
        <v>23</v>
      </c>
      <c r="M138" s="20">
        <v>6.86</v>
      </c>
      <c r="N138" s="23" t="s">
        <v>250</v>
      </c>
    </row>
    <row r="139" spans="1:14" x14ac:dyDescent="0.35">
      <c r="A139" t="s">
        <v>626</v>
      </c>
      <c r="B139" s="23" t="s">
        <v>627</v>
      </c>
      <c r="D139" s="23" t="s">
        <v>628</v>
      </c>
      <c r="E139" s="23" t="s">
        <v>11</v>
      </c>
      <c r="F139" s="23" t="s">
        <v>32</v>
      </c>
      <c r="G139" s="21">
        <v>96555.53</v>
      </c>
      <c r="H139" s="23" t="s">
        <v>253</v>
      </c>
      <c r="I139" s="19">
        <v>43489</v>
      </c>
      <c r="J139" s="24">
        <v>0.2</v>
      </c>
      <c r="K139" s="23" t="s">
        <v>291</v>
      </c>
      <c r="L139" s="23" t="s">
        <v>19</v>
      </c>
      <c r="M139" s="20">
        <v>7.55</v>
      </c>
      <c r="N139" s="23" t="s">
        <v>254</v>
      </c>
    </row>
    <row r="140" spans="1:14" x14ac:dyDescent="0.35">
      <c r="A140" t="s">
        <v>629</v>
      </c>
      <c r="B140" s="23" t="s">
        <v>630</v>
      </c>
      <c r="D140" s="23" t="s">
        <v>631</v>
      </c>
      <c r="E140" s="23" t="s">
        <v>11</v>
      </c>
      <c r="F140" s="23" t="s">
        <v>54</v>
      </c>
      <c r="G140" s="21">
        <v>71924.850000000006</v>
      </c>
      <c r="H140" s="23" t="s">
        <v>253</v>
      </c>
      <c r="I140" s="19">
        <v>43822</v>
      </c>
      <c r="J140" s="24">
        <v>1</v>
      </c>
      <c r="K140" s="23" t="s">
        <v>13</v>
      </c>
      <c r="L140" s="23" t="s">
        <v>109</v>
      </c>
      <c r="M140" s="20">
        <v>6.64</v>
      </c>
      <c r="N140" s="23" t="s">
        <v>250</v>
      </c>
    </row>
    <row r="141" spans="1:14" x14ac:dyDescent="0.35">
      <c r="A141" t="s">
        <v>632</v>
      </c>
      <c r="B141" s="23" t="s">
        <v>633</v>
      </c>
      <c r="D141" s="23" t="s">
        <v>634</v>
      </c>
      <c r="E141" s="23" t="s">
        <v>88</v>
      </c>
      <c r="F141" s="23" t="s">
        <v>57</v>
      </c>
      <c r="G141" s="21">
        <v>31241.24</v>
      </c>
      <c r="H141" s="23" t="s">
        <v>282</v>
      </c>
      <c r="I141" s="19">
        <v>43725</v>
      </c>
      <c r="J141" s="24">
        <v>1</v>
      </c>
      <c r="K141" s="23" t="s">
        <v>13</v>
      </c>
      <c r="L141" s="23" t="s">
        <v>40</v>
      </c>
      <c r="M141" s="20">
        <v>6.9</v>
      </c>
      <c r="N141" s="23" t="s">
        <v>250</v>
      </c>
    </row>
    <row r="142" spans="1:14" x14ac:dyDescent="0.35">
      <c r="A142" t="s">
        <v>95</v>
      </c>
      <c r="B142" s="23" t="s">
        <v>635</v>
      </c>
      <c r="D142" s="23" t="s">
        <v>636</v>
      </c>
      <c r="E142" s="23" t="s">
        <v>88</v>
      </c>
      <c r="F142" s="23" t="s">
        <v>22</v>
      </c>
      <c r="G142" s="21">
        <v>110042.37</v>
      </c>
      <c r="H142" s="23" t="s">
        <v>249</v>
      </c>
      <c r="I142" s="19">
        <v>43914</v>
      </c>
      <c r="J142" s="24">
        <v>1</v>
      </c>
      <c r="K142" s="23" t="s">
        <v>13</v>
      </c>
      <c r="L142" s="23" t="s">
        <v>27</v>
      </c>
      <c r="M142" s="20">
        <v>6.38</v>
      </c>
      <c r="N142" s="23" t="s">
        <v>250</v>
      </c>
    </row>
    <row r="143" spans="1:14" x14ac:dyDescent="0.35">
      <c r="A143" t="s">
        <v>295</v>
      </c>
      <c r="B143" s="23" t="s">
        <v>637</v>
      </c>
      <c r="D143" s="23" t="s">
        <v>638</v>
      </c>
      <c r="E143" s="23" t="s">
        <v>11</v>
      </c>
      <c r="F143" s="23" t="s">
        <v>18</v>
      </c>
      <c r="G143" s="21">
        <v>37902.35</v>
      </c>
      <c r="H143" s="23" t="s">
        <v>282</v>
      </c>
      <c r="I143" s="19">
        <v>43823</v>
      </c>
      <c r="J143" s="24">
        <v>1</v>
      </c>
      <c r="K143" s="23" t="s">
        <v>13</v>
      </c>
      <c r="L143" s="23" t="s">
        <v>109</v>
      </c>
      <c r="M143" s="20">
        <v>6.63</v>
      </c>
      <c r="N143" s="23" t="s">
        <v>250</v>
      </c>
    </row>
    <row r="144" spans="1:14" x14ac:dyDescent="0.35">
      <c r="A144" t="s">
        <v>639</v>
      </c>
      <c r="B144" s="23" t="s">
        <v>640</v>
      </c>
      <c r="D144" s="23" t="s">
        <v>641</v>
      </c>
      <c r="E144" s="23" t="s">
        <v>11</v>
      </c>
      <c r="F144" s="23" t="s">
        <v>22</v>
      </c>
      <c r="G144" s="21">
        <v>33031.26</v>
      </c>
      <c r="H144" s="23" t="s">
        <v>282</v>
      </c>
      <c r="I144" s="19">
        <v>43468</v>
      </c>
      <c r="J144" s="24">
        <v>0.4</v>
      </c>
      <c r="K144" s="23" t="s">
        <v>13</v>
      </c>
      <c r="L144" s="23" t="s">
        <v>19</v>
      </c>
      <c r="M144" s="20">
        <v>7.61</v>
      </c>
      <c r="N144" s="23" t="s">
        <v>254</v>
      </c>
    </row>
    <row r="145" spans="1:14" x14ac:dyDescent="0.35">
      <c r="A145" t="s">
        <v>642</v>
      </c>
      <c r="B145" s="23" t="s">
        <v>643</v>
      </c>
      <c r="D145" s="23" t="s">
        <v>644</v>
      </c>
      <c r="E145" s="23" t="s">
        <v>11</v>
      </c>
      <c r="F145" s="23" t="s">
        <v>69</v>
      </c>
      <c r="G145" s="21">
        <v>32496.880000000001</v>
      </c>
      <c r="H145" s="23" t="s">
        <v>282</v>
      </c>
      <c r="I145" s="19">
        <v>43234</v>
      </c>
      <c r="J145" s="24">
        <v>1</v>
      </c>
      <c r="K145" s="23" t="s">
        <v>291</v>
      </c>
      <c r="L145" s="23" t="s">
        <v>40</v>
      </c>
      <c r="M145" s="20">
        <v>8.25</v>
      </c>
      <c r="N145" s="23" t="s">
        <v>250</v>
      </c>
    </row>
    <row r="146" spans="1:14" x14ac:dyDescent="0.35">
      <c r="A146" t="s">
        <v>41</v>
      </c>
      <c r="B146" s="23" t="s">
        <v>645</v>
      </c>
      <c r="D146" s="23" t="s">
        <v>646</v>
      </c>
      <c r="E146" s="23" t="s">
        <v>11</v>
      </c>
      <c r="F146" s="23" t="s">
        <v>35</v>
      </c>
      <c r="G146" s="21">
        <v>81897.789999999994</v>
      </c>
      <c r="H146" s="23" t="s">
        <v>253</v>
      </c>
      <c r="I146" s="19">
        <v>43146</v>
      </c>
      <c r="J146" s="24">
        <v>1</v>
      </c>
      <c r="K146" s="23" t="s">
        <v>13</v>
      </c>
      <c r="L146" s="23" t="s">
        <v>43</v>
      </c>
      <c r="M146" s="20">
        <v>8.49</v>
      </c>
      <c r="N146" s="23" t="s">
        <v>250</v>
      </c>
    </row>
    <row r="147" spans="1:14" x14ac:dyDescent="0.35">
      <c r="A147" t="s">
        <v>647</v>
      </c>
      <c r="B147" s="23" t="s">
        <v>648</v>
      </c>
      <c r="D147" s="23" t="s">
        <v>649</v>
      </c>
      <c r="E147" s="23" t="s">
        <v>88</v>
      </c>
      <c r="F147" s="23" t="s">
        <v>26</v>
      </c>
      <c r="G147" s="21">
        <v>108872.77</v>
      </c>
      <c r="H147" s="23" t="s">
        <v>249</v>
      </c>
      <c r="I147" s="19">
        <v>43521</v>
      </c>
      <c r="J147" s="24">
        <v>1</v>
      </c>
      <c r="K147" s="23" t="s">
        <v>13</v>
      </c>
      <c r="L147" s="23" t="s">
        <v>40</v>
      </c>
      <c r="M147" s="20">
        <v>7.46</v>
      </c>
      <c r="N147" s="23" t="s">
        <v>250</v>
      </c>
    </row>
    <row r="148" spans="1:14" x14ac:dyDescent="0.35">
      <c r="A148" t="s">
        <v>650</v>
      </c>
      <c r="B148" s="23" t="s">
        <v>651</v>
      </c>
      <c r="D148" s="23" t="s">
        <v>652</v>
      </c>
      <c r="E148" s="23" t="s">
        <v>88</v>
      </c>
      <c r="F148" s="23" t="s">
        <v>66</v>
      </c>
      <c r="G148" s="21">
        <v>89605.13</v>
      </c>
      <c r="H148" s="23" t="s">
        <v>253</v>
      </c>
      <c r="I148" s="19">
        <v>43258</v>
      </c>
      <c r="J148" s="24">
        <v>1</v>
      </c>
      <c r="K148" s="23" t="s">
        <v>13</v>
      </c>
      <c r="L148" s="23" t="s">
        <v>23</v>
      </c>
      <c r="M148" s="20">
        <v>8.18</v>
      </c>
      <c r="N148" s="23" t="s">
        <v>250</v>
      </c>
    </row>
    <row r="149" spans="1:14" x14ac:dyDescent="0.35">
      <c r="A149" t="s">
        <v>653</v>
      </c>
      <c r="B149" s="23" t="s">
        <v>654</v>
      </c>
      <c r="D149" s="23" t="s">
        <v>655</v>
      </c>
      <c r="E149" s="23" t="s">
        <v>270</v>
      </c>
      <c r="F149" s="23" t="s">
        <v>69</v>
      </c>
      <c r="G149" s="21">
        <v>63447.07</v>
      </c>
      <c r="H149" s="23" t="s">
        <v>253</v>
      </c>
      <c r="I149" s="19">
        <v>44148</v>
      </c>
      <c r="J149" s="24">
        <v>1</v>
      </c>
      <c r="K149" s="23" t="s">
        <v>291</v>
      </c>
      <c r="L149" s="23" t="s">
        <v>14</v>
      </c>
      <c r="M149" s="20">
        <v>5.74</v>
      </c>
      <c r="N149" s="23" t="s">
        <v>250</v>
      </c>
    </row>
    <row r="150" spans="1:14" x14ac:dyDescent="0.35">
      <c r="A150" t="s">
        <v>656</v>
      </c>
      <c r="B150" s="23" t="s">
        <v>657</v>
      </c>
      <c r="D150" s="23" t="s">
        <v>658</v>
      </c>
      <c r="E150" s="23" t="s">
        <v>11</v>
      </c>
      <c r="F150" s="23" t="s">
        <v>57</v>
      </c>
      <c r="G150" s="21">
        <v>106665.67</v>
      </c>
      <c r="H150" s="23" t="s">
        <v>249</v>
      </c>
      <c r="I150" s="19">
        <v>43311</v>
      </c>
      <c r="J150" s="24">
        <v>1</v>
      </c>
      <c r="K150" s="23" t="s">
        <v>291</v>
      </c>
      <c r="L150" s="23" t="s">
        <v>27</v>
      </c>
      <c r="M150" s="20">
        <v>8.0399999999999991</v>
      </c>
      <c r="N150" s="23" t="s">
        <v>250</v>
      </c>
    </row>
    <row r="151" spans="1:14" x14ac:dyDescent="0.35">
      <c r="A151" t="s">
        <v>659</v>
      </c>
      <c r="B151" s="23" t="s">
        <v>660</v>
      </c>
      <c r="D151" s="23" t="s">
        <v>661</v>
      </c>
      <c r="E151" s="23" t="s">
        <v>88</v>
      </c>
      <c r="F151" s="23" t="s">
        <v>35</v>
      </c>
      <c r="G151" s="21">
        <v>100424.23</v>
      </c>
      <c r="H151" s="23" t="s">
        <v>249</v>
      </c>
      <c r="I151" s="19">
        <v>43801</v>
      </c>
      <c r="J151" s="24">
        <v>1</v>
      </c>
      <c r="K151" s="23" t="s">
        <v>13</v>
      </c>
      <c r="L151" s="23" t="s">
        <v>43</v>
      </c>
      <c r="M151" s="20">
        <v>6.69</v>
      </c>
      <c r="N151" s="23" t="s">
        <v>250</v>
      </c>
    </row>
    <row r="152" spans="1:14" x14ac:dyDescent="0.35">
      <c r="A152" t="s">
        <v>662</v>
      </c>
      <c r="B152" s="23" t="s">
        <v>663</v>
      </c>
      <c r="D152" s="23" t="s">
        <v>664</v>
      </c>
      <c r="E152" s="23" t="s">
        <v>88</v>
      </c>
      <c r="F152" s="23" t="s">
        <v>35</v>
      </c>
      <c r="G152" s="21">
        <v>47646.95</v>
      </c>
      <c r="H152" s="23" t="s">
        <v>282</v>
      </c>
      <c r="I152" s="19">
        <v>43791</v>
      </c>
      <c r="J152" s="24">
        <v>0.3</v>
      </c>
      <c r="K152" s="23" t="s">
        <v>261</v>
      </c>
      <c r="L152" s="23" t="s">
        <v>109</v>
      </c>
      <c r="M152" s="20">
        <v>6.72</v>
      </c>
      <c r="N152" s="23" t="s">
        <v>254</v>
      </c>
    </row>
    <row r="153" spans="1:14" x14ac:dyDescent="0.35">
      <c r="A153" t="s">
        <v>665</v>
      </c>
      <c r="B153" s="23" t="s">
        <v>666</v>
      </c>
      <c r="D153" s="23" t="s">
        <v>667</v>
      </c>
      <c r="E153" s="23" t="s">
        <v>88</v>
      </c>
      <c r="F153" s="23" t="s">
        <v>69</v>
      </c>
      <c r="G153" s="21">
        <v>28481.16</v>
      </c>
      <c r="H153" s="23" t="s">
        <v>282</v>
      </c>
      <c r="I153" s="19">
        <v>43916</v>
      </c>
      <c r="J153" s="24">
        <v>1</v>
      </c>
      <c r="K153" s="23" t="s">
        <v>13</v>
      </c>
      <c r="L153" s="23" t="s">
        <v>19</v>
      </c>
      <c r="M153" s="20">
        <v>6.38</v>
      </c>
      <c r="N153" s="23" t="s">
        <v>250</v>
      </c>
    </row>
    <row r="154" spans="1:14" x14ac:dyDescent="0.35">
      <c r="A154" t="s">
        <v>82</v>
      </c>
      <c r="B154" s="23" t="s">
        <v>668</v>
      </c>
      <c r="D154" s="23" t="s">
        <v>669</v>
      </c>
      <c r="E154" s="23" t="s">
        <v>11</v>
      </c>
      <c r="F154" s="23" t="s">
        <v>51</v>
      </c>
      <c r="G154" s="21">
        <v>39535.49</v>
      </c>
      <c r="H154" s="23" t="s">
        <v>282</v>
      </c>
      <c r="I154" s="19">
        <v>43397</v>
      </c>
      <c r="J154" s="24">
        <v>0.3</v>
      </c>
      <c r="K154" s="23" t="s">
        <v>13</v>
      </c>
      <c r="L154" s="23" t="s">
        <v>40</v>
      </c>
      <c r="M154" s="20">
        <v>7.8</v>
      </c>
      <c r="N154" s="23" t="s">
        <v>254</v>
      </c>
    </row>
    <row r="155" spans="1:14" x14ac:dyDescent="0.35">
      <c r="A155" t="s">
        <v>670</v>
      </c>
      <c r="B155" s="23" t="s">
        <v>671</v>
      </c>
      <c r="D155" s="23" t="s">
        <v>672</v>
      </c>
      <c r="E155" s="23" t="s">
        <v>88</v>
      </c>
      <c r="F155" s="23" t="s">
        <v>54</v>
      </c>
      <c r="G155" s="21">
        <v>95017.1</v>
      </c>
      <c r="H155" s="23" t="s">
        <v>253</v>
      </c>
      <c r="I155" s="19">
        <v>43283</v>
      </c>
      <c r="J155" s="24">
        <v>1</v>
      </c>
      <c r="K155" s="23" t="s">
        <v>261</v>
      </c>
      <c r="L155" s="23" t="s">
        <v>23</v>
      </c>
      <c r="M155" s="20">
        <v>8.11</v>
      </c>
      <c r="N155" s="23" t="s">
        <v>250</v>
      </c>
    </row>
    <row r="156" spans="1:14" x14ac:dyDescent="0.35">
      <c r="A156" t="s">
        <v>673</v>
      </c>
      <c r="B156" s="23" t="s">
        <v>674</v>
      </c>
      <c r="D156" s="23" t="s">
        <v>675</v>
      </c>
      <c r="E156" s="23" t="s">
        <v>88</v>
      </c>
      <c r="F156" s="23" t="s">
        <v>22</v>
      </c>
      <c r="G156" s="21">
        <v>69764.100000000006</v>
      </c>
      <c r="H156" s="23" t="s">
        <v>253</v>
      </c>
      <c r="I156" s="19">
        <v>44195</v>
      </c>
      <c r="J156" s="24">
        <v>1</v>
      </c>
      <c r="K156" s="23" t="s">
        <v>261</v>
      </c>
      <c r="L156" s="23" t="s">
        <v>23</v>
      </c>
      <c r="M156" s="20">
        <v>5.61</v>
      </c>
      <c r="N156" s="23" t="s">
        <v>250</v>
      </c>
    </row>
    <row r="157" spans="1:14" x14ac:dyDescent="0.35">
      <c r="A157" t="s">
        <v>676</v>
      </c>
      <c r="B157" s="23" t="s">
        <v>677</v>
      </c>
      <c r="D157" s="23" t="s">
        <v>678</v>
      </c>
      <c r="E157" s="23" t="s">
        <v>11</v>
      </c>
      <c r="F157" s="23" t="s">
        <v>51</v>
      </c>
      <c r="G157" s="21">
        <v>84598.88</v>
      </c>
      <c r="H157" s="23" t="s">
        <v>253</v>
      </c>
      <c r="I157" s="19">
        <v>44116</v>
      </c>
      <c r="J157" s="24">
        <v>1</v>
      </c>
      <c r="K157" s="23" t="s">
        <v>261</v>
      </c>
      <c r="L157" s="23" t="s">
        <v>23</v>
      </c>
      <c r="M157" s="20">
        <v>5.83</v>
      </c>
      <c r="N157" s="23" t="s">
        <v>250</v>
      </c>
    </row>
    <row r="158" spans="1:14" x14ac:dyDescent="0.35">
      <c r="A158" t="s">
        <v>679</v>
      </c>
      <c r="B158" s="23" t="s">
        <v>680</v>
      </c>
      <c r="D158" s="23" t="s">
        <v>681</v>
      </c>
      <c r="E158" s="23" t="s">
        <v>88</v>
      </c>
      <c r="F158" s="23" t="s">
        <v>26</v>
      </c>
      <c r="G158" s="21">
        <v>36536.26</v>
      </c>
      <c r="H158" s="23" t="s">
        <v>282</v>
      </c>
      <c r="I158" s="19">
        <v>44358</v>
      </c>
      <c r="J158" s="24">
        <v>1</v>
      </c>
      <c r="K158" s="23" t="s">
        <v>291</v>
      </c>
      <c r="L158" s="23" t="s">
        <v>19</v>
      </c>
      <c r="M158" s="20">
        <v>5.17</v>
      </c>
      <c r="N158" s="23" t="s">
        <v>250</v>
      </c>
    </row>
    <row r="159" spans="1:14" x14ac:dyDescent="0.35">
      <c r="A159" t="s">
        <v>682</v>
      </c>
      <c r="B159" s="23" t="s">
        <v>683</v>
      </c>
      <c r="C159" s="23" t="s">
        <v>684</v>
      </c>
      <c r="D159" s="23" t="s">
        <v>685</v>
      </c>
      <c r="E159" s="23" t="s">
        <v>11</v>
      </c>
      <c r="F159" s="23" t="s">
        <v>22</v>
      </c>
      <c r="G159" s="21">
        <v>61688.77</v>
      </c>
      <c r="H159" s="23" t="s">
        <v>253</v>
      </c>
      <c r="I159" s="19">
        <v>43346</v>
      </c>
      <c r="J159" s="24">
        <v>0.9</v>
      </c>
      <c r="K159" s="23" t="s">
        <v>13</v>
      </c>
      <c r="L159" s="23" t="s">
        <v>109</v>
      </c>
      <c r="M159" s="20">
        <v>7.94</v>
      </c>
      <c r="N159" s="23" t="s">
        <v>254</v>
      </c>
    </row>
    <row r="160" spans="1:14" x14ac:dyDescent="0.35">
      <c r="A160" t="s">
        <v>686</v>
      </c>
      <c r="B160" s="23" t="s">
        <v>687</v>
      </c>
      <c r="C160" s="23" t="s">
        <v>688</v>
      </c>
      <c r="D160" s="23" t="s">
        <v>689</v>
      </c>
      <c r="E160" s="23" t="s">
        <v>11</v>
      </c>
      <c r="F160" s="23" t="s">
        <v>26</v>
      </c>
      <c r="G160" s="21">
        <v>88425.08</v>
      </c>
      <c r="H160" s="23" t="s">
        <v>253</v>
      </c>
      <c r="I160" s="19">
        <v>43662</v>
      </c>
      <c r="J160" s="24">
        <v>1</v>
      </c>
      <c r="K160" s="23" t="s">
        <v>13</v>
      </c>
      <c r="L160" s="23" t="s">
        <v>19</v>
      </c>
      <c r="M160" s="20">
        <v>7.07</v>
      </c>
      <c r="N160" s="23" t="s">
        <v>250</v>
      </c>
    </row>
    <row r="161" spans="1:14" x14ac:dyDescent="0.35">
      <c r="A161" t="s">
        <v>412</v>
      </c>
      <c r="B161" s="23" t="s">
        <v>690</v>
      </c>
      <c r="D161" s="23" t="s">
        <v>691</v>
      </c>
      <c r="E161" s="23" t="s">
        <v>11</v>
      </c>
      <c r="F161" s="23" t="s">
        <v>57</v>
      </c>
      <c r="G161" s="21">
        <v>38438.239999999998</v>
      </c>
      <c r="H161" s="23" t="s">
        <v>282</v>
      </c>
      <c r="I161" s="19">
        <v>43962</v>
      </c>
      <c r="J161" s="24">
        <v>1</v>
      </c>
      <c r="K161" s="23" t="s">
        <v>13</v>
      </c>
      <c r="L161" s="23" t="s">
        <v>109</v>
      </c>
      <c r="M161" s="20">
        <v>6.25</v>
      </c>
      <c r="N161" s="23" t="s">
        <v>250</v>
      </c>
    </row>
    <row r="162" spans="1:14" x14ac:dyDescent="0.35">
      <c r="A162" t="s">
        <v>692</v>
      </c>
      <c r="B162" s="23" t="s">
        <v>693</v>
      </c>
      <c r="D162" s="23" t="s">
        <v>694</v>
      </c>
      <c r="E162" s="23" t="s">
        <v>88</v>
      </c>
      <c r="F162" s="23" t="s">
        <v>51</v>
      </c>
      <c r="G162" s="21">
        <v>96753.78</v>
      </c>
      <c r="H162" s="23" t="s">
        <v>253</v>
      </c>
      <c r="I162" s="19">
        <v>44494</v>
      </c>
      <c r="J162" s="24">
        <v>1</v>
      </c>
      <c r="K162" s="23" t="s">
        <v>13</v>
      </c>
      <c r="L162" s="23" t="s">
        <v>43</v>
      </c>
      <c r="M162" s="20">
        <v>4.79</v>
      </c>
      <c r="N162" s="23" t="s">
        <v>250</v>
      </c>
    </row>
    <row r="163" spans="1:14" x14ac:dyDescent="0.35">
      <c r="A163" t="s">
        <v>525</v>
      </c>
      <c r="B163" s="23" t="s">
        <v>526</v>
      </c>
      <c r="D163" s="23" t="s">
        <v>527</v>
      </c>
      <c r="E163" s="23" t="s">
        <v>88</v>
      </c>
      <c r="F163" s="23" t="s">
        <v>18</v>
      </c>
      <c r="G163" s="21">
        <v>112778.28</v>
      </c>
      <c r="H163" s="23" t="s">
        <v>249</v>
      </c>
      <c r="I163" s="19">
        <v>43250</v>
      </c>
      <c r="J163" s="24">
        <v>1</v>
      </c>
      <c r="K163" s="23" t="s">
        <v>261</v>
      </c>
      <c r="L163" s="23" t="s">
        <v>40</v>
      </c>
      <c r="M163" s="20">
        <v>8.1999999999999993</v>
      </c>
      <c r="N163" s="23" t="s">
        <v>250</v>
      </c>
    </row>
    <row r="164" spans="1:14" x14ac:dyDescent="0.35">
      <c r="A164" t="s">
        <v>695</v>
      </c>
      <c r="B164" s="23" t="s">
        <v>696</v>
      </c>
      <c r="D164" s="23" t="s">
        <v>697</v>
      </c>
      <c r="E164" s="23" t="s">
        <v>11</v>
      </c>
      <c r="F164" s="23" t="s">
        <v>54</v>
      </c>
      <c r="G164" s="21">
        <v>28974.03</v>
      </c>
      <c r="H164" s="23" t="s">
        <v>282</v>
      </c>
      <c r="I164" s="19">
        <v>43733</v>
      </c>
      <c r="J164" s="24">
        <v>1</v>
      </c>
      <c r="K164" s="23" t="s">
        <v>13</v>
      </c>
      <c r="L164" s="23" t="s">
        <v>43</v>
      </c>
      <c r="M164" s="20">
        <v>6.88</v>
      </c>
      <c r="N164" s="23" t="s">
        <v>250</v>
      </c>
    </row>
    <row r="165" spans="1:14" x14ac:dyDescent="0.35">
      <c r="A165" t="s">
        <v>698</v>
      </c>
      <c r="B165" s="23" t="s">
        <v>699</v>
      </c>
      <c r="D165" s="23" t="s">
        <v>700</v>
      </c>
      <c r="E165" s="23" t="s">
        <v>11</v>
      </c>
      <c r="F165" s="23" t="s">
        <v>22</v>
      </c>
      <c r="G165" s="21">
        <v>86233.83</v>
      </c>
      <c r="H165" s="23" t="s">
        <v>253</v>
      </c>
      <c r="I165" s="19">
        <v>43706</v>
      </c>
      <c r="J165" s="24">
        <v>1</v>
      </c>
      <c r="K165" s="23" t="s">
        <v>261</v>
      </c>
      <c r="L165" s="23" t="s">
        <v>109</v>
      </c>
      <c r="M165" s="20">
        <v>6.95</v>
      </c>
      <c r="N165" s="23" t="s">
        <v>250</v>
      </c>
    </row>
    <row r="166" spans="1:14" x14ac:dyDescent="0.35">
      <c r="A166" t="s">
        <v>443</v>
      </c>
      <c r="B166" s="23" t="s">
        <v>444</v>
      </c>
      <c r="D166" s="23" t="s">
        <v>445</v>
      </c>
      <c r="E166" s="23" t="s">
        <v>11</v>
      </c>
      <c r="F166" s="23" t="s">
        <v>57</v>
      </c>
      <c r="G166" s="21">
        <v>66865.490000000005</v>
      </c>
      <c r="H166" s="23" t="s">
        <v>253</v>
      </c>
      <c r="I166" s="19">
        <v>43514</v>
      </c>
      <c r="J166" s="24">
        <v>1</v>
      </c>
      <c r="K166" s="23" t="s">
        <v>13</v>
      </c>
      <c r="L166" s="23" t="s">
        <v>23</v>
      </c>
      <c r="M166" s="20">
        <v>7.48</v>
      </c>
      <c r="N166" s="23" t="s">
        <v>250</v>
      </c>
    </row>
    <row r="167" spans="1:14" x14ac:dyDescent="0.35">
      <c r="A167" t="s">
        <v>89</v>
      </c>
      <c r="B167" s="23" t="s">
        <v>701</v>
      </c>
      <c r="D167" s="23" t="s">
        <v>702</v>
      </c>
      <c r="E167" s="23" t="s">
        <v>88</v>
      </c>
      <c r="F167" s="23" t="s">
        <v>12</v>
      </c>
      <c r="G167" s="21">
        <v>119022.49</v>
      </c>
      <c r="H167" s="23" t="s">
        <v>249</v>
      </c>
      <c r="I167" s="19">
        <v>44431</v>
      </c>
      <c r="J167" s="24">
        <v>1</v>
      </c>
      <c r="K167" s="23" t="s">
        <v>13</v>
      </c>
      <c r="L167" s="23" t="s">
        <v>43</v>
      </c>
      <c r="M167" s="20">
        <v>4.97</v>
      </c>
      <c r="N167" s="23" t="s">
        <v>250</v>
      </c>
    </row>
    <row r="168" spans="1:14" x14ac:dyDescent="0.35">
      <c r="A168" t="s">
        <v>9</v>
      </c>
      <c r="B168" s="23" t="s">
        <v>703</v>
      </c>
      <c r="D168" s="23" t="s">
        <v>704</v>
      </c>
      <c r="E168" s="23" t="s">
        <v>11</v>
      </c>
      <c r="F168" s="23" t="s">
        <v>12</v>
      </c>
      <c r="G168" s="21">
        <v>114177.23</v>
      </c>
      <c r="H168" s="23" t="s">
        <v>249</v>
      </c>
      <c r="I168" s="19">
        <v>43908</v>
      </c>
      <c r="J168" s="24">
        <v>1</v>
      </c>
      <c r="K168" s="23" t="s">
        <v>13</v>
      </c>
      <c r="L168" s="23" t="s">
        <v>14</v>
      </c>
      <c r="M168" s="20">
        <v>6.4</v>
      </c>
      <c r="N168" s="23" t="s">
        <v>250</v>
      </c>
    </row>
    <row r="169" spans="1:14" x14ac:dyDescent="0.35">
      <c r="A169" t="s">
        <v>705</v>
      </c>
      <c r="B169" s="23" t="s">
        <v>706</v>
      </c>
      <c r="D169" s="23" t="s">
        <v>707</v>
      </c>
      <c r="E169" s="23" t="s">
        <v>11</v>
      </c>
      <c r="F169" s="23" t="s">
        <v>72</v>
      </c>
      <c r="G169" s="21">
        <v>100731.95</v>
      </c>
      <c r="H169" s="23" t="s">
        <v>249</v>
      </c>
      <c r="I169" s="19">
        <v>43936</v>
      </c>
      <c r="J169" s="24">
        <v>1</v>
      </c>
      <c r="K169" s="23" t="s">
        <v>13</v>
      </c>
      <c r="L169" s="23" t="s">
        <v>43</v>
      </c>
      <c r="M169" s="20">
        <v>6.32</v>
      </c>
      <c r="N169" s="23" t="s">
        <v>250</v>
      </c>
    </row>
    <row r="170" spans="1:14" x14ac:dyDescent="0.35">
      <c r="A170" t="s">
        <v>708</v>
      </c>
      <c r="B170" s="23" t="s">
        <v>709</v>
      </c>
      <c r="D170" s="23" t="s">
        <v>710</v>
      </c>
      <c r="E170" s="23" t="s">
        <v>11</v>
      </c>
      <c r="F170" s="23" t="s">
        <v>18</v>
      </c>
      <c r="G170" s="21">
        <v>86010.54</v>
      </c>
      <c r="H170" s="23" t="s">
        <v>253</v>
      </c>
      <c r="I170" s="19">
        <v>43164</v>
      </c>
      <c r="J170" s="24">
        <v>1</v>
      </c>
      <c r="K170" s="23" t="s">
        <v>13</v>
      </c>
      <c r="L170" s="23" t="s">
        <v>109</v>
      </c>
      <c r="M170" s="20">
        <v>8.44</v>
      </c>
      <c r="N170" s="23" t="s">
        <v>250</v>
      </c>
    </row>
    <row r="171" spans="1:14" x14ac:dyDescent="0.35">
      <c r="A171" t="s">
        <v>711</v>
      </c>
      <c r="B171" s="23" t="s">
        <v>712</v>
      </c>
      <c r="D171" s="23" t="s">
        <v>713</v>
      </c>
      <c r="E171" s="23" t="s">
        <v>88</v>
      </c>
      <c r="F171" s="23" t="s">
        <v>12</v>
      </c>
      <c r="G171" s="21">
        <v>52270.22</v>
      </c>
      <c r="H171" s="23" t="s">
        <v>253</v>
      </c>
      <c r="I171" s="19">
        <v>43521</v>
      </c>
      <c r="J171" s="24">
        <v>0.3</v>
      </c>
      <c r="K171" s="23" t="s">
        <v>13</v>
      </c>
      <c r="L171" s="23" t="s">
        <v>109</v>
      </c>
      <c r="M171" s="20">
        <v>7.46</v>
      </c>
      <c r="N171" s="23" t="s">
        <v>254</v>
      </c>
    </row>
    <row r="172" spans="1:14" x14ac:dyDescent="0.35">
      <c r="A172" t="s">
        <v>714</v>
      </c>
      <c r="B172" s="23" t="s">
        <v>715</v>
      </c>
      <c r="D172" s="23" t="s">
        <v>716</v>
      </c>
      <c r="E172" s="23" t="s">
        <v>88</v>
      </c>
      <c r="F172" s="23" t="s">
        <v>26</v>
      </c>
      <c r="G172" s="21">
        <v>61624.77</v>
      </c>
      <c r="H172" s="23" t="s">
        <v>253</v>
      </c>
      <c r="I172" s="19">
        <v>43430</v>
      </c>
      <c r="J172" s="24">
        <v>0.3</v>
      </c>
      <c r="K172" s="23" t="s">
        <v>261</v>
      </c>
      <c r="L172" s="23" t="s">
        <v>19</v>
      </c>
      <c r="M172" s="20">
        <v>7.71</v>
      </c>
      <c r="N172" s="23" t="s">
        <v>254</v>
      </c>
    </row>
    <row r="173" spans="1:14" x14ac:dyDescent="0.35">
      <c r="A173" t="s">
        <v>717</v>
      </c>
      <c r="B173" s="23" t="s">
        <v>718</v>
      </c>
      <c r="D173" s="23" t="s">
        <v>719</v>
      </c>
      <c r="E173" s="23" t="s">
        <v>11</v>
      </c>
      <c r="F173" s="23" t="s">
        <v>66</v>
      </c>
      <c r="G173" s="21">
        <v>104903.79</v>
      </c>
      <c r="H173" s="23" t="s">
        <v>249</v>
      </c>
      <c r="I173" s="19">
        <v>43649</v>
      </c>
      <c r="J173" s="24">
        <v>1</v>
      </c>
      <c r="K173" s="23" t="s">
        <v>13</v>
      </c>
      <c r="L173" s="23" t="s">
        <v>109</v>
      </c>
      <c r="M173" s="20">
        <v>7.11</v>
      </c>
      <c r="N173" s="23" t="s">
        <v>250</v>
      </c>
    </row>
    <row r="174" spans="1:14" x14ac:dyDescent="0.35">
      <c r="A174" t="s">
        <v>437</v>
      </c>
      <c r="B174" s="23" t="s">
        <v>438</v>
      </c>
      <c r="D174" s="23" t="s">
        <v>439</v>
      </c>
      <c r="E174" s="23" t="s">
        <v>11</v>
      </c>
      <c r="F174" s="23" t="s">
        <v>35</v>
      </c>
      <c r="G174" s="21">
        <v>69057.320000000007</v>
      </c>
      <c r="H174" s="23" t="s">
        <v>253</v>
      </c>
      <c r="I174" s="19">
        <v>43390</v>
      </c>
      <c r="J174" s="24">
        <v>1</v>
      </c>
      <c r="K174" s="23" t="s">
        <v>13</v>
      </c>
      <c r="L174" s="23" t="s">
        <v>14</v>
      </c>
      <c r="M174" s="20">
        <v>7.82</v>
      </c>
      <c r="N174" s="23" t="s">
        <v>250</v>
      </c>
    </row>
    <row r="175" spans="1:14" x14ac:dyDescent="0.35">
      <c r="A175" t="s">
        <v>522</v>
      </c>
      <c r="B175" s="23" t="s">
        <v>523</v>
      </c>
      <c r="D175" s="23" t="s">
        <v>524</v>
      </c>
      <c r="E175" s="23" t="s">
        <v>88</v>
      </c>
      <c r="F175" s="23" t="s">
        <v>54</v>
      </c>
      <c r="G175" s="21">
        <v>59258.19</v>
      </c>
      <c r="H175" s="23" t="s">
        <v>253</v>
      </c>
      <c r="I175" s="19">
        <v>43452</v>
      </c>
      <c r="J175" s="24">
        <v>0.8</v>
      </c>
      <c r="K175" s="23" t="s">
        <v>13</v>
      </c>
      <c r="L175" s="23" t="s">
        <v>23</v>
      </c>
      <c r="M175" s="20">
        <v>7.65</v>
      </c>
      <c r="N175" s="23" t="s">
        <v>254</v>
      </c>
    </row>
    <row r="176" spans="1:14" x14ac:dyDescent="0.35">
      <c r="A176" t="s">
        <v>720</v>
      </c>
      <c r="B176" s="23" t="s">
        <v>721</v>
      </c>
      <c r="D176" s="23" t="s">
        <v>722</v>
      </c>
      <c r="E176" s="23" t="s">
        <v>88</v>
      </c>
      <c r="F176" s="23" t="s">
        <v>32</v>
      </c>
      <c r="G176" s="21">
        <v>28160.79</v>
      </c>
      <c r="H176" s="23" t="s">
        <v>282</v>
      </c>
      <c r="I176" s="19">
        <v>43129</v>
      </c>
      <c r="J176" s="24">
        <v>1</v>
      </c>
      <c r="K176" s="23" t="s">
        <v>291</v>
      </c>
      <c r="L176" s="23" t="s">
        <v>40</v>
      </c>
      <c r="M176" s="20">
        <v>8.5299999999999994</v>
      </c>
      <c r="N176" s="23" t="s">
        <v>250</v>
      </c>
    </row>
    <row r="177" spans="1:14" x14ac:dyDescent="0.35">
      <c r="A177" t="s">
        <v>723</v>
      </c>
      <c r="B177" s="23" t="s">
        <v>724</v>
      </c>
      <c r="D177" s="23" t="s">
        <v>725</v>
      </c>
      <c r="E177" s="23" t="s">
        <v>88</v>
      </c>
      <c r="F177" s="23" t="s">
        <v>26</v>
      </c>
      <c r="G177" s="21">
        <v>109143.17</v>
      </c>
      <c r="H177" s="23" t="s">
        <v>249</v>
      </c>
      <c r="I177" s="19">
        <v>43945</v>
      </c>
      <c r="J177" s="24">
        <v>1</v>
      </c>
      <c r="K177" s="23" t="s">
        <v>13</v>
      </c>
      <c r="L177" s="23" t="s">
        <v>14</v>
      </c>
      <c r="M177" s="20">
        <v>6.3</v>
      </c>
      <c r="N177" s="23" t="s">
        <v>250</v>
      </c>
    </row>
    <row r="178" spans="1:14" x14ac:dyDescent="0.35">
      <c r="A178" t="s">
        <v>726</v>
      </c>
      <c r="B178" s="23" t="s">
        <v>727</v>
      </c>
      <c r="D178" s="23" t="s">
        <v>728</v>
      </c>
      <c r="E178" s="23" t="s">
        <v>11</v>
      </c>
      <c r="F178" s="23" t="s">
        <v>66</v>
      </c>
      <c r="G178" s="21">
        <v>70755.5</v>
      </c>
      <c r="H178" s="23" t="s">
        <v>253</v>
      </c>
      <c r="I178" s="19">
        <v>44090</v>
      </c>
      <c r="J178" s="24">
        <v>0.8</v>
      </c>
      <c r="K178" s="23" t="s">
        <v>291</v>
      </c>
      <c r="L178" s="23" t="s">
        <v>19</v>
      </c>
      <c r="M178" s="20">
        <v>5.9</v>
      </c>
      <c r="N178" s="23" t="s">
        <v>254</v>
      </c>
    </row>
    <row r="179" spans="1:14" x14ac:dyDescent="0.35">
      <c r="A179" t="s">
        <v>340</v>
      </c>
      <c r="B179" s="23" t="s">
        <v>341</v>
      </c>
      <c r="D179" s="23" t="s">
        <v>342</v>
      </c>
      <c r="E179" s="23" t="s">
        <v>88</v>
      </c>
      <c r="F179" s="23" t="s">
        <v>22</v>
      </c>
      <c r="G179" s="21">
        <v>73360.38</v>
      </c>
      <c r="H179" s="23" t="s">
        <v>253</v>
      </c>
      <c r="I179" s="19">
        <v>43972</v>
      </c>
      <c r="J179" s="24">
        <v>1</v>
      </c>
      <c r="K179" s="23" t="s">
        <v>291</v>
      </c>
      <c r="L179" s="23" t="s">
        <v>40</v>
      </c>
      <c r="M179" s="20">
        <v>6.22</v>
      </c>
      <c r="N179" s="23" t="s">
        <v>250</v>
      </c>
    </row>
    <row r="180" spans="1:14" x14ac:dyDescent="0.35">
      <c r="A180" t="s">
        <v>598</v>
      </c>
      <c r="B180" s="23" t="s">
        <v>729</v>
      </c>
      <c r="C180" s="23" t="s">
        <v>730</v>
      </c>
      <c r="D180" s="23" t="s">
        <v>731</v>
      </c>
      <c r="E180" s="23" t="s">
        <v>11</v>
      </c>
      <c r="F180" s="23" t="s">
        <v>12</v>
      </c>
      <c r="G180" s="21">
        <v>76303.820000000007</v>
      </c>
      <c r="H180" s="23" t="s">
        <v>253</v>
      </c>
      <c r="I180" s="19">
        <v>43458</v>
      </c>
      <c r="J180" s="24">
        <v>1</v>
      </c>
      <c r="K180" s="23" t="s">
        <v>261</v>
      </c>
      <c r="L180" s="23" t="s">
        <v>19</v>
      </c>
      <c r="M180" s="20">
        <v>7.63</v>
      </c>
      <c r="N180" s="23" t="s">
        <v>250</v>
      </c>
    </row>
    <row r="181" spans="1:14" x14ac:dyDescent="0.35">
      <c r="A181" t="s">
        <v>73</v>
      </c>
      <c r="B181" s="23" t="s">
        <v>732</v>
      </c>
      <c r="D181" s="23" t="s">
        <v>733</v>
      </c>
      <c r="E181" s="23" t="s">
        <v>11</v>
      </c>
      <c r="F181" s="23" t="s">
        <v>26</v>
      </c>
      <c r="G181" s="21">
        <v>58861.19</v>
      </c>
      <c r="H181" s="23" t="s">
        <v>253</v>
      </c>
      <c r="I181" s="19">
        <v>43654</v>
      </c>
      <c r="J181" s="24">
        <v>1</v>
      </c>
      <c r="K181" s="23" t="s">
        <v>13</v>
      </c>
      <c r="L181" s="23" t="s">
        <v>27</v>
      </c>
      <c r="M181" s="20">
        <v>7.1</v>
      </c>
      <c r="N181" s="23" t="s">
        <v>250</v>
      </c>
    </row>
    <row r="182" spans="1:14" x14ac:dyDescent="0.35">
      <c r="A182" t="s">
        <v>734</v>
      </c>
      <c r="B182" s="23" t="s">
        <v>735</v>
      </c>
      <c r="D182" s="23" t="s">
        <v>736</v>
      </c>
      <c r="E182" s="23" t="s">
        <v>11</v>
      </c>
      <c r="F182" s="23" t="s">
        <v>18</v>
      </c>
      <c r="G182" s="21">
        <v>58744.17</v>
      </c>
      <c r="H182" s="23" t="s">
        <v>253</v>
      </c>
      <c r="I182" s="19">
        <v>43171</v>
      </c>
      <c r="J182" s="24">
        <v>1</v>
      </c>
      <c r="K182" s="23" t="s">
        <v>291</v>
      </c>
      <c r="L182" s="23" t="s">
        <v>27</v>
      </c>
      <c r="M182" s="20">
        <v>8.42</v>
      </c>
      <c r="N182" s="23" t="s">
        <v>250</v>
      </c>
    </row>
    <row r="183" spans="1:14" x14ac:dyDescent="0.35">
      <c r="A183" t="s">
        <v>737</v>
      </c>
      <c r="B183" s="23" t="s">
        <v>738</v>
      </c>
      <c r="D183" s="23" t="s">
        <v>739</v>
      </c>
      <c r="E183" s="23" t="s">
        <v>11</v>
      </c>
      <c r="F183" s="23" t="s">
        <v>72</v>
      </c>
      <c r="G183" s="21">
        <v>73488.679999999993</v>
      </c>
      <c r="H183" s="23" t="s">
        <v>253</v>
      </c>
      <c r="I183" s="19">
        <v>43570</v>
      </c>
      <c r="J183" s="24">
        <v>1</v>
      </c>
      <c r="K183" s="23" t="s">
        <v>261</v>
      </c>
      <c r="L183" s="23" t="s">
        <v>23</v>
      </c>
      <c r="M183" s="20">
        <v>7.33</v>
      </c>
      <c r="N183" s="23" t="s">
        <v>250</v>
      </c>
    </row>
    <row r="184" spans="1:14" x14ac:dyDescent="0.35">
      <c r="A184" t="s">
        <v>740</v>
      </c>
      <c r="B184" s="23" t="s">
        <v>741</v>
      </c>
      <c r="D184" s="23" t="s">
        <v>742</v>
      </c>
      <c r="E184" s="23" t="s">
        <v>11</v>
      </c>
      <c r="F184" s="23" t="s">
        <v>72</v>
      </c>
      <c r="G184" s="21">
        <v>92704.48</v>
      </c>
      <c r="H184" s="23" t="s">
        <v>253</v>
      </c>
      <c r="I184" s="19">
        <v>43430</v>
      </c>
      <c r="J184" s="24">
        <v>1</v>
      </c>
      <c r="K184" s="23" t="s">
        <v>261</v>
      </c>
      <c r="L184" s="23" t="s">
        <v>27</v>
      </c>
      <c r="M184" s="20">
        <v>7.71</v>
      </c>
      <c r="N184" s="23" t="s">
        <v>250</v>
      </c>
    </row>
    <row r="185" spans="1:14" x14ac:dyDescent="0.35">
      <c r="A185" t="s">
        <v>743</v>
      </c>
      <c r="B185" s="23" t="s">
        <v>744</v>
      </c>
      <c r="D185" s="23" t="s">
        <v>745</v>
      </c>
      <c r="E185" s="23" t="s">
        <v>88</v>
      </c>
      <c r="F185" s="23" t="s">
        <v>26</v>
      </c>
      <c r="G185" s="21">
        <v>78443.78</v>
      </c>
      <c r="H185" s="23" t="s">
        <v>253</v>
      </c>
      <c r="I185" s="19">
        <v>43599</v>
      </c>
      <c r="J185" s="24">
        <v>1</v>
      </c>
      <c r="K185" s="23" t="s">
        <v>261</v>
      </c>
      <c r="L185" s="23" t="s">
        <v>19</v>
      </c>
      <c r="M185" s="20">
        <v>7.25</v>
      </c>
      <c r="N185" s="23" t="s">
        <v>250</v>
      </c>
    </row>
    <row r="186" spans="1:14" x14ac:dyDescent="0.35">
      <c r="A186" t="s">
        <v>24</v>
      </c>
      <c r="B186" s="23" t="s">
        <v>746</v>
      </c>
      <c r="D186" s="23" t="s">
        <v>747</v>
      </c>
      <c r="E186" s="23" t="s">
        <v>11</v>
      </c>
      <c r="F186" s="23" t="s">
        <v>26</v>
      </c>
      <c r="G186" s="21">
        <v>97105.19</v>
      </c>
      <c r="H186" s="23" t="s">
        <v>253</v>
      </c>
      <c r="I186" s="19">
        <v>44425</v>
      </c>
      <c r="J186" s="24">
        <v>1</v>
      </c>
      <c r="K186" s="23" t="s">
        <v>13</v>
      </c>
      <c r="L186" s="23" t="s">
        <v>27</v>
      </c>
      <c r="M186" s="20">
        <v>4.9800000000000004</v>
      </c>
      <c r="N186" s="23" t="s">
        <v>250</v>
      </c>
    </row>
    <row r="187" spans="1:14" x14ac:dyDescent="0.35">
      <c r="A187" t="s">
        <v>748</v>
      </c>
      <c r="B187" s="23" t="s">
        <v>749</v>
      </c>
      <c r="D187" s="23" t="s">
        <v>750</v>
      </c>
      <c r="E187" s="23" t="s">
        <v>11</v>
      </c>
      <c r="F187" s="23" t="s">
        <v>35</v>
      </c>
      <c r="G187" s="21">
        <v>109163.39</v>
      </c>
      <c r="H187" s="23" t="s">
        <v>249</v>
      </c>
      <c r="I187" s="19">
        <v>44019</v>
      </c>
      <c r="J187" s="24">
        <v>0.8</v>
      </c>
      <c r="K187" s="23" t="s">
        <v>13</v>
      </c>
      <c r="L187" s="23" t="s">
        <v>23</v>
      </c>
      <c r="M187" s="20">
        <v>6.1</v>
      </c>
      <c r="N187" s="23" t="s">
        <v>254</v>
      </c>
    </row>
    <row r="188" spans="1:14" x14ac:dyDescent="0.35">
      <c r="A188" t="s">
        <v>751</v>
      </c>
      <c r="B188" s="23" t="s">
        <v>752</v>
      </c>
      <c r="D188" s="23" t="s">
        <v>753</v>
      </c>
      <c r="E188" s="23" t="s">
        <v>88</v>
      </c>
      <c r="F188" s="23" t="s">
        <v>66</v>
      </c>
      <c r="G188" s="21">
        <v>31816.57</v>
      </c>
      <c r="H188" s="23" t="s">
        <v>282</v>
      </c>
      <c r="I188" s="19">
        <v>43497</v>
      </c>
      <c r="J188" s="24">
        <v>0.3</v>
      </c>
      <c r="K188" s="23" t="s">
        <v>261</v>
      </c>
      <c r="L188" s="23" t="s">
        <v>40</v>
      </c>
      <c r="M188" s="20">
        <v>7.53</v>
      </c>
      <c r="N188" s="23" t="s">
        <v>254</v>
      </c>
    </row>
    <row r="189" spans="1:14" x14ac:dyDescent="0.35">
      <c r="A189" t="s">
        <v>754</v>
      </c>
      <c r="B189" s="23" t="s">
        <v>755</v>
      </c>
      <c r="D189" s="23" t="s">
        <v>756</v>
      </c>
      <c r="E189" s="23" t="s">
        <v>11</v>
      </c>
      <c r="F189" s="23" t="s">
        <v>26</v>
      </c>
      <c r="G189" s="21">
        <v>118442.54</v>
      </c>
      <c r="H189" s="23" t="s">
        <v>249</v>
      </c>
      <c r="I189" s="19">
        <v>44193</v>
      </c>
      <c r="J189" s="24">
        <v>1</v>
      </c>
      <c r="K189" s="23" t="s">
        <v>13</v>
      </c>
      <c r="L189" s="23" t="s">
        <v>43</v>
      </c>
      <c r="M189" s="20">
        <v>5.62</v>
      </c>
      <c r="N189" s="23" t="s">
        <v>250</v>
      </c>
    </row>
    <row r="190" spans="1:14" x14ac:dyDescent="0.35">
      <c r="A190" t="s">
        <v>36</v>
      </c>
      <c r="B190" s="23" t="s">
        <v>757</v>
      </c>
      <c r="D190" s="23" t="s">
        <v>758</v>
      </c>
      <c r="E190" s="23" t="s">
        <v>11</v>
      </c>
      <c r="F190" s="23" t="s">
        <v>18</v>
      </c>
      <c r="G190" s="21">
        <v>84745.93</v>
      </c>
      <c r="H190" s="23" t="s">
        <v>253</v>
      </c>
      <c r="I190" s="19">
        <v>43707</v>
      </c>
      <c r="J190" s="24">
        <v>1</v>
      </c>
      <c r="K190" s="23" t="s">
        <v>13</v>
      </c>
      <c r="L190" s="23" t="s">
        <v>14</v>
      </c>
      <c r="M190" s="20">
        <v>6.95</v>
      </c>
      <c r="N190" s="23" t="s">
        <v>250</v>
      </c>
    </row>
    <row r="191" spans="1:14" x14ac:dyDescent="0.35">
      <c r="A191" t="s">
        <v>357</v>
      </c>
      <c r="B191" s="23" t="s">
        <v>358</v>
      </c>
      <c r="D191" s="23" t="s">
        <v>359</v>
      </c>
      <c r="E191" s="23" t="s">
        <v>11</v>
      </c>
      <c r="F191" s="23" t="s">
        <v>12</v>
      </c>
      <c r="G191" s="21">
        <v>69163.39</v>
      </c>
      <c r="H191" s="23" t="s">
        <v>253</v>
      </c>
      <c r="I191" s="19">
        <v>43397</v>
      </c>
      <c r="J191" s="24">
        <v>1</v>
      </c>
      <c r="K191" s="23" t="s">
        <v>13</v>
      </c>
      <c r="L191" s="23" t="s">
        <v>40</v>
      </c>
      <c r="M191" s="20">
        <v>7.8</v>
      </c>
      <c r="N191" s="23" t="s">
        <v>250</v>
      </c>
    </row>
    <row r="192" spans="1:14" x14ac:dyDescent="0.35">
      <c r="A192" t="s">
        <v>676</v>
      </c>
      <c r="B192" s="23" t="s">
        <v>677</v>
      </c>
      <c r="D192" s="23" t="s">
        <v>678</v>
      </c>
      <c r="E192" s="23" t="s">
        <v>11</v>
      </c>
      <c r="F192" s="23" t="s">
        <v>51</v>
      </c>
      <c r="G192" s="21">
        <v>84598.88</v>
      </c>
      <c r="H192" s="23" t="s">
        <v>253</v>
      </c>
      <c r="I192" s="19">
        <v>44116</v>
      </c>
      <c r="J192" s="24">
        <v>1</v>
      </c>
      <c r="K192" s="23" t="s">
        <v>261</v>
      </c>
      <c r="L192" s="23" t="s">
        <v>23</v>
      </c>
      <c r="M192" s="20">
        <v>5.83</v>
      </c>
      <c r="N192" s="23" t="s">
        <v>250</v>
      </c>
    </row>
    <row r="193" spans="1:14" x14ac:dyDescent="0.35">
      <c r="A193" t="s">
        <v>759</v>
      </c>
      <c r="B193" s="23" t="s">
        <v>760</v>
      </c>
      <c r="D193" s="23" t="s">
        <v>761</v>
      </c>
      <c r="E193" s="23" t="s">
        <v>11</v>
      </c>
      <c r="F193" s="23" t="s">
        <v>57</v>
      </c>
      <c r="G193" s="21">
        <v>68795.48</v>
      </c>
      <c r="H193" s="23" t="s">
        <v>253</v>
      </c>
      <c r="I193" s="19">
        <v>44277</v>
      </c>
      <c r="J193" s="24">
        <v>0.2</v>
      </c>
      <c r="K193" s="23" t="s">
        <v>13</v>
      </c>
      <c r="L193" s="23" t="s">
        <v>40</v>
      </c>
      <c r="M193" s="20">
        <v>5.39</v>
      </c>
      <c r="N193" s="23" t="s">
        <v>254</v>
      </c>
    </row>
    <row r="194" spans="1:14" x14ac:dyDescent="0.35">
      <c r="A194" t="s">
        <v>762</v>
      </c>
      <c r="B194" s="23" t="s">
        <v>763</v>
      </c>
      <c r="D194" s="23" t="s">
        <v>764</v>
      </c>
      <c r="E194" s="23" t="s">
        <v>11</v>
      </c>
      <c r="F194" s="23" t="s">
        <v>35</v>
      </c>
      <c r="G194" s="21">
        <v>32269.91</v>
      </c>
      <c r="H194" s="23" t="s">
        <v>282</v>
      </c>
      <c r="I194" s="19">
        <v>43346</v>
      </c>
      <c r="J194" s="24">
        <v>1</v>
      </c>
      <c r="K194" s="23" t="s">
        <v>13</v>
      </c>
      <c r="L194" s="23" t="s">
        <v>40</v>
      </c>
      <c r="M194" s="20">
        <v>7.94</v>
      </c>
      <c r="N194" s="23" t="s">
        <v>250</v>
      </c>
    </row>
    <row r="195" spans="1:14" x14ac:dyDescent="0.35">
      <c r="A195" t="s">
        <v>765</v>
      </c>
      <c r="B195" s="23" t="s">
        <v>766</v>
      </c>
      <c r="D195" s="23" t="s">
        <v>767</v>
      </c>
      <c r="E195" s="23" t="s">
        <v>88</v>
      </c>
      <c r="F195" s="23" t="s">
        <v>32</v>
      </c>
      <c r="G195" s="21">
        <v>78705.929999999993</v>
      </c>
      <c r="H195" s="23" t="s">
        <v>253</v>
      </c>
      <c r="I195" s="19">
        <v>43409</v>
      </c>
      <c r="J195" s="24">
        <v>1</v>
      </c>
      <c r="K195" s="23" t="s">
        <v>261</v>
      </c>
      <c r="L195" s="23" t="s">
        <v>23</v>
      </c>
      <c r="M195" s="20">
        <v>7.77</v>
      </c>
      <c r="N195" s="23" t="s">
        <v>250</v>
      </c>
    </row>
    <row r="196" spans="1:14" x14ac:dyDescent="0.35">
      <c r="A196" t="s">
        <v>768</v>
      </c>
      <c r="B196" s="23" t="s">
        <v>769</v>
      </c>
      <c r="D196" s="23" t="s">
        <v>770</v>
      </c>
      <c r="E196" s="23" t="s">
        <v>88</v>
      </c>
      <c r="F196" s="23" t="s">
        <v>66</v>
      </c>
      <c r="G196" s="21">
        <v>53535.62</v>
      </c>
      <c r="H196" s="23" t="s">
        <v>253</v>
      </c>
      <c r="I196" s="19">
        <v>44110</v>
      </c>
      <c r="J196" s="24">
        <v>0.5</v>
      </c>
      <c r="K196" s="23" t="s">
        <v>261</v>
      </c>
      <c r="L196" s="23" t="s">
        <v>23</v>
      </c>
      <c r="M196" s="20">
        <v>5.85</v>
      </c>
      <c r="N196" s="23" t="s">
        <v>254</v>
      </c>
    </row>
    <row r="197" spans="1:14" x14ac:dyDescent="0.35">
      <c r="A197" t="s">
        <v>80</v>
      </c>
      <c r="B197" s="23" t="s">
        <v>515</v>
      </c>
      <c r="D197" s="23" t="s">
        <v>516</v>
      </c>
      <c r="E197" s="23" t="s">
        <v>11</v>
      </c>
      <c r="F197" s="23" t="s">
        <v>51</v>
      </c>
      <c r="G197" s="21">
        <v>41934.71</v>
      </c>
      <c r="H197" s="23" t="s">
        <v>282</v>
      </c>
      <c r="I197" s="19">
        <v>43780</v>
      </c>
      <c r="J197" s="24">
        <v>1</v>
      </c>
      <c r="K197" s="23" t="s">
        <v>13</v>
      </c>
      <c r="L197" s="23" t="s">
        <v>40</v>
      </c>
      <c r="M197" s="20">
        <v>6.75</v>
      </c>
      <c r="N197" s="23" t="s">
        <v>250</v>
      </c>
    </row>
    <row r="198" spans="1:14" x14ac:dyDescent="0.35">
      <c r="A198" t="s">
        <v>771</v>
      </c>
      <c r="B198" s="23" t="s">
        <v>441</v>
      </c>
      <c r="D198" s="23" t="s">
        <v>772</v>
      </c>
      <c r="E198" s="23" t="s">
        <v>11</v>
      </c>
      <c r="F198" s="23" t="s">
        <v>57</v>
      </c>
      <c r="G198" s="21">
        <v>91929.69</v>
      </c>
      <c r="H198" s="23" t="s">
        <v>253</v>
      </c>
      <c r="I198" s="19">
        <v>44085</v>
      </c>
      <c r="J198" s="24">
        <v>1</v>
      </c>
      <c r="K198" s="23" t="s">
        <v>261</v>
      </c>
      <c r="L198" s="23" t="s">
        <v>40</v>
      </c>
      <c r="M198" s="20">
        <v>5.92</v>
      </c>
      <c r="N198" s="23" t="s">
        <v>250</v>
      </c>
    </row>
    <row r="199" spans="1:14" x14ac:dyDescent="0.35">
      <c r="A199" t="s">
        <v>117</v>
      </c>
      <c r="B199" s="23" t="s">
        <v>773</v>
      </c>
      <c r="D199" s="23" t="s">
        <v>774</v>
      </c>
      <c r="E199" s="23" t="s">
        <v>88</v>
      </c>
      <c r="F199" s="23" t="s">
        <v>32</v>
      </c>
      <c r="G199" s="21">
        <v>62281.24</v>
      </c>
      <c r="H199" s="23" t="s">
        <v>253</v>
      </c>
      <c r="I199" s="19">
        <v>43272</v>
      </c>
      <c r="J199" s="24">
        <v>1</v>
      </c>
      <c r="K199" s="23" t="s">
        <v>13</v>
      </c>
      <c r="L199" s="23" t="s">
        <v>40</v>
      </c>
      <c r="M199" s="20">
        <v>8.14</v>
      </c>
      <c r="N199" s="23" t="s">
        <v>250</v>
      </c>
    </row>
    <row r="200" spans="1:14" x14ac:dyDescent="0.35">
      <c r="A200" t="s">
        <v>775</v>
      </c>
      <c r="B200" s="23" t="s">
        <v>776</v>
      </c>
      <c r="D200" s="23" t="s">
        <v>777</v>
      </c>
      <c r="E200" s="23" t="s">
        <v>88</v>
      </c>
      <c r="F200" s="23" t="s">
        <v>12</v>
      </c>
      <c r="G200" s="21">
        <v>57925.91</v>
      </c>
      <c r="H200" s="23" t="s">
        <v>253</v>
      </c>
      <c r="I200" s="19">
        <v>43572</v>
      </c>
      <c r="J200" s="24">
        <v>0.5</v>
      </c>
      <c r="K200" s="23" t="s">
        <v>13</v>
      </c>
      <c r="L200" s="23" t="s">
        <v>14</v>
      </c>
      <c r="M200" s="20">
        <v>7.32</v>
      </c>
      <c r="N200" s="23" t="s">
        <v>254</v>
      </c>
    </row>
    <row r="201" spans="1:14" x14ac:dyDescent="0.35">
      <c r="A201" t="s">
        <v>778</v>
      </c>
      <c r="B201" s="23" t="s">
        <v>779</v>
      </c>
      <c r="D201" s="23" t="s">
        <v>780</v>
      </c>
      <c r="E201" s="23" t="s">
        <v>88</v>
      </c>
      <c r="F201" s="23" t="s">
        <v>26</v>
      </c>
      <c r="G201" s="21">
        <v>82239.53</v>
      </c>
      <c r="H201" s="23" t="s">
        <v>253</v>
      </c>
      <c r="I201" s="19">
        <v>43846</v>
      </c>
      <c r="J201" s="24">
        <v>1</v>
      </c>
      <c r="K201" s="23" t="s">
        <v>291</v>
      </c>
      <c r="L201" s="23" t="s">
        <v>27</v>
      </c>
      <c r="M201" s="20">
        <v>6.57</v>
      </c>
      <c r="N201" s="23" t="s">
        <v>250</v>
      </c>
    </row>
    <row r="202" spans="1:14" x14ac:dyDescent="0.35">
      <c r="A202" t="s">
        <v>781</v>
      </c>
      <c r="B202" s="23" t="s">
        <v>782</v>
      </c>
      <c r="D202" s="23" t="s">
        <v>783</v>
      </c>
      <c r="E202" s="23" t="s">
        <v>88</v>
      </c>
      <c r="F202" s="23" t="s">
        <v>26</v>
      </c>
      <c r="G202" s="21">
        <v>53184.02</v>
      </c>
      <c r="H202" s="23" t="s">
        <v>253</v>
      </c>
      <c r="I202" s="19">
        <v>43180</v>
      </c>
      <c r="J202" s="24">
        <v>1</v>
      </c>
      <c r="K202" s="23" t="s">
        <v>261</v>
      </c>
      <c r="L202" s="23" t="s">
        <v>40</v>
      </c>
      <c r="M202" s="20">
        <v>8.39</v>
      </c>
      <c r="N202" s="23" t="s">
        <v>250</v>
      </c>
    </row>
    <row r="203" spans="1:14" x14ac:dyDescent="0.35">
      <c r="A203" t="s">
        <v>133</v>
      </c>
      <c r="B203" s="23" t="s">
        <v>784</v>
      </c>
      <c r="C203" s="23" t="s">
        <v>785</v>
      </c>
      <c r="D203" s="23" t="s">
        <v>786</v>
      </c>
      <c r="E203" s="23" t="s">
        <v>88</v>
      </c>
      <c r="F203" s="23" t="s">
        <v>12</v>
      </c>
      <c r="G203" s="21">
        <v>35936.31</v>
      </c>
      <c r="H203" s="23" t="s">
        <v>282</v>
      </c>
      <c r="I203" s="19">
        <v>43241</v>
      </c>
      <c r="J203" s="24">
        <v>1</v>
      </c>
      <c r="K203" s="23" t="s">
        <v>13</v>
      </c>
      <c r="L203" s="23" t="s">
        <v>109</v>
      </c>
      <c r="M203" s="20">
        <v>8.23</v>
      </c>
      <c r="N203" s="23" t="s">
        <v>250</v>
      </c>
    </row>
    <row r="204" spans="1:14" x14ac:dyDescent="0.35">
      <c r="A204" t="s">
        <v>787</v>
      </c>
      <c r="B204" s="23" t="s">
        <v>788</v>
      </c>
      <c r="D204" s="23" t="s">
        <v>789</v>
      </c>
      <c r="E204" s="23" t="s">
        <v>11</v>
      </c>
      <c r="F204" s="23" t="s">
        <v>35</v>
      </c>
      <c r="G204" s="21">
        <v>28305.08</v>
      </c>
      <c r="H204" s="23" t="s">
        <v>282</v>
      </c>
      <c r="I204" s="19">
        <v>43754</v>
      </c>
      <c r="J204" s="24">
        <v>1</v>
      </c>
      <c r="K204" s="23" t="s">
        <v>13</v>
      </c>
      <c r="L204" s="23" t="s">
        <v>40</v>
      </c>
      <c r="M204" s="20">
        <v>6.82</v>
      </c>
      <c r="N204" s="23" t="s">
        <v>250</v>
      </c>
    </row>
    <row r="205" spans="1:14" x14ac:dyDescent="0.35">
      <c r="A205" t="s">
        <v>137</v>
      </c>
      <c r="B205" s="23" t="s">
        <v>790</v>
      </c>
      <c r="D205" s="23" t="s">
        <v>791</v>
      </c>
      <c r="E205" s="23" t="s">
        <v>88</v>
      </c>
      <c r="F205" s="23" t="s">
        <v>69</v>
      </c>
      <c r="G205" s="21">
        <v>29774.76</v>
      </c>
      <c r="H205" s="23" t="s">
        <v>282</v>
      </c>
      <c r="I205" s="19">
        <v>44105</v>
      </c>
      <c r="J205" s="24">
        <v>1</v>
      </c>
      <c r="K205" s="23" t="s">
        <v>13</v>
      </c>
      <c r="L205" s="23" t="s">
        <v>14</v>
      </c>
      <c r="M205" s="20">
        <v>5.86</v>
      </c>
      <c r="N205" s="23" t="s">
        <v>250</v>
      </c>
    </row>
    <row r="206" spans="1:14" x14ac:dyDescent="0.35">
      <c r="A206" t="s">
        <v>792</v>
      </c>
      <c r="B206" s="23" t="s">
        <v>793</v>
      </c>
      <c r="D206" s="23" t="s">
        <v>794</v>
      </c>
      <c r="E206" s="23" t="s">
        <v>88</v>
      </c>
      <c r="F206" s="23" t="s">
        <v>12</v>
      </c>
      <c r="G206" s="21">
        <v>102515.81</v>
      </c>
      <c r="H206" s="23" t="s">
        <v>249</v>
      </c>
      <c r="I206" s="19">
        <v>43902</v>
      </c>
      <c r="J206" s="24">
        <v>1</v>
      </c>
      <c r="K206" s="23" t="s">
        <v>261</v>
      </c>
      <c r="L206" s="23" t="s">
        <v>109</v>
      </c>
      <c r="M206" s="20">
        <v>6.42</v>
      </c>
      <c r="N206" s="23" t="s">
        <v>250</v>
      </c>
    </row>
    <row r="207" spans="1:14" x14ac:dyDescent="0.35">
      <c r="A207" t="s">
        <v>440</v>
      </c>
      <c r="B207" s="23" t="s">
        <v>441</v>
      </c>
      <c r="D207" s="23" t="s">
        <v>442</v>
      </c>
      <c r="E207" s="23" t="s">
        <v>270</v>
      </c>
      <c r="F207" s="23" t="s">
        <v>72</v>
      </c>
      <c r="G207" s="21">
        <v>99448.78</v>
      </c>
      <c r="H207" s="23" t="s">
        <v>253</v>
      </c>
      <c r="I207" s="19">
        <v>43473</v>
      </c>
      <c r="J207" s="24">
        <v>1</v>
      </c>
      <c r="K207" s="23" t="s">
        <v>261</v>
      </c>
      <c r="L207" s="23" t="s">
        <v>14</v>
      </c>
      <c r="M207" s="20">
        <v>7.59</v>
      </c>
      <c r="N207" s="23" t="s">
        <v>250</v>
      </c>
    </row>
    <row r="208" spans="1:14" x14ac:dyDescent="0.35">
      <c r="A208" t="s">
        <v>759</v>
      </c>
      <c r="B208" s="23" t="s">
        <v>760</v>
      </c>
      <c r="D208" s="23" t="s">
        <v>761</v>
      </c>
      <c r="E208" s="23" t="s">
        <v>11</v>
      </c>
      <c r="F208" s="23" t="s">
        <v>57</v>
      </c>
      <c r="G208" s="21">
        <v>68795.48</v>
      </c>
      <c r="H208" s="23" t="s">
        <v>253</v>
      </c>
      <c r="I208" s="19">
        <v>44277</v>
      </c>
      <c r="J208" s="24">
        <v>0.2</v>
      </c>
      <c r="K208" s="23" t="s">
        <v>13</v>
      </c>
      <c r="L208" s="23" t="s">
        <v>40</v>
      </c>
      <c r="M208" s="20">
        <v>5.39</v>
      </c>
      <c r="N208" s="23" t="s">
        <v>254</v>
      </c>
    </row>
    <row r="209" spans="1:14" x14ac:dyDescent="0.35">
      <c r="A209" t="s">
        <v>500</v>
      </c>
      <c r="B209" s="23" t="s">
        <v>501</v>
      </c>
      <c r="D209" s="23" t="s">
        <v>502</v>
      </c>
      <c r="E209" s="23" t="s">
        <v>11</v>
      </c>
      <c r="F209" s="23" t="s">
        <v>32</v>
      </c>
      <c r="G209" s="21">
        <v>99683.67</v>
      </c>
      <c r="H209" s="23" t="s">
        <v>253</v>
      </c>
      <c r="I209" s="19">
        <v>43500</v>
      </c>
      <c r="J209" s="24">
        <v>1</v>
      </c>
      <c r="K209" s="23" t="s">
        <v>261</v>
      </c>
      <c r="L209" s="23" t="s">
        <v>23</v>
      </c>
      <c r="M209" s="20">
        <v>7.52</v>
      </c>
      <c r="N209" s="23" t="s">
        <v>250</v>
      </c>
    </row>
    <row r="210" spans="1:14" x14ac:dyDescent="0.35">
      <c r="A210" t="s">
        <v>795</v>
      </c>
      <c r="B210" s="23" t="s">
        <v>796</v>
      </c>
      <c r="D210" s="23" t="s">
        <v>797</v>
      </c>
      <c r="E210" s="23" t="s">
        <v>88</v>
      </c>
      <c r="F210" s="23" t="s">
        <v>12</v>
      </c>
      <c r="G210" s="21">
        <v>38825.18</v>
      </c>
      <c r="H210" s="23" t="s">
        <v>282</v>
      </c>
      <c r="I210" s="19">
        <v>43696</v>
      </c>
      <c r="J210" s="24">
        <v>1</v>
      </c>
      <c r="K210" s="23" t="s">
        <v>291</v>
      </c>
      <c r="L210" s="23" t="s">
        <v>40</v>
      </c>
      <c r="M210" s="20">
        <v>6.98</v>
      </c>
      <c r="N210" s="23" t="s">
        <v>250</v>
      </c>
    </row>
    <row r="211" spans="1:14" x14ac:dyDescent="0.35">
      <c r="A211" t="s">
        <v>798</v>
      </c>
      <c r="B211" s="23" t="s">
        <v>799</v>
      </c>
      <c r="D211" s="23" t="s">
        <v>800</v>
      </c>
      <c r="E211" s="23" t="s">
        <v>11</v>
      </c>
      <c r="F211" s="23" t="s">
        <v>35</v>
      </c>
      <c r="G211" s="21">
        <v>71229.42</v>
      </c>
      <c r="H211" s="23" t="s">
        <v>253</v>
      </c>
      <c r="I211" s="19">
        <v>44166</v>
      </c>
      <c r="J211" s="24">
        <v>1</v>
      </c>
      <c r="K211" s="23" t="s">
        <v>13</v>
      </c>
      <c r="L211" s="23" t="s">
        <v>19</v>
      </c>
      <c r="M211" s="20">
        <v>5.69</v>
      </c>
      <c r="N211" s="23" t="s">
        <v>250</v>
      </c>
    </row>
    <row r="212" spans="1:14" x14ac:dyDescent="0.35">
      <c r="A212" t="s">
        <v>44</v>
      </c>
      <c r="B212" s="23" t="s">
        <v>482</v>
      </c>
      <c r="D212" s="23" t="s">
        <v>483</v>
      </c>
      <c r="E212" s="23" t="s">
        <v>11</v>
      </c>
      <c r="F212" s="23" t="s">
        <v>22</v>
      </c>
      <c r="G212" s="21">
        <v>80695.740000000005</v>
      </c>
      <c r="H212" s="23" t="s">
        <v>253</v>
      </c>
      <c r="I212" s="19">
        <v>43360</v>
      </c>
      <c r="J212" s="24">
        <v>1</v>
      </c>
      <c r="K212" s="23" t="s">
        <v>13</v>
      </c>
      <c r="L212" s="23" t="s">
        <v>27</v>
      </c>
      <c r="M212" s="20">
        <v>7.9</v>
      </c>
      <c r="N212" s="23" t="s">
        <v>250</v>
      </c>
    </row>
    <row r="213" spans="1:14" x14ac:dyDescent="0.35">
      <c r="A213" t="s">
        <v>55</v>
      </c>
      <c r="B213" s="23" t="s">
        <v>801</v>
      </c>
      <c r="D213" s="23" t="s">
        <v>802</v>
      </c>
      <c r="E213" s="23" t="s">
        <v>11</v>
      </c>
      <c r="F213" s="23" t="s">
        <v>57</v>
      </c>
      <c r="G213" s="21">
        <v>72502.61</v>
      </c>
      <c r="H213" s="23" t="s">
        <v>253</v>
      </c>
      <c r="I213" s="19">
        <v>44235</v>
      </c>
      <c r="J213" s="24">
        <v>1</v>
      </c>
      <c r="K213" s="23" t="s">
        <v>13</v>
      </c>
      <c r="L213" s="23" t="s">
        <v>14</v>
      </c>
      <c r="M213" s="20">
        <v>5.5</v>
      </c>
      <c r="N213" s="23" t="s">
        <v>250</v>
      </c>
    </row>
    <row r="214" spans="1:14" x14ac:dyDescent="0.35">
      <c r="A214" t="s">
        <v>803</v>
      </c>
      <c r="B214" s="23" t="s">
        <v>804</v>
      </c>
      <c r="D214" s="23" t="s">
        <v>805</v>
      </c>
      <c r="E214" s="23" t="s">
        <v>11</v>
      </c>
      <c r="F214" s="23" t="s">
        <v>57</v>
      </c>
      <c r="G214" s="21">
        <v>68197.899999999994</v>
      </c>
      <c r="H214" s="23" t="s">
        <v>253</v>
      </c>
      <c r="I214" s="19">
        <v>44119</v>
      </c>
      <c r="J214" s="24">
        <v>1</v>
      </c>
      <c r="K214" s="23" t="s">
        <v>13</v>
      </c>
      <c r="L214" s="23" t="s">
        <v>43</v>
      </c>
      <c r="M214" s="20">
        <v>5.82</v>
      </c>
      <c r="N214" s="23" t="s">
        <v>250</v>
      </c>
    </row>
    <row r="215" spans="1:14" x14ac:dyDescent="0.35">
      <c r="A215" t="s">
        <v>806</v>
      </c>
      <c r="B215" s="23" t="s">
        <v>449</v>
      </c>
      <c r="D215" s="23" t="s">
        <v>807</v>
      </c>
      <c r="E215" s="23" t="s">
        <v>88</v>
      </c>
      <c r="F215" s="23" t="s">
        <v>57</v>
      </c>
      <c r="G215" s="21">
        <v>89960.6</v>
      </c>
      <c r="H215" s="23" t="s">
        <v>253</v>
      </c>
      <c r="I215" s="19">
        <v>43515</v>
      </c>
      <c r="J215" s="24">
        <v>1</v>
      </c>
      <c r="K215" s="23" t="s">
        <v>261</v>
      </c>
      <c r="L215" s="23" t="s">
        <v>43</v>
      </c>
      <c r="M215" s="20">
        <v>7.48</v>
      </c>
      <c r="N215" s="23" t="s">
        <v>250</v>
      </c>
    </row>
    <row r="216" spans="1:14" x14ac:dyDescent="0.35">
      <c r="A216" t="s">
        <v>665</v>
      </c>
      <c r="B216" s="23" t="s">
        <v>808</v>
      </c>
      <c r="D216" s="23" t="s">
        <v>809</v>
      </c>
      <c r="E216" s="23" t="s">
        <v>88</v>
      </c>
      <c r="F216" s="23" t="s">
        <v>69</v>
      </c>
      <c r="G216" s="21">
        <v>28481.16</v>
      </c>
      <c r="H216" s="23" t="s">
        <v>282</v>
      </c>
      <c r="I216" s="19">
        <v>43916</v>
      </c>
      <c r="J216" s="24">
        <v>1</v>
      </c>
      <c r="K216" s="23" t="s">
        <v>13</v>
      </c>
      <c r="L216" s="23" t="s">
        <v>19</v>
      </c>
      <c r="M216" s="20">
        <v>6.38</v>
      </c>
      <c r="N216" s="23" t="s">
        <v>250</v>
      </c>
    </row>
    <row r="217" spans="1:14" x14ac:dyDescent="0.35">
      <c r="A217" t="s">
        <v>402</v>
      </c>
      <c r="B217" s="23" t="s">
        <v>810</v>
      </c>
      <c r="D217" s="23" t="s">
        <v>811</v>
      </c>
      <c r="E217" s="23" t="s">
        <v>11</v>
      </c>
      <c r="F217" s="23" t="s">
        <v>18</v>
      </c>
      <c r="G217" s="21">
        <v>116767.63</v>
      </c>
      <c r="H217" s="23" t="s">
        <v>249</v>
      </c>
      <c r="I217" s="19">
        <v>43949</v>
      </c>
      <c r="J217" s="24">
        <v>0.4</v>
      </c>
      <c r="K217" s="23" t="s">
        <v>291</v>
      </c>
      <c r="L217" s="23" t="s">
        <v>109</v>
      </c>
      <c r="M217" s="20">
        <v>6.29</v>
      </c>
      <c r="N217" s="23" t="s">
        <v>254</v>
      </c>
    </row>
    <row r="218" spans="1:14" x14ac:dyDescent="0.35">
      <c r="A218" t="s">
        <v>812</v>
      </c>
      <c r="B218" s="23" t="s">
        <v>813</v>
      </c>
      <c r="D218" s="23" t="s">
        <v>814</v>
      </c>
      <c r="E218" s="23" t="s">
        <v>88</v>
      </c>
      <c r="F218" s="23" t="s">
        <v>57</v>
      </c>
      <c r="G218" s="21">
        <v>80360.41</v>
      </c>
      <c r="H218" s="23" t="s">
        <v>253</v>
      </c>
      <c r="I218" s="19">
        <v>44167</v>
      </c>
      <c r="J218" s="24">
        <v>1</v>
      </c>
      <c r="K218" s="23" t="s">
        <v>13</v>
      </c>
      <c r="L218" s="23" t="s">
        <v>40</v>
      </c>
      <c r="M218" s="20">
        <v>5.69</v>
      </c>
      <c r="N218" s="23" t="s">
        <v>250</v>
      </c>
    </row>
    <row r="219" spans="1:14" x14ac:dyDescent="0.35">
      <c r="A219" t="s">
        <v>49</v>
      </c>
      <c r="B219" s="23" t="s">
        <v>815</v>
      </c>
      <c r="D219" s="23" t="s">
        <v>816</v>
      </c>
      <c r="E219" s="23" t="s">
        <v>11</v>
      </c>
      <c r="F219" s="23" t="s">
        <v>51</v>
      </c>
      <c r="G219" s="21">
        <v>77045.440000000002</v>
      </c>
      <c r="H219" s="23" t="s">
        <v>253</v>
      </c>
      <c r="I219" s="19">
        <v>43636</v>
      </c>
      <c r="J219" s="24">
        <v>1</v>
      </c>
      <c r="K219" s="23" t="s">
        <v>13</v>
      </c>
      <c r="L219" s="23" t="s">
        <v>40</v>
      </c>
      <c r="M219" s="20">
        <v>7.15</v>
      </c>
      <c r="N219" s="23" t="s">
        <v>250</v>
      </c>
    </row>
    <row r="220" spans="1:14" x14ac:dyDescent="0.35">
      <c r="A220" t="s">
        <v>28</v>
      </c>
      <c r="B220" s="23" t="s">
        <v>817</v>
      </c>
      <c r="D220" s="23" t="s">
        <v>818</v>
      </c>
      <c r="E220" s="23" t="s">
        <v>11</v>
      </c>
      <c r="F220" s="23" t="s">
        <v>18</v>
      </c>
      <c r="G220" s="21">
        <v>96135.75</v>
      </c>
      <c r="H220" s="23" t="s">
        <v>253</v>
      </c>
      <c r="I220" s="19">
        <v>44025</v>
      </c>
      <c r="J220" s="24">
        <v>0.3</v>
      </c>
      <c r="K220" s="23" t="s">
        <v>13</v>
      </c>
      <c r="L220" s="23" t="s">
        <v>14</v>
      </c>
      <c r="M220" s="20">
        <v>6.08</v>
      </c>
      <c r="N220" s="23" t="s">
        <v>254</v>
      </c>
    </row>
    <row r="221" spans="1:14" x14ac:dyDescent="0.35">
      <c r="A221" t="s">
        <v>819</v>
      </c>
      <c r="B221" s="23" t="s">
        <v>820</v>
      </c>
      <c r="D221" s="23" t="s">
        <v>821</v>
      </c>
      <c r="E221" s="23" t="s">
        <v>11</v>
      </c>
      <c r="F221" s="23" t="s">
        <v>51</v>
      </c>
      <c r="G221" s="21">
        <v>102129.37</v>
      </c>
      <c r="H221" s="23" t="s">
        <v>249</v>
      </c>
      <c r="I221" s="19">
        <v>44396</v>
      </c>
      <c r="J221" s="24">
        <v>1</v>
      </c>
      <c r="K221" s="23" t="s">
        <v>13</v>
      </c>
      <c r="L221" s="23" t="s">
        <v>27</v>
      </c>
      <c r="M221" s="20">
        <v>5.0599999999999996</v>
      </c>
      <c r="N221" s="23" t="s">
        <v>250</v>
      </c>
    </row>
    <row r="222" spans="1:14" x14ac:dyDescent="0.35">
      <c r="A222" t="s">
        <v>822</v>
      </c>
      <c r="B222" s="23" t="s">
        <v>823</v>
      </c>
      <c r="D222" s="23" t="s">
        <v>824</v>
      </c>
      <c r="E222" s="23" t="s">
        <v>11</v>
      </c>
      <c r="F222" s="23" t="s">
        <v>18</v>
      </c>
      <c r="G222" s="21">
        <v>99965.97</v>
      </c>
      <c r="H222" s="23" t="s">
        <v>253</v>
      </c>
      <c r="I222" s="19">
        <v>43133</v>
      </c>
      <c r="J222" s="24">
        <v>1</v>
      </c>
      <c r="K222" s="23" t="s">
        <v>13</v>
      </c>
      <c r="L222" s="23" t="s">
        <v>40</v>
      </c>
      <c r="M222" s="20">
        <v>8.52</v>
      </c>
      <c r="N222" s="23" t="s">
        <v>250</v>
      </c>
    </row>
    <row r="223" spans="1:14" x14ac:dyDescent="0.35">
      <c r="A223" t="s">
        <v>825</v>
      </c>
      <c r="B223" s="23" t="s">
        <v>826</v>
      </c>
      <c r="D223" s="23" t="s">
        <v>827</v>
      </c>
      <c r="E223" s="23" t="s">
        <v>11</v>
      </c>
      <c r="F223" s="23" t="s">
        <v>57</v>
      </c>
      <c r="G223" s="21">
        <v>49625.64</v>
      </c>
      <c r="H223" s="23" t="s">
        <v>282</v>
      </c>
      <c r="I223" s="19">
        <v>44384</v>
      </c>
      <c r="J223" s="24">
        <v>0.5</v>
      </c>
      <c r="K223" s="23" t="s">
        <v>261</v>
      </c>
      <c r="L223" s="23" t="s">
        <v>40</v>
      </c>
      <c r="M223" s="20">
        <v>5.0999999999999996</v>
      </c>
      <c r="N223" s="23" t="s">
        <v>254</v>
      </c>
    </row>
    <row r="224" spans="1:14" x14ac:dyDescent="0.35">
      <c r="A224" t="s">
        <v>828</v>
      </c>
      <c r="B224" s="23" t="s">
        <v>829</v>
      </c>
      <c r="D224" s="23" t="s">
        <v>830</v>
      </c>
      <c r="E224" s="23" t="s">
        <v>11</v>
      </c>
      <c r="F224" s="23" t="s">
        <v>26</v>
      </c>
      <c r="G224" s="21">
        <v>94815.28</v>
      </c>
      <c r="H224" s="23" t="s">
        <v>253</v>
      </c>
      <c r="I224" s="19">
        <v>43440</v>
      </c>
      <c r="J224" s="24">
        <v>1</v>
      </c>
      <c r="K224" s="23" t="s">
        <v>13</v>
      </c>
      <c r="L224" s="23" t="s">
        <v>23</v>
      </c>
      <c r="M224" s="20">
        <v>7.68</v>
      </c>
      <c r="N224" s="23" t="s">
        <v>250</v>
      </c>
    </row>
    <row r="225" spans="1:14" x14ac:dyDescent="0.35">
      <c r="A225" t="s">
        <v>129</v>
      </c>
      <c r="B225" s="23" t="s">
        <v>831</v>
      </c>
      <c r="D225" s="23" t="s">
        <v>832</v>
      </c>
      <c r="E225" s="23" t="s">
        <v>88</v>
      </c>
      <c r="F225" s="23" t="s">
        <v>54</v>
      </c>
      <c r="G225" s="21">
        <v>36714.379999999997</v>
      </c>
      <c r="H225" s="23" t="s">
        <v>282</v>
      </c>
      <c r="I225" s="19">
        <v>44175</v>
      </c>
      <c r="J225" s="24">
        <v>1</v>
      </c>
      <c r="K225" s="23" t="s">
        <v>13</v>
      </c>
      <c r="L225" s="23" t="s">
        <v>109</v>
      </c>
      <c r="M225" s="20">
        <v>5.67</v>
      </c>
      <c r="N225" s="23" t="s">
        <v>250</v>
      </c>
    </row>
    <row r="226" spans="1:14" x14ac:dyDescent="0.35">
      <c r="A226" t="s">
        <v>64</v>
      </c>
      <c r="B226" s="23" t="s">
        <v>833</v>
      </c>
      <c r="D226" s="23" t="s">
        <v>834</v>
      </c>
      <c r="E226" s="23" t="s">
        <v>11</v>
      </c>
      <c r="F226" s="23" t="s">
        <v>66</v>
      </c>
      <c r="G226" s="21">
        <v>67905.8</v>
      </c>
      <c r="H226" s="23" t="s">
        <v>253</v>
      </c>
      <c r="I226" s="19">
        <v>44194</v>
      </c>
      <c r="J226" s="24">
        <v>1</v>
      </c>
      <c r="K226" s="23" t="s">
        <v>13</v>
      </c>
      <c r="L226" s="23" t="s">
        <v>40</v>
      </c>
      <c r="M226" s="20">
        <v>5.62</v>
      </c>
      <c r="N226" s="23" t="s">
        <v>250</v>
      </c>
    </row>
    <row r="227" spans="1:14" x14ac:dyDescent="0.35">
      <c r="A227" t="s">
        <v>835</v>
      </c>
      <c r="B227" s="23" t="s">
        <v>836</v>
      </c>
      <c r="D227" s="23" t="s">
        <v>837</v>
      </c>
      <c r="E227" s="23" t="s">
        <v>88</v>
      </c>
      <c r="F227" s="23" t="s">
        <v>72</v>
      </c>
      <c r="G227" s="21">
        <v>69862.38</v>
      </c>
      <c r="H227" s="23" t="s">
        <v>253</v>
      </c>
      <c r="I227" s="19">
        <v>43458</v>
      </c>
      <c r="J227" s="24">
        <v>1</v>
      </c>
      <c r="K227" s="23" t="s">
        <v>13</v>
      </c>
      <c r="L227" s="23" t="s">
        <v>14</v>
      </c>
      <c r="M227" s="20">
        <v>7.63</v>
      </c>
      <c r="N227" s="23" t="s">
        <v>250</v>
      </c>
    </row>
    <row r="228" spans="1:14" x14ac:dyDescent="0.35">
      <c r="A228" t="s">
        <v>131</v>
      </c>
      <c r="B228" s="23" t="s">
        <v>591</v>
      </c>
      <c r="D228" s="23" t="s">
        <v>592</v>
      </c>
      <c r="E228" s="23" t="s">
        <v>88</v>
      </c>
      <c r="F228" s="23" t="s">
        <v>12</v>
      </c>
      <c r="G228" s="21">
        <v>36547.58</v>
      </c>
      <c r="H228" s="23" t="s">
        <v>282</v>
      </c>
      <c r="I228" s="19">
        <v>43416</v>
      </c>
      <c r="J228" s="24">
        <v>1</v>
      </c>
      <c r="K228" s="23" t="s">
        <v>13</v>
      </c>
      <c r="L228" s="23" t="s">
        <v>40</v>
      </c>
      <c r="M228" s="20">
        <v>7.75</v>
      </c>
      <c r="N228" s="23" t="s">
        <v>250</v>
      </c>
    </row>
    <row r="229" spans="1:14" x14ac:dyDescent="0.35">
      <c r="A229" t="s">
        <v>838</v>
      </c>
      <c r="B229" s="23" t="s">
        <v>839</v>
      </c>
      <c r="D229" s="23" t="s">
        <v>840</v>
      </c>
      <c r="E229" s="23" t="s">
        <v>88</v>
      </c>
      <c r="F229" s="23" t="s">
        <v>22</v>
      </c>
      <c r="G229" s="21">
        <v>106400.02</v>
      </c>
      <c r="H229" s="23" t="s">
        <v>249</v>
      </c>
      <c r="I229" s="19">
        <v>44021</v>
      </c>
      <c r="J229" s="24">
        <v>1</v>
      </c>
      <c r="K229" s="23" t="s">
        <v>291</v>
      </c>
      <c r="L229" s="23" t="s">
        <v>109</v>
      </c>
      <c r="M229" s="20">
        <v>6.09</v>
      </c>
      <c r="N229" s="23" t="s">
        <v>250</v>
      </c>
    </row>
    <row r="230" spans="1:14" x14ac:dyDescent="0.35">
      <c r="A230" t="s">
        <v>841</v>
      </c>
      <c r="B230" s="23" t="s">
        <v>842</v>
      </c>
      <c r="D230" s="23" t="s">
        <v>843</v>
      </c>
      <c r="E230" s="23" t="s">
        <v>88</v>
      </c>
      <c r="F230" s="23" t="s">
        <v>72</v>
      </c>
      <c r="G230" s="21">
        <v>103494.94</v>
      </c>
      <c r="H230" s="23" t="s">
        <v>249</v>
      </c>
      <c r="I230" s="19">
        <v>43256</v>
      </c>
      <c r="J230" s="24">
        <v>1</v>
      </c>
      <c r="K230" s="23" t="s">
        <v>13</v>
      </c>
      <c r="L230" s="23" t="s">
        <v>40</v>
      </c>
      <c r="M230" s="20">
        <v>8.19</v>
      </c>
      <c r="N230" s="23" t="s">
        <v>250</v>
      </c>
    </row>
    <row r="231" spans="1:14" x14ac:dyDescent="0.35">
      <c r="A231" t="s">
        <v>692</v>
      </c>
      <c r="B231" s="23" t="s">
        <v>693</v>
      </c>
      <c r="D231" s="23" t="s">
        <v>694</v>
      </c>
      <c r="E231" s="23" t="s">
        <v>88</v>
      </c>
      <c r="F231" s="23" t="s">
        <v>51</v>
      </c>
      <c r="G231" s="21">
        <v>96753.78</v>
      </c>
      <c r="H231" s="23" t="s">
        <v>253</v>
      </c>
      <c r="I231" s="19">
        <v>44494</v>
      </c>
      <c r="J231" s="24">
        <v>1</v>
      </c>
      <c r="K231" s="23" t="s">
        <v>13</v>
      </c>
      <c r="L231" s="23" t="s">
        <v>43</v>
      </c>
      <c r="M231" s="20">
        <v>4.79</v>
      </c>
      <c r="N231" s="23" t="s">
        <v>250</v>
      </c>
    </row>
    <row r="232" spans="1:14" x14ac:dyDescent="0.35">
      <c r="A232" t="s">
        <v>44</v>
      </c>
      <c r="B232" s="23" t="s">
        <v>482</v>
      </c>
      <c r="D232" s="23" t="s">
        <v>483</v>
      </c>
      <c r="E232" s="23" t="s">
        <v>11</v>
      </c>
      <c r="F232" s="23" t="s">
        <v>22</v>
      </c>
      <c r="G232" s="21">
        <v>80695.740000000005</v>
      </c>
      <c r="H232" s="23" t="s">
        <v>253</v>
      </c>
      <c r="I232" s="19">
        <v>43360</v>
      </c>
      <c r="J232" s="24">
        <v>1</v>
      </c>
      <c r="K232" s="23" t="s">
        <v>13</v>
      </c>
      <c r="L232" s="23" t="s">
        <v>27</v>
      </c>
      <c r="M232" s="20">
        <v>7.9</v>
      </c>
      <c r="N232" s="23" t="s">
        <v>250</v>
      </c>
    </row>
    <row r="233" spans="1:14" x14ac:dyDescent="0.35">
      <c r="A233" t="s">
        <v>844</v>
      </c>
      <c r="B233" s="23" t="s">
        <v>845</v>
      </c>
      <c r="D233" s="23" t="s">
        <v>846</v>
      </c>
      <c r="E233" s="23" t="s">
        <v>11</v>
      </c>
      <c r="F233" s="23" t="s">
        <v>69</v>
      </c>
      <c r="G233" s="21">
        <v>61213.01</v>
      </c>
      <c r="H233" s="23" t="s">
        <v>253</v>
      </c>
      <c r="I233" s="19">
        <v>44365</v>
      </c>
      <c r="J233" s="24">
        <v>1</v>
      </c>
      <c r="K233" s="23" t="s">
        <v>13</v>
      </c>
      <c r="L233" s="23" t="s">
        <v>109</v>
      </c>
      <c r="M233" s="20">
        <v>5.15</v>
      </c>
      <c r="N233" s="23" t="s">
        <v>250</v>
      </c>
    </row>
    <row r="234" spans="1:14" x14ac:dyDescent="0.35">
      <c r="A234" t="s">
        <v>847</v>
      </c>
      <c r="B234" s="23" t="s">
        <v>848</v>
      </c>
      <c r="C234" s="23" t="s">
        <v>849</v>
      </c>
      <c r="D234" s="23" t="s">
        <v>850</v>
      </c>
      <c r="E234" s="23" t="s">
        <v>88</v>
      </c>
      <c r="F234" s="23" t="s">
        <v>32</v>
      </c>
      <c r="G234" s="21">
        <v>69709.509999999995</v>
      </c>
      <c r="H234" s="23" t="s">
        <v>253</v>
      </c>
      <c r="I234" s="19">
        <v>43472</v>
      </c>
      <c r="J234" s="24">
        <v>1</v>
      </c>
      <c r="K234" s="23" t="s">
        <v>13</v>
      </c>
      <c r="L234" s="23" t="s">
        <v>19</v>
      </c>
      <c r="M234" s="20">
        <v>7.59</v>
      </c>
      <c r="N234" s="23" t="s">
        <v>250</v>
      </c>
    </row>
    <row r="235" spans="1:14" x14ac:dyDescent="0.35">
      <c r="A235" t="s">
        <v>851</v>
      </c>
      <c r="B235" s="23" t="s">
        <v>852</v>
      </c>
      <c r="D235" s="23" t="s">
        <v>853</v>
      </c>
      <c r="E235" s="23" t="s">
        <v>11</v>
      </c>
      <c r="F235" s="23" t="s">
        <v>32</v>
      </c>
      <c r="G235" s="21">
        <v>46751.7</v>
      </c>
      <c r="H235" s="23" t="s">
        <v>282</v>
      </c>
      <c r="I235" s="19">
        <v>43843</v>
      </c>
      <c r="J235" s="24">
        <v>1</v>
      </c>
      <c r="K235" s="23" t="s">
        <v>261</v>
      </c>
      <c r="L235" s="23" t="s">
        <v>19</v>
      </c>
      <c r="M235" s="20">
        <v>6.58</v>
      </c>
      <c r="N235" s="23" t="s">
        <v>250</v>
      </c>
    </row>
    <row r="236" spans="1:14" x14ac:dyDescent="0.35">
      <c r="A236" t="s">
        <v>107</v>
      </c>
      <c r="B236" s="23" t="s">
        <v>854</v>
      </c>
      <c r="C236" s="23" t="s">
        <v>855</v>
      </c>
      <c r="D236" s="23" t="s">
        <v>856</v>
      </c>
      <c r="E236" s="23" t="s">
        <v>88</v>
      </c>
      <c r="F236" s="23" t="s">
        <v>35</v>
      </c>
      <c r="G236" s="21">
        <v>77096.05</v>
      </c>
      <c r="H236" s="23" t="s">
        <v>253</v>
      </c>
      <c r="I236" s="19">
        <v>43217</v>
      </c>
      <c r="J236" s="24">
        <v>1</v>
      </c>
      <c r="K236" s="23" t="s">
        <v>13</v>
      </c>
      <c r="L236" s="23" t="s">
        <v>109</v>
      </c>
      <c r="M236" s="20">
        <v>8.2899999999999991</v>
      </c>
      <c r="N236" s="23" t="s">
        <v>250</v>
      </c>
    </row>
    <row r="237" spans="1:14" x14ac:dyDescent="0.35">
      <c r="A237" t="s">
        <v>382</v>
      </c>
      <c r="B237" s="23" t="s">
        <v>383</v>
      </c>
      <c r="D237" s="23" t="s">
        <v>384</v>
      </c>
      <c r="E237" s="23" t="s">
        <v>11</v>
      </c>
      <c r="F237" s="23" t="s">
        <v>57</v>
      </c>
      <c r="G237" s="21">
        <v>67818.14</v>
      </c>
      <c r="H237" s="23" t="s">
        <v>253</v>
      </c>
      <c r="I237" s="19">
        <v>43406</v>
      </c>
      <c r="J237" s="24">
        <v>0.6</v>
      </c>
      <c r="K237" s="23" t="s">
        <v>261</v>
      </c>
      <c r="L237" s="23" t="s">
        <v>40</v>
      </c>
      <c r="M237" s="20">
        <v>7.78</v>
      </c>
      <c r="N237" s="23" t="s">
        <v>254</v>
      </c>
    </row>
    <row r="238" spans="1:14" x14ac:dyDescent="0.35">
      <c r="A238" t="s">
        <v>857</v>
      </c>
      <c r="B238" s="23" t="s">
        <v>858</v>
      </c>
      <c r="D238" s="23" t="s">
        <v>859</v>
      </c>
      <c r="E238" s="23" t="s">
        <v>88</v>
      </c>
      <c r="F238" s="23" t="s">
        <v>57</v>
      </c>
      <c r="G238" s="21">
        <v>77743.149999999994</v>
      </c>
      <c r="H238" s="23" t="s">
        <v>253</v>
      </c>
      <c r="I238" s="19">
        <v>43920</v>
      </c>
      <c r="J238" s="24">
        <v>1</v>
      </c>
      <c r="K238" s="23" t="s">
        <v>13</v>
      </c>
      <c r="L238" s="23" t="s">
        <v>109</v>
      </c>
      <c r="M238" s="20">
        <v>6.37</v>
      </c>
      <c r="N238" s="23" t="s">
        <v>250</v>
      </c>
    </row>
    <row r="239" spans="1:14" x14ac:dyDescent="0.35">
      <c r="A239" t="s">
        <v>125</v>
      </c>
      <c r="B239" s="23" t="s">
        <v>860</v>
      </c>
      <c r="D239" s="23" t="s">
        <v>861</v>
      </c>
      <c r="E239" s="23" t="s">
        <v>88</v>
      </c>
      <c r="F239" s="23" t="s">
        <v>72</v>
      </c>
      <c r="G239" s="21">
        <v>48525.71</v>
      </c>
      <c r="H239" s="23" t="s">
        <v>282</v>
      </c>
      <c r="I239" s="19">
        <v>43264</v>
      </c>
      <c r="J239" s="24">
        <v>1</v>
      </c>
      <c r="K239" s="23" t="s">
        <v>13</v>
      </c>
      <c r="L239" s="23" t="s">
        <v>19</v>
      </c>
      <c r="M239" s="20">
        <v>8.16</v>
      </c>
      <c r="N239" s="23" t="s">
        <v>250</v>
      </c>
    </row>
    <row r="240" spans="1:14" x14ac:dyDescent="0.35">
      <c r="A240" t="s">
        <v>841</v>
      </c>
      <c r="B240" s="23" t="s">
        <v>842</v>
      </c>
      <c r="D240" s="23" t="s">
        <v>843</v>
      </c>
      <c r="E240" s="23" t="s">
        <v>88</v>
      </c>
      <c r="F240" s="23" t="s">
        <v>72</v>
      </c>
      <c r="G240" s="21">
        <v>103494.94</v>
      </c>
      <c r="H240" s="23" t="s">
        <v>249</v>
      </c>
      <c r="I240" s="19">
        <v>43256</v>
      </c>
      <c r="J240" s="24">
        <v>1</v>
      </c>
      <c r="K240" s="23" t="s">
        <v>13</v>
      </c>
      <c r="L240" s="23" t="s">
        <v>40</v>
      </c>
      <c r="M240" s="20">
        <v>8.19</v>
      </c>
      <c r="N240" s="23" t="s">
        <v>250</v>
      </c>
    </row>
    <row r="241" spans="1:14" x14ac:dyDescent="0.35">
      <c r="A241" t="s">
        <v>838</v>
      </c>
      <c r="B241" s="23" t="s">
        <v>862</v>
      </c>
      <c r="D241" s="23" t="s">
        <v>863</v>
      </c>
      <c r="E241" s="23" t="s">
        <v>88</v>
      </c>
      <c r="F241" s="23" t="s">
        <v>22</v>
      </c>
      <c r="G241" s="21">
        <v>106400.02</v>
      </c>
      <c r="H241" s="23" t="s">
        <v>249</v>
      </c>
      <c r="I241" s="19">
        <v>44021</v>
      </c>
      <c r="J241" s="24">
        <v>1</v>
      </c>
      <c r="K241" s="23" t="s">
        <v>291</v>
      </c>
      <c r="L241" s="23" t="s">
        <v>109</v>
      </c>
      <c r="M241" s="20">
        <v>6.09</v>
      </c>
      <c r="N241" s="23" t="s">
        <v>250</v>
      </c>
    </row>
    <row r="242" spans="1:14" x14ac:dyDescent="0.35">
      <c r="A242" t="s">
        <v>864</v>
      </c>
      <c r="B242" s="23" t="s">
        <v>865</v>
      </c>
      <c r="D242" s="23" t="s">
        <v>866</v>
      </c>
      <c r="E242" s="23" t="s">
        <v>88</v>
      </c>
      <c r="F242" s="23" t="s">
        <v>72</v>
      </c>
      <c r="G242" s="21">
        <v>65569.36</v>
      </c>
      <c r="H242" s="23" t="s">
        <v>253</v>
      </c>
      <c r="I242" s="19">
        <v>43293</v>
      </c>
      <c r="J242" s="24">
        <v>1</v>
      </c>
      <c r="K242" s="23" t="s">
        <v>261</v>
      </c>
      <c r="L242" s="23" t="s">
        <v>43</v>
      </c>
      <c r="M242" s="20">
        <v>8.08</v>
      </c>
      <c r="N242" s="23" t="s">
        <v>250</v>
      </c>
    </row>
    <row r="243" spans="1:14" x14ac:dyDescent="0.35">
      <c r="A243" t="s">
        <v>610</v>
      </c>
      <c r="B243" s="23" t="s">
        <v>867</v>
      </c>
      <c r="C243" s="23" t="s">
        <v>868</v>
      </c>
      <c r="D243" s="23" t="s">
        <v>869</v>
      </c>
      <c r="E243" s="23" t="s">
        <v>88</v>
      </c>
      <c r="F243" s="23" t="s">
        <v>57</v>
      </c>
      <c r="G243" s="21">
        <v>40445.29</v>
      </c>
      <c r="H243" s="23" t="s">
        <v>282</v>
      </c>
      <c r="I243" s="19">
        <v>44393</v>
      </c>
      <c r="J243" s="24">
        <v>1</v>
      </c>
      <c r="K243" s="23" t="s">
        <v>13</v>
      </c>
      <c r="L243" s="23" t="s">
        <v>109</v>
      </c>
      <c r="M243" s="20">
        <v>5.07</v>
      </c>
      <c r="N243" s="23" t="s">
        <v>250</v>
      </c>
    </row>
    <row r="244" spans="1:14" x14ac:dyDescent="0.35">
      <c r="A244" t="s">
        <v>870</v>
      </c>
      <c r="B244" s="23" t="s">
        <v>871</v>
      </c>
      <c r="C244" s="23" t="s">
        <v>872</v>
      </c>
      <c r="D244" s="23" t="s">
        <v>873</v>
      </c>
      <c r="E244" s="23" t="s">
        <v>88</v>
      </c>
      <c r="F244" s="23" t="s">
        <v>26</v>
      </c>
      <c r="G244" s="21">
        <v>0</v>
      </c>
      <c r="H244" s="23" t="s">
        <v>282</v>
      </c>
      <c r="I244" s="19">
        <v>44207</v>
      </c>
      <c r="J244" s="24">
        <v>0.7</v>
      </c>
      <c r="K244" s="23" t="s">
        <v>13</v>
      </c>
      <c r="L244" s="23" t="s">
        <v>23</v>
      </c>
      <c r="M244" s="20">
        <v>5.58</v>
      </c>
      <c r="N244" s="23" t="s">
        <v>254</v>
      </c>
    </row>
    <row r="245" spans="1:14" x14ac:dyDescent="0.35">
      <c r="A245" t="s">
        <v>874</v>
      </c>
      <c r="B245" s="23" t="s">
        <v>875</v>
      </c>
      <c r="D245" s="23" t="s">
        <v>876</v>
      </c>
      <c r="E245" s="23" t="s">
        <v>11</v>
      </c>
      <c r="F245" s="23" t="s">
        <v>26</v>
      </c>
      <c r="G245" s="21">
        <v>114772.32</v>
      </c>
      <c r="H245" s="23" t="s">
        <v>249</v>
      </c>
      <c r="I245" s="19">
        <v>44251</v>
      </c>
      <c r="J245" s="24">
        <v>1</v>
      </c>
      <c r="K245" s="23" t="s">
        <v>13</v>
      </c>
      <c r="L245" s="23" t="s">
        <v>27</v>
      </c>
      <c r="M245" s="20">
        <v>5.46</v>
      </c>
      <c r="N245" s="23" t="s">
        <v>250</v>
      </c>
    </row>
    <row r="246" spans="1:14" x14ac:dyDescent="0.35">
      <c r="A246" t="s">
        <v>877</v>
      </c>
      <c r="B246" s="23" t="s">
        <v>878</v>
      </c>
      <c r="D246" s="23" t="s">
        <v>879</v>
      </c>
      <c r="E246" s="23" t="s">
        <v>11</v>
      </c>
      <c r="F246" s="23" t="s">
        <v>18</v>
      </c>
      <c r="G246" s="21">
        <v>56253.81</v>
      </c>
      <c r="H246" s="23" t="s">
        <v>253</v>
      </c>
      <c r="I246" s="19">
        <v>44421</v>
      </c>
      <c r="J246" s="24">
        <v>1</v>
      </c>
      <c r="K246" s="23" t="s">
        <v>13</v>
      </c>
      <c r="L246" s="23" t="s">
        <v>43</v>
      </c>
      <c r="M246" s="20">
        <v>4.99</v>
      </c>
      <c r="N246" s="23" t="s">
        <v>250</v>
      </c>
    </row>
    <row r="247" spans="1:14" x14ac:dyDescent="0.35">
      <c r="A247" t="s">
        <v>880</v>
      </c>
      <c r="B247" s="23" t="s">
        <v>881</v>
      </c>
      <c r="C247" s="23" t="s">
        <v>882</v>
      </c>
      <c r="D247" s="23" t="s">
        <v>883</v>
      </c>
      <c r="E247" s="23" t="s">
        <v>11</v>
      </c>
      <c r="F247" s="23" t="s">
        <v>57</v>
      </c>
      <c r="G247" s="21">
        <v>51798.25</v>
      </c>
      <c r="H247" s="23" t="s">
        <v>253</v>
      </c>
      <c r="I247" s="19">
        <v>43665</v>
      </c>
      <c r="J247" s="24">
        <v>1</v>
      </c>
      <c r="K247" s="23" t="s">
        <v>13</v>
      </c>
      <c r="L247" s="23" t="s">
        <v>19</v>
      </c>
      <c r="M247" s="20">
        <v>7.07</v>
      </c>
      <c r="N247" s="23" t="s">
        <v>250</v>
      </c>
    </row>
    <row r="248" spans="1:14" x14ac:dyDescent="0.35">
      <c r="A248" t="s">
        <v>884</v>
      </c>
      <c r="B248" s="23" t="s">
        <v>885</v>
      </c>
      <c r="D248" s="23" t="s">
        <v>886</v>
      </c>
      <c r="E248" s="23" t="s">
        <v>88</v>
      </c>
      <c r="F248" s="23" t="s">
        <v>72</v>
      </c>
      <c r="G248" s="21">
        <v>28329.77</v>
      </c>
      <c r="H248" s="23" t="s">
        <v>282</v>
      </c>
      <c r="I248" s="19">
        <v>43402</v>
      </c>
      <c r="J248" s="24">
        <v>1</v>
      </c>
      <c r="K248" s="23" t="s">
        <v>13</v>
      </c>
      <c r="L248" s="23" t="s">
        <v>23</v>
      </c>
      <c r="M248" s="20">
        <v>7.79</v>
      </c>
      <c r="N248" s="23" t="s">
        <v>250</v>
      </c>
    </row>
    <row r="249" spans="1:14" x14ac:dyDescent="0.35">
      <c r="A249" t="s">
        <v>887</v>
      </c>
      <c r="B249" s="23" t="s">
        <v>888</v>
      </c>
      <c r="D249" s="23" t="s">
        <v>889</v>
      </c>
      <c r="E249" s="23" t="s">
        <v>11</v>
      </c>
      <c r="F249" s="23" t="s">
        <v>18</v>
      </c>
      <c r="G249" s="21">
        <v>93964.3</v>
      </c>
      <c r="H249" s="23" t="s">
        <v>253</v>
      </c>
      <c r="I249" s="19">
        <v>44454</v>
      </c>
      <c r="J249" s="24">
        <v>0.4</v>
      </c>
      <c r="K249" s="23" t="s">
        <v>261</v>
      </c>
      <c r="L249" s="23" t="s">
        <v>19</v>
      </c>
      <c r="M249" s="20">
        <v>4.9000000000000004</v>
      </c>
      <c r="N249" s="23" t="s">
        <v>254</v>
      </c>
    </row>
    <row r="250" spans="1:14" x14ac:dyDescent="0.35">
      <c r="A250" t="s">
        <v>890</v>
      </c>
      <c r="B250" s="23" t="s">
        <v>335</v>
      </c>
      <c r="D250" s="23" t="s">
        <v>336</v>
      </c>
      <c r="E250" s="23" t="s">
        <v>88</v>
      </c>
      <c r="F250" s="23" t="s">
        <v>22</v>
      </c>
      <c r="G250" s="21">
        <v>90884.32</v>
      </c>
      <c r="H250" s="23" t="s">
        <v>253</v>
      </c>
      <c r="I250" s="19">
        <v>44039</v>
      </c>
      <c r="J250" s="24">
        <v>0.5</v>
      </c>
      <c r="K250" s="23" t="s">
        <v>13</v>
      </c>
      <c r="L250" s="23" t="s">
        <v>27</v>
      </c>
      <c r="M250" s="20">
        <v>6.04</v>
      </c>
      <c r="N250" s="23" t="s">
        <v>254</v>
      </c>
    </row>
    <row r="251" spans="1:14" x14ac:dyDescent="0.35">
      <c r="A251" t="s">
        <v>105</v>
      </c>
      <c r="B251" s="23" t="s">
        <v>891</v>
      </c>
      <c r="D251" s="23" t="s">
        <v>892</v>
      </c>
      <c r="E251" s="23" t="s">
        <v>88</v>
      </c>
      <c r="F251" s="23" t="s">
        <v>35</v>
      </c>
      <c r="G251" s="21">
        <v>84742.86</v>
      </c>
      <c r="H251" s="23" t="s">
        <v>253</v>
      </c>
      <c r="I251" s="19">
        <v>44098</v>
      </c>
      <c r="J251" s="24">
        <v>1</v>
      </c>
      <c r="K251" s="23" t="s">
        <v>13</v>
      </c>
      <c r="L251" s="23" t="s">
        <v>43</v>
      </c>
      <c r="M251" s="20">
        <v>5.88</v>
      </c>
      <c r="N251" s="23" t="s">
        <v>250</v>
      </c>
    </row>
    <row r="252" spans="1:14" x14ac:dyDescent="0.35">
      <c r="A252" t="s">
        <v>893</v>
      </c>
      <c r="B252" s="23" t="s">
        <v>894</v>
      </c>
      <c r="D252" s="23" t="s">
        <v>895</v>
      </c>
      <c r="E252" s="23" t="s">
        <v>88</v>
      </c>
      <c r="F252" s="23" t="s">
        <v>51</v>
      </c>
      <c r="G252" s="21">
        <v>80772.92</v>
      </c>
      <c r="H252" s="23" t="s">
        <v>253</v>
      </c>
      <c r="I252" s="19">
        <v>44137</v>
      </c>
      <c r="J252" s="24">
        <v>1</v>
      </c>
      <c r="K252" s="23" t="s">
        <v>291</v>
      </c>
      <c r="L252" s="23" t="s">
        <v>40</v>
      </c>
      <c r="M252" s="20">
        <v>5.77</v>
      </c>
      <c r="N252" s="23" t="s">
        <v>250</v>
      </c>
    </row>
    <row r="253" spans="1:14" x14ac:dyDescent="0.35">
      <c r="A253" t="s">
        <v>896</v>
      </c>
      <c r="B253" s="23" t="s">
        <v>897</v>
      </c>
      <c r="D253" s="23" t="s">
        <v>898</v>
      </c>
      <c r="E253" s="23" t="s">
        <v>11</v>
      </c>
      <c r="F253" s="23" t="s">
        <v>72</v>
      </c>
      <c r="G253" s="21">
        <v>85264.38</v>
      </c>
      <c r="H253" s="23" t="s">
        <v>253</v>
      </c>
      <c r="I253" s="19">
        <v>43220</v>
      </c>
      <c r="J253" s="24">
        <v>1</v>
      </c>
      <c r="K253" s="23" t="s">
        <v>13</v>
      </c>
      <c r="L253" s="23" t="s">
        <v>109</v>
      </c>
      <c r="M253" s="20">
        <v>8.2799999999999994</v>
      </c>
      <c r="N253" s="23" t="s">
        <v>250</v>
      </c>
    </row>
    <row r="254" spans="1:14" x14ac:dyDescent="0.35">
      <c r="A254" t="s">
        <v>446</v>
      </c>
      <c r="B254" s="23" t="s">
        <v>447</v>
      </c>
      <c r="D254" s="23" t="s">
        <v>448</v>
      </c>
      <c r="E254" s="23" t="s">
        <v>88</v>
      </c>
      <c r="F254" s="23" t="s">
        <v>69</v>
      </c>
      <c r="G254" s="21">
        <v>113747.56</v>
      </c>
      <c r="H254" s="23" t="s">
        <v>249</v>
      </c>
      <c r="I254" s="19">
        <v>44270</v>
      </c>
      <c r="J254" s="24">
        <v>0.7</v>
      </c>
      <c r="K254" s="23" t="s">
        <v>291</v>
      </c>
      <c r="L254" s="23" t="s">
        <v>27</v>
      </c>
      <c r="M254" s="20">
        <v>5.41</v>
      </c>
      <c r="N254" s="23" t="s">
        <v>254</v>
      </c>
    </row>
    <row r="255" spans="1:14" x14ac:dyDescent="0.35">
      <c r="A255" t="s">
        <v>47</v>
      </c>
      <c r="B255" s="23" t="s">
        <v>899</v>
      </c>
      <c r="D255" s="23" t="s">
        <v>900</v>
      </c>
      <c r="E255" s="23" t="s">
        <v>11</v>
      </c>
      <c r="F255" s="23" t="s">
        <v>26</v>
      </c>
      <c r="G255" s="21">
        <v>78378.2</v>
      </c>
      <c r="H255" s="23" t="s">
        <v>253</v>
      </c>
      <c r="I255" s="19">
        <v>43465</v>
      </c>
      <c r="J255" s="24">
        <v>0.4</v>
      </c>
      <c r="K255" s="23" t="s">
        <v>13</v>
      </c>
      <c r="L255" s="23" t="s">
        <v>40</v>
      </c>
      <c r="M255" s="20">
        <v>7.61</v>
      </c>
      <c r="N255" s="23" t="s">
        <v>254</v>
      </c>
    </row>
    <row r="256" spans="1:14" x14ac:dyDescent="0.35">
      <c r="A256" t="s">
        <v>901</v>
      </c>
      <c r="B256" s="23" t="s">
        <v>902</v>
      </c>
      <c r="D256" s="23" t="s">
        <v>903</v>
      </c>
      <c r="E256" s="23" t="s">
        <v>88</v>
      </c>
      <c r="F256" s="23" t="s">
        <v>51</v>
      </c>
      <c r="G256" s="21">
        <v>91314.75</v>
      </c>
      <c r="H256" s="23" t="s">
        <v>253</v>
      </c>
      <c r="I256" s="19">
        <v>43931</v>
      </c>
      <c r="J256" s="24">
        <v>1</v>
      </c>
      <c r="K256" s="23" t="s">
        <v>261</v>
      </c>
      <c r="L256" s="23" t="s">
        <v>23</v>
      </c>
      <c r="M256" s="20">
        <v>6.34</v>
      </c>
      <c r="N256" s="23" t="s">
        <v>250</v>
      </c>
    </row>
    <row r="257" spans="1:14" x14ac:dyDescent="0.35">
      <c r="A257" t="s">
        <v>112</v>
      </c>
      <c r="B257" s="23" t="s">
        <v>904</v>
      </c>
      <c r="D257" s="23" t="s">
        <v>905</v>
      </c>
      <c r="E257" s="23" t="s">
        <v>88</v>
      </c>
      <c r="F257" s="23" t="s">
        <v>69</v>
      </c>
      <c r="G257" s="21">
        <v>66572.58</v>
      </c>
      <c r="H257" s="23" t="s">
        <v>253</v>
      </c>
      <c r="I257" s="19">
        <v>44193</v>
      </c>
      <c r="J257" s="24">
        <v>1</v>
      </c>
      <c r="K257" s="23" t="s">
        <v>13</v>
      </c>
      <c r="L257" s="23" t="s">
        <v>109</v>
      </c>
      <c r="M257" s="20">
        <v>5.62</v>
      </c>
      <c r="N257" s="23" t="s">
        <v>250</v>
      </c>
    </row>
    <row r="258" spans="1:14" x14ac:dyDescent="0.35">
      <c r="A258" t="s">
        <v>906</v>
      </c>
      <c r="B258" s="23" t="s">
        <v>907</v>
      </c>
      <c r="D258" s="23" t="s">
        <v>908</v>
      </c>
      <c r="E258" s="23" t="s">
        <v>88</v>
      </c>
      <c r="F258" s="23" t="s">
        <v>54</v>
      </c>
      <c r="G258" s="21">
        <v>30077.45</v>
      </c>
      <c r="H258" s="23" t="s">
        <v>282</v>
      </c>
      <c r="I258" s="19">
        <v>43474</v>
      </c>
      <c r="J258" s="24">
        <v>1</v>
      </c>
      <c r="K258" s="23" t="s">
        <v>13</v>
      </c>
      <c r="L258" s="23" t="s">
        <v>14</v>
      </c>
      <c r="M258" s="20">
        <v>7.59</v>
      </c>
      <c r="N258" s="23" t="s">
        <v>250</v>
      </c>
    </row>
    <row r="259" spans="1:14" x14ac:dyDescent="0.35">
      <c r="A259" t="s">
        <v>909</v>
      </c>
      <c r="B259" s="23" t="s">
        <v>910</v>
      </c>
      <c r="D259" s="23" t="s">
        <v>911</v>
      </c>
      <c r="E259" s="23" t="s">
        <v>270</v>
      </c>
      <c r="F259" s="23" t="s">
        <v>12</v>
      </c>
      <c r="G259" s="21">
        <v>98012.63</v>
      </c>
      <c r="H259" s="23" t="s">
        <v>253</v>
      </c>
      <c r="I259" s="19">
        <v>43780</v>
      </c>
      <c r="J259" s="24">
        <v>1</v>
      </c>
      <c r="K259" s="23" t="s">
        <v>13</v>
      </c>
      <c r="L259" s="23" t="s">
        <v>40</v>
      </c>
      <c r="M259" s="20">
        <v>6.75</v>
      </c>
      <c r="N259" s="23" t="s">
        <v>250</v>
      </c>
    </row>
    <row r="260" spans="1:14" x14ac:dyDescent="0.35">
      <c r="A260" t="s">
        <v>110</v>
      </c>
      <c r="B260" s="23" t="s">
        <v>424</v>
      </c>
      <c r="D260" s="23" t="s">
        <v>425</v>
      </c>
      <c r="E260" s="23" t="s">
        <v>88</v>
      </c>
      <c r="F260" s="23" t="s">
        <v>72</v>
      </c>
      <c r="G260" s="21">
        <v>72876.91</v>
      </c>
      <c r="H260" s="23" t="s">
        <v>253</v>
      </c>
      <c r="I260" s="19">
        <v>43837</v>
      </c>
      <c r="J260" s="24">
        <v>1</v>
      </c>
      <c r="K260" s="23" t="s">
        <v>13</v>
      </c>
      <c r="L260" s="23" t="s">
        <v>40</v>
      </c>
      <c r="M260" s="20">
        <v>6.59</v>
      </c>
      <c r="N260" s="23" t="s">
        <v>250</v>
      </c>
    </row>
    <row r="261" spans="1:14" x14ac:dyDescent="0.35">
      <c r="A261" t="s">
        <v>912</v>
      </c>
      <c r="B261" s="23" t="s">
        <v>913</v>
      </c>
      <c r="D261" s="23" t="s">
        <v>914</v>
      </c>
      <c r="E261" s="23" t="s">
        <v>88</v>
      </c>
      <c r="F261" s="23" t="s">
        <v>26</v>
      </c>
      <c r="G261" s="21">
        <v>92943.89</v>
      </c>
      <c r="H261" s="23" t="s">
        <v>253</v>
      </c>
      <c r="I261" s="19">
        <v>44510</v>
      </c>
      <c r="J261" s="24">
        <v>1</v>
      </c>
      <c r="K261" s="23" t="s">
        <v>13</v>
      </c>
      <c r="L261" s="23" t="s">
        <v>19</v>
      </c>
      <c r="M261" s="20">
        <v>4.75</v>
      </c>
      <c r="N261" s="23" t="s">
        <v>250</v>
      </c>
    </row>
    <row r="262" spans="1:14" x14ac:dyDescent="0.35">
      <c r="A262" t="s">
        <v>915</v>
      </c>
      <c r="B262" s="23" t="s">
        <v>916</v>
      </c>
      <c r="C262" s="23" t="s">
        <v>917</v>
      </c>
      <c r="D262" s="23" t="s">
        <v>918</v>
      </c>
      <c r="E262" s="23" t="s">
        <v>11</v>
      </c>
      <c r="F262" s="23" t="s">
        <v>72</v>
      </c>
      <c r="G262" s="21">
        <v>29808.07</v>
      </c>
      <c r="H262" s="23" t="s">
        <v>282</v>
      </c>
      <c r="I262" s="19">
        <v>43291</v>
      </c>
      <c r="J262" s="24">
        <v>0.3</v>
      </c>
      <c r="K262" s="23" t="s">
        <v>291</v>
      </c>
      <c r="L262" s="23" t="s">
        <v>19</v>
      </c>
      <c r="M262" s="20">
        <v>8.09</v>
      </c>
      <c r="N262" s="23" t="s">
        <v>254</v>
      </c>
    </row>
    <row r="263" spans="1:14" x14ac:dyDescent="0.35">
      <c r="A263" t="s">
        <v>78</v>
      </c>
      <c r="B263" s="23" t="s">
        <v>919</v>
      </c>
      <c r="D263" s="23" t="s">
        <v>920</v>
      </c>
      <c r="E263" s="23" t="s">
        <v>11</v>
      </c>
      <c r="F263" s="23" t="s">
        <v>51</v>
      </c>
      <c r="G263" s="21">
        <v>47551.89</v>
      </c>
      <c r="H263" s="23" t="s">
        <v>282</v>
      </c>
      <c r="I263" s="19">
        <v>43468</v>
      </c>
      <c r="J263" s="24">
        <v>1</v>
      </c>
      <c r="K263" s="23" t="s">
        <v>13</v>
      </c>
      <c r="L263" s="23" t="s">
        <v>43</v>
      </c>
      <c r="M263" s="20">
        <v>7.61</v>
      </c>
      <c r="N263" s="23" t="s">
        <v>250</v>
      </c>
    </row>
    <row r="264" spans="1:14" x14ac:dyDescent="0.35">
      <c r="A264" t="s">
        <v>409</v>
      </c>
      <c r="B264" s="23" t="s">
        <v>785</v>
      </c>
      <c r="C264" s="23" t="s">
        <v>921</v>
      </c>
      <c r="D264" s="23" t="s">
        <v>922</v>
      </c>
      <c r="E264" s="23" t="s">
        <v>11</v>
      </c>
      <c r="F264" s="23" t="s">
        <v>32</v>
      </c>
      <c r="G264" s="21">
        <v>39700.82</v>
      </c>
      <c r="H264" s="23" t="s">
        <v>282</v>
      </c>
      <c r="I264" s="19">
        <v>44203</v>
      </c>
      <c r="J264" s="24">
        <v>0.8</v>
      </c>
      <c r="K264" s="23" t="s">
        <v>13</v>
      </c>
      <c r="L264" s="23" t="s">
        <v>109</v>
      </c>
      <c r="M264" s="20">
        <v>5.59</v>
      </c>
      <c r="N264" s="23" t="s">
        <v>254</v>
      </c>
    </row>
    <row r="265" spans="1:14" x14ac:dyDescent="0.35">
      <c r="A265" t="s">
        <v>923</v>
      </c>
      <c r="B265" s="23" t="s">
        <v>924</v>
      </c>
      <c r="D265" s="23" t="s">
        <v>925</v>
      </c>
      <c r="E265" s="23" t="s">
        <v>11</v>
      </c>
      <c r="F265" s="23" t="s">
        <v>69</v>
      </c>
      <c r="G265" s="21">
        <v>31089.22</v>
      </c>
      <c r="H265" s="23" t="s">
        <v>282</v>
      </c>
      <c r="I265" s="19">
        <v>43776</v>
      </c>
      <c r="J265" s="24">
        <v>1</v>
      </c>
      <c r="K265" s="23" t="s">
        <v>261</v>
      </c>
      <c r="L265" s="23" t="s">
        <v>109</v>
      </c>
      <c r="M265" s="20">
        <v>6.76</v>
      </c>
      <c r="N265" s="23" t="s">
        <v>250</v>
      </c>
    </row>
    <row r="266" spans="1:14" x14ac:dyDescent="0.35">
      <c r="A266" t="s">
        <v>926</v>
      </c>
      <c r="B266" s="23" t="s">
        <v>927</v>
      </c>
      <c r="D266" s="23" t="s">
        <v>928</v>
      </c>
      <c r="E266" s="23" t="s">
        <v>11</v>
      </c>
      <c r="F266" s="23" t="s">
        <v>51</v>
      </c>
      <c r="G266" s="21">
        <v>78020.39</v>
      </c>
      <c r="H266" s="23" t="s">
        <v>253</v>
      </c>
      <c r="I266" s="19">
        <v>43899</v>
      </c>
      <c r="J266" s="24">
        <v>1</v>
      </c>
      <c r="K266" s="23" t="s">
        <v>13</v>
      </c>
      <c r="L266" s="23" t="s">
        <v>40</v>
      </c>
      <c r="M266" s="20">
        <v>6.42</v>
      </c>
      <c r="N266" s="23" t="s">
        <v>250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2B56-D7E9-4ADF-B553-2843FD1285B5}">
  <dimension ref="A1:G13"/>
  <sheetViews>
    <sheetView workbookViewId="0">
      <selection activeCell="E15" sqref="E15"/>
    </sheetView>
  </sheetViews>
  <sheetFormatPr defaultRowHeight="18" x14ac:dyDescent="0.35"/>
  <cols>
    <col min="1" max="1" width="22.08203125" style="23" bestFit="1" customWidth="1"/>
    <col min="2" max="2" width="7.6640625" style="22" bestFit="1" customWidth="1"/>
    <col min="3" max="3" width="12.25" style="21" bestFit="1" customWidth="1"/>
    <col min="4" max="4" width="9.75" style="21" bestFit="1" customWidth="1"/>
    <col min="5" max="5" width="15.08203125" bestFit="1" customWidth="1"/>
    <col min="6" max="6" width="15.25" bestFit="1" customWidth="1"/>
    <col min="7" max="7" width="15" bestFit="1" customWidth="1"/>
  </cols>
  <sheetData>
    <row r="1" spans="1:7" x14ac:dyDescent="0.35">
      <c r="A1" s="29" t="s">
        <v>3</v>
      </c>
      <c r="B1" s="28" t="s">
        <v>929</v>
      </c>
      <c r="C1" s="27" t="s">
        <v>15</v>
      </c>
      <c r="D1" s="27" t="s">
        <v>930</v>
      </c>
      <c r="E1" s="27" t="s">
        <v>931</v>
      </c>
      <c r="F1" s="27" t="s">
        <v>932</v>
      </c>
      <c r="G1" s="27" t="s">
        <v>933</v>
      </c>
    </row>
    <row r="2" spans="1:7" x14ac:dyDescent="0.35">
      <c r="A2" s="25" t="s">
        <v>26</v>
      </c>
      <c r="B2" s="22" cm="1">
        <f t="array" ref="B2:B13">COUNTIFS(Employee_Processed_Data[Department],A2:A13)</f>
        <v>27</v>
      </c>
      <c r="C2" s="21" cm="1">
        <f t="array" ref="C2:C13">SUMIFS(Employee_Processed_Data[Salary],Employee_Processed_Data[Department],A2:A13)</f>
        <v>2131387.4899999998</v>
      </c>
      <c r="D2" s="21" cm="1">
        <f t="array" ref="D2:D13">AVERAGEIFS(Employee_Processed_Data[Salary],Employee_Processed_Data[Department],A2:A13)</f>
        <v>78940.277407407397</v>
      </c>
      <c r="E2" cm="1">
        <f t="array" ref="E2:E13">COUNTIFS(Employee_Processed_Data[Employee type],"Permanent",Employee_Processed_Data[Department],A2:A13)</f>
        <v>17</v>
      </c>
      <c r="F2" cm="1">
        <f t="array" ref="F2:F13">COUNTIFS(Employee_Processed_Data[Employee type],"Fixed Term",Employee_Processed_Data[Department],A2:A13)</f>
        <v>5</v>
      </c>
      <c r="G2" cm="1">
        <f t="array" ref="G2:G13">COUNTIFS(Employee_Processed_Data[Employee type],"Temporary",Employee_Processed_Data[Department],A2:A13)</f>
        <v>5</v>
      </c>
    </row>
    <row r="3" spans="1:7" x14ac:dyDescent="0.35">
      <c r="A3" s="26" t="s">
        <v>22</v>
      </c>
      <c r="B3" s="22">
        <v>26</v>
      </c>
      <c r="C3" s="21">
        <v>2074326.9500000004</v>
      </c>
      <c r="D3" s="21">
        <v>79781.805769230792</v>
      </c>
      <c r="E3">
        <v>18</v>
      </c>
      <c r="F3">
        <v>4</v>
      </c>
      <c r="G3">
        <v>4</v>
      </c>
    </row>
    <row r="4" spans="1:7" x14ac:dyDescent="0.35">
      <c r="A4" s="25" t="s">
        <v>35</v>
      </c>
      <c r="B4" s="22">
        <v>21</v>
      </c>
      <c r="C4" s="21">
        <v>1568153.4700000002</v>
      </c>
      <c r="D4" s="21">
        <v>74673.97476190477</v>
      </c>
      <c r="E4">
        <v>16</v>
      </c>
      <c r="F4">
        <v>3</v>
      </c>
      <c r="G4">
        <v>2</v>
      </c>
    </row>
    <row r="5" spans="1:7" x14ac:dyDescent="0.35">
      <c r="A5" s="26" t="s">
        <v>18</v>
      </c>
      <c r="B5" s="22">
        <v>24</v>
      </c>
      <c r="C5" s="21">
        <v>2013215.1600000001</v>
      </c>
      <c r="D5" s="21">
        <v>83883.965000000011</v>
      </c>
      <c r="E5">
        <v>11</v>
      </c>
      <c r="F5">
        <v>6</v>
      </c>
      <c r="G5">
        <v>7</v>
      </c>
    </row>
    <row r="6" spans="1:7" x14ac:dyDescent="0.35">
      <c r="A6" s="25" t="s">
        <v>54</v>
      </c>
      <c r="B6" s="22">
        <v>18</v>
      </c>
      <c r="C6" s="21">
        <v>1129351.7499999998</v>
      </c>
      <c r="D6" s="21">
        <v>62741.763888888876</v>
      </c>
      <c r="E6">
        <v>12</v>
      </c>
      <c r="F6">
        <v>3</v>
      </c>
      <c r="G6">
        <v>3</v>
      </c>
    </row>
    <row r="7" spans="1:7" x14ac:dyDescent="0.35">
      <c r="A7" s="26" t="s">
        <v>66</v>
      </c>
      <c r="B7" s="22">
        <v>12</v>
      </c>
      <c r="C7" s="21">
        <v>773295.6</v>
      </c>
      <c r="D7" s="21">
        <v>64441.299999999996</v>
      </c>
      <c r="E7">
        <v>9</v>
      </c>
      <c r="F7">
        <v>2</v>
      </c>
      <c r="G7">
        <v>1</v>
      </c>
    </row>
    <row r="8" spans="1:7" x14ac:dyDescent="0.35">
      <c r="A8" s="25" t="s">
        <v>32</v>
      </c>
      <c r="B8" s="22">
        <v>19</v>
      </c>
      <c r="C8" s="21">
        <v>1204393.78</v>
      </c>
      <c r="D8" s="21">
        <v>63389.146315789476</v>
      </c>
      <c r="E8">
        <v>12</v>
      </c>
      <c r="F8">
        <v>4</v>
      </c>
      <c r="G8">
        <v>3</v>
      </c>
    </row>
    <row r="9" spans="1:7" x14ac:dyDescent="0.35">
      <c r="A9" s="26" t="s">
        <v>72</v>
      </c>
      <c r="B9" s="22">
        <v>22</v>
      </c>
      <c r="C9" s="21">
        <v>1608406.31</v>
      </c>
      <c r="D9" s="21">
        <v>73109.377727272731</v>
      </c>
      <c r="E9">
        <v>13</v>
      </c>
      <c r="F9">
        <v>6</v>
      </c>
      <c r="G9">
        <v>3</v>
      </c>
    </row>
    <row r="10" spans="1:7" x14ac:dyDescent="0.35">
      <c r="A10" s="25" t="s">
        <v>12</v>
      </c>
      <c r="B10" s="22">
        <v>26</v>
      </c>
      <c r="C10" s="21">
        <v>1814980.5899999999</v>
      </c>
      <c r="D10" s="21">
        <v>69806.945769230762</v>
      </c>
      <c r="E10">
        <v>18</v>
      </c>
      <c r="F10">
        <v>4</v>
      </c>
      <c r="G10">
        <v>4</v>
      </c>
    </row>
    <row r="11" spans="1:7" x14ac:dyDescent="0.35">
      <c r="A11" s="26" t="s">
        <v>51</v>
      </c>
      <c r="B11" s="22">
        <v>18</v>
      </c>
      <c r="C11" s="21">
        <v>1294147.72</v>
      </c>
      <c r="D11" s="21">
        <v>71897.095555555556</v>
      </c>
      <c r="E11">
        <v>13</v>
      </c>
      <c r="F11">
        <v>3</v>
      </c>
      <c r="G11">
        <v>2</v>
      </c>
    </row>
    <row r="12" spans="1:7" x14ac:dyDescent="0.35">
      <c r="A12" s="26" t="s">
        <v>57</v>
      </c>
      <c r="B12" s="22">
        <v>29</v>
      </c>
      <c r="C12" s="21">
        <v>2180192.8699999996</v>
      </c>
      <c r="D12" s="21">
        <v>75179.064482758607</v>
      </c>
      <c r="E12">
        <v>19</v>
      </c>
      <c r="F12">
        <v>7</v>
      </c>
      <c r="G12">
        <v>3</v>
      </c>
    </row>
    <row r="13" spans="1:7" x14ac:dyDescent="0.35">
      <c r="A13" s="26" t="s">
        <v>69</v>
      </c>
      <c r="B13" s="22">
        <v>23</v>
      </c>
      <c r="C13" s="21">
        <v>1412092.8699999999</v>
      </c>
      <c r="D13" s="21">
        <v>61395.342173913035</v>
      </c>
      <c r="E13">
        <v>15</v>
      </c>
      <c r="F13">
        <v>3</v>
      </c>
      <c r="G13">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0DED-FAFE-481F-930C-7EB574906D05}">
  <dimension ref="A1:O49"/>
  <sheetViews>
    <sheetView topLeftCell="H1" workbookViewId="0">
      <selection activeCell="H1" sqref="H1"/>
    </sheetView>
  </sheetViews>
  <sheetFormatPr defaultRowHeight="18" x14ac:dyDescent="0.35"/>
  <cols>
    <col min="1" max="1" width="8" bestFit="1" customWidth="1"/>
    <col min="2" max="2" width="11.75" bestFit="1" customWidth="1"/>
    <col min="3" max="3" width="10.9140625" style="23" bestFit="1" customWidth="1"/>
    <col min="4" max="4" width="12" bestFit="1" customWidth="1"/>
    <col min="5" max="5" width="6.5" bestFit="1" customWidth="1"/>
    <col min="6" max="6" width="18.5" bestFit="1" customWidth="1"/>
    <col min="7" max="7" width="9.75" bestFit="1" customWidth="1"/>
    <col min="8" max="8" width="9.83203125" bestFit="1" customWidth="1"/>
    <col min="9" max="9" width="9.9140625" style="19" bestFit="1" customWidth="1"/>
    <col min="10" max="10" width="3.75" bestFit="1" customWidth="1"/>
    <col min="11" max="11" width="9.1640625" bestFit="1" customWidth="1"/>
    <col min="12" max="12" width="20" bestFit="1" customWidth="1"/>
    <col min="13" max="13" width="4.75" bestFit="1" customWidth="1"/>
    <col min="14" max="14" width="7.83203125" bestFit="1" customWidth="1"/>
    <col min="15" max="15" width="8.08203125" bestFit="1" customWidth="1"/>
  </cols>
  <sheetData>
    <row r="1" spans="1:15" x14ac:dyDescent="0.35">
      <c r="A1" t="s">
        <v>934</v>
      </c>
      <c r="H1" t="s">
        <v>2055</v>
      </c>
    </row>
    <row r="2" spans="1:15" x14ac:dyDescent="0.35">
      <c r="A2" s="30" t="str" cm="1">
        <f t="array" ref="A2:N2">Employee_Processed_Data[#Headers]</f>
        <v>Emp ID</v>
      </c>
      <c r="B2" s="30" t="str">
        <v>First Name</v>
      </c>
      <c r="C2" s="36" t="str">
        <v>Middle Name</v>
      </c>
      <c r="D2" s="30" t="str">
        <v>Last Name</v>
      </c>
      <c r="E2" s="30" t="str">
        <v>Gender</v>
      </c>
      <c r="F2" s="30" t="str">
        <v>Department</v>
      </c>
      <c r="G2" s="30" t="str">
        <v>Salary</v>
      </c>
      <c r="H2" s="30" t="str">
        <v>Salary Bins</v>
      </c>
      <c r="I2" s="31" t="str">
        <v>Start Date</v>
      </c>
      <c r="J2" s="30" t="str">
        <v>FTE</v>
      </c>
      <c r="K2" s="30" t="str">
        <v>Employee type</v>
      </c>
      <c r="L2" s="30" t="str">
        <v>Work location</v>
      </c>
      <c r="M2" s="30" t="str">
        <v>Tenure</v>
      </c>
      <c r="N2" s="30" t="str">
        <v>Work Type</v>
      </c>
      <c r="O2" s="30"/>
    </row>
    <row r="3" spans="1:15" x14ac:dyDescent="0.35">
      <c r="A3" t="str" cm="1">
        <f t="array" ref="A3:N49">_xlfn._xlws.FILTER(Employee_Processed_Data[],Employee_Processed_Data[Salary]&gt;100000)</f>
        <v>PR00147</v>
      </c>
      <c r="B3" t="str">
        <v>Minerva</v>
      </c>
      <c r="C3" s="23">
        <v>0</v>
      </c>
      <c r="D3" t="str">
        <v>Ricardot</v>
      </c>
      <c r="E3" t="str">
        <v>Male</v>
      </c>
      <c r="F3" t="str">
        <v>Engineering</v>
      </c>
      <c r="G3">
        <v>120000</v>
      </c>
      <c r="H3" t="str">
        <v>Above 100K</v>
      </c>
      <c r="I3" s="19">
        <v>43416</v>
      </c>
      <c r="J3">
        <v>1</v>
      </c>
      <c r="K3" t="str">
        <v>Permanent</v>
      </c>
      <c r="L3" t="str">
        <v>Remote</v>
      </c>
      <c r="M3">
        <v>7.75</v>
      </c>
      <c r="N3" t="str">
        <v>Full Time</v>
      </c>
    </row>
    <row r="4" spans="1:15" x14ac:dyDescent="0.35">
      <c r="A4" t="str">
        <v>SQ04612</v>
      </c>
      <c r="B4" t="str">
        <v>Mick</v>
      </c>
      <c r="C4" s="23">
        <v>0</v>
      </c>
      <c r="D4" t="str">
        <v>Spraberry</v>
      </c>
      <c r="E4" t="str">
        <v>Female</v>
      </c>
      <c r="F4" t="str">
        <v>Services</v>
      </c>
      <c r="G4">
        <v>120000</v>
      </c>
      <c r="H4" t="str">
        <v>Above 100K</v>
      </c>
      <c r="I4" s="19">
        <v>43902</v>
      </c>
      <c r="J4">
        <v>0.9</v>
      </c>
      <c r="K4" t="str">
        <v>Permanent</v>
      </c>
      <c r="L4" t="str">
        <v>Remote</v>
      </c>
      <c r="M4">
        <v>6.42</v>
      </c>
      <c r="N4" t="str">
        <v>Part Time</v>
      </c>
    </row>
    <row r="5" spans="1:15" x14ac:dyDescent="0.35">
      <c r="A5" t="str">
        <v>SQ00144</v>
      </c>
      <c r="B5" t="str">
        <v>Collen</v>
      </c>
      <c r="C5" s="23">
        <v>0</v>
      </c>
      <c r="D5" t="str">
        <v>Dunbleton</v>
      </c>
      <c r="E5" t="str">
        <v>Male</v>
      </c>
      <c r="F5" t="str">
        <v>Engineering</v>
      </c>
      <c r="G5">
        <v>118976.16</v>
      </c>
      <c r="H5" t="str">
        <v>Above 100K</v>
      </c>
      <c r="I5" s="19">
        <v>44120</v>
      </c>
      <c r="J5">
        <v>1</v>
      </c>
      <c r="K5" t="str">
        <v>Permanent</v>
      </c>
      <c r="L5" t="str">
        <v>Wellington, New Zealand</v>
      </c>
      <c r="M5">
        <v>5.82</v>
      </c>
      <c r="N5" t="str">
        <v>Full Time</v>
      </c>
    </row>
    <row r="6" spans="1:15" x14ac:dyDescent="0.35">
      <c r="A6" t="str">
        <v>PR04601</v>
      </c>
      <c r="B6" t="str">
        <v>Yedukondalu</v>
      </c>
      <c r="C6" s="23">
        <v>0</v>
      </c>
      <c r="D6" t="str">
        <v>Panditula</v>
      </c>
      <c r="E6" t="str">
        <v>Missing</v>
      </c>
      <c r="F6" t="str">
        <v>Support</v>
      </c>
      <c r="G6">
        <v>104802.63</v>
      </c>
      <c r="H6" t="str">
        <v>Above 100K</v>
      </c>
      <c r="I6" s="19">
        <v>44502</v>
      </c>
      <c r="J6">
        <v>1</v>
      </c>
      <c r="K6" t="str">
        <v>Permanent</v>
      </c>
      <c r="L6" t="str">
        <v>Hyderabad, India</v>
      </c>
      <c r="M6">
        <v>4.7699999999999996</v>
      </c>
      <c r="N6" t="str">
        <v>Full Time</v>
      </c>
    </row>
    <row r="7" spans="1:15" x14ac:dyDescent="0.35">
      <c r="A7" t="str">
        <v>TN01281</v>
      </c>
      <c r="B7" t="str">
        <v>Cletus</v>
      </c>
      <c r="C7" s="23">
        <v>0</v>
      </c>
      <c r="D7" t="str">
        <v>McGarahan</v>
      </c>
      <c r="E7" t="str">
        <v>Female</v>
      </c>
      <c r="F7" t="str">
        <v>Engineering</v>
      </c>
      <c r="G7">
        <v>114425.19</v>
      </c>
      <c r="H7" t="str">
        <v>Above 100K</v>
      </c>
      <c r="I7" s="19">
        <v>43857</v>
      </c>
      <c r="J7">
        <v>1</v>
      </c>
      <c r="K7" t="str">
        <v>Permanent</v>
      </c>
      <c r="L7" t="str">
        <v>Wellington, New Zealand</v>
      </c>
      <c r="M7">
        <v>6.54</v>
      </c>
      <c r="N7" t="str">
        <v>Full Time</v>
      </c>
    </row>
    <row r="8" spans="1:15" x14ac:dyDescent="0.35">
      <c r="A8" t="str">
        <v>PR02288</v>
      </c>
      <c r="B8" t="str">
        <v>Althea</v>
      </c>
      <c r="C8" s="23">
        <v>0</v>
      </c>
      <c r="D8" t="str">
        <v>Bronger</v>
      </c>
      <c r="E8" t="str">
        <v>Male</v>
      </c>
      <c r="F8" t="str">
        <v>Product Management</v>
      </c>
      <c r="G8">
        <v>104335.03999999999</v>
      </c>
      <c r="H8" t="str">
        <v>Above 100K</v>
      </c>
      <c r="I8" s="19">
        <v>43874</v>
      </c>
      <c r="J8">
        <v>1</v>
      </c>
      <c r="K8" t="str">
        <v>Permanent</v>
      </c>
      <c r="L8" t="str">
        <v>Columbus, USA</v>
      </c>
      <c r="M8">
        <v>6.49</v>
      </c>
      <c r="N8" t="str">
        <v>Full Time</v>
      </c>
    </row>
    <row r="9" spans="1:15" x14ac:dyDescent="0.35">
      <c r="A9" t="str">
        <v>SQ01620</v>
      </c>
      <c r="B9" t="str">
        <v>Westbrook</v>
      </c>
      <c r="C9" s="23">
        <v>0</v>
      </c>
      <c r="D9" t="str">
        <v>Brandino</v>
      </c>
      <c r="E9" t="str">
        <v>Male</v>
      </c>
      <c r="F9" t="str">
        <v>Legal</v>
      </c>
      <c r="G9">
        <v>113616.23</v>
      </c>
      <c r="H9" t="str">
        <v>Above 100K</v>
      </c>
      <c r="I9" s="19">
        <v>43255</v>
      </c>
      <c r="J9">
        <v>1</v>
      </c>
      <c r="K9" t="str">
        <v>Permanent</v>
      </c>
      <c r="L9" t="str">
        <v>Remote</v>
      </c>
      <c r="M9">
        <v>8.19</v>
      </c>
      <c r="N9" t="str">
        <v>Full Time</v>
      </c>
    </row>
    <row r="10" spans="1:15" x14ac:dyDescent="0.35">
      <c r="A10" t="str">
        <v>VT04681</v>
      </c>
      <c r="B10" t="str">
        <v>Nickolai</v>
      </c>
      <c r="C10" s="23">
        <v>0</v>
      </c>
      <c r="D10" t="str">
        <v>Artin</v>
      </c>
      <c r="E10" t="str">
        <v>Female</v>
      </c>
      <c r="F10" t="str">
        <v>Product Management</v>
      </c>
      <c r="G10">
        <v>110906.35</v>
      </c>
      <c r="H10" t="str">
        <v>Above 100K</v>
      </c>
      <c r="I10" s="19">
        <v>43434</v>
      </c>
      <c r="J10">
        <v>1</v>
      </c>
      <c r="K10" t="str">
        <v>Temporary</v>
      </c>
      <c r="L10" t="str">
        <v>Wellington, New Zealand</v>
      </c>
      <c r="M10">
        <v>7.7</v>
      </c>
      <c r="N10" t="str">
        <v>Full Time</v>
      </c>
    </row>
    <row r="11" spans="1:15" x14ac:dyDescent="0.35">
      <c r="A11" t="str">
        <v>TN04246</v>
      </c>
      <c r="B11" t="str">
        <v>Shaylyn</v>
      </c>
      <c r="C11" s="23">
        <v>0</v>
      </c>
      <c r="D11" t="str">
        <v>Ransbury</v>
      </c>
      <c r="E11" t="str">
        <v>Female</v>
      </c>
      <c r="F11" t="str">
        <v>Support</v>
      </c>
      <c r="G11">
        <v>100371.31</v>
      </c>
      <c r="H11" t="str">
        <v>Above 100K</v>
      </c>
      <c r="I11" s="19">
        <v>44067</v>
      </c>
      <c r="J11">
        <v>0.8</v>
      </c>
      <c r="K11" t="str">
        <v>Fixed Term</v>
      </c>
      <c r="L11" t="str">
        <v>Auckland, New Zealand</v>
      </c>
      <c r="M11">
        <v>5.96</v>
      </c>
      <c r="N11" t="str">
        <v>Part Time</v>
      </c>
    </row>
    <row r="12" spans="1:15" x14ac:dyDescent="0.35">
      <c r="A12" t="str">
        <v>VT02801</v>
      </c>
      <c r="B12" t="str">
        <v>Shellysheldon</v>
      </c>
      <c r="C12" s="23">
        <v>0</v>
      </c>
      <c r="D12" t="str">
        <v>Mahady</v>
      </c>
      <c r="E12" t="str">
        <v>Male</v>
      </c>
      <c r="F12" t="str">
        <v>Training</v>
      </c>
      <c r="G12">
        <v>114691.03</v>
      </c>
      <c r="H12" t="str">
        <v>Above 100K</v>
      </c>
      <c r="I12" s="19">
        <v>44039</v>
      </c>
      <c r="J12">
        <v>1</v>
      </c>
      <c r="K12" t="str">
        <v>Temporary</v>
      </c>
      <c r="L12" t="str">
        <v>Wellington, New Zealand</v>
      </c>
      <c r="M12">
        <v>6.04</v>
      </c>
      <c r="N12" t="str">
        <v>Full Time</v>
      </c>
    </row>
    <row r="13" spans="1:15" x14ac:dyDescent="0.35">
      <c r="A13" t="str">
        <v>PR02208</v>
      </c>
      <c r="B13" t="str">
        <v>Gowri</v>
      </c>
      <c r="C13" s="23" t="str">
        <v>Sankar</v>
      </c>
      <c r="D13" t="str">
        <v>Chakrala</v>
      </c>
      <c r="E13" t="str">
        <v>Female</v>
      </c>
      <c r="F13" t="str">
        <v>Training</v>
      </c>
      <c r="G13">
        <v>102934.09</v>
      </c>
      <c r="H13" t="str">
        <v>Above 100K</v>
      </c>
      <c r="I13" s="19">
        <v>44315</v>
      </c>
      <c r="J13">
        <v>1</v>
      </c>
      <c r="K13" t="str">
        <v>Permanent</v>
      </c>
      <c r="L13" t="str">
        <v>Hyderabad, India</v>
      </c>
      <c r="M13">
        <v>5.28</v>
      </c>
      <c r="N13" t="str">
        <v>Full Time</v>
      </c>
    </row>
    <row r="14" spans="1:15" x14ac:dyDescent="0.35">
      <c r="A14" t="str">
        <v>VT04093</v>
      </c>
      <c r="B14" t="str">
        <v>Prasanna</v>
      </c>
      <c r="C14" s="23" t="str">
        <v>Lakshmi</v>
      </c>
      <c r="D14" t="str">
        <v>Payasam</v>
      </c>
      <c r="E14" t="str">
        <v>Female</v>
      </c>
      <c r="F14" t="str">
        <v>Training</v>
      </c>
      <c r="G14">
        <v>116767.63</v>
      </c>
      <c r="H14" t="str">
        <v>Above 100K</v>
      </c>
      <c r="I14" s="19">
        <v>43949</v>
      </c>
      <c r="J14">
        <v>0.4</v>
      </c>
      <c r="K14" t="str">
        <v>Temporary</v>
      </c>
      <c r="L14" t="str">
        <v>Chennai, India</v>
      </c>
      <c r="M14">
        <v>6.29</v>
      </c>
      <c r="N14" t="str">
        <v>Part Time</v>
      </c>
    </row>
    <row r="15" spans="1:15" x14ac:dyDescent="0.35">
      <c r="A15" t="str">
        <v>VT03421</v>
      </c>
      <c r="B15" t="str">
        <v>Alic</v>
      </c>
      <c r="C15" s="23">
        <v>0</v>
      </c>
      <c r="D15" t="str">
        <v>Bagg</v>
      </c>
      <c r="E15" t="str">
        <v>Male</v>
      </c>
      <c r="F15" t="str">
        <v>Legal</v>
      </c>
      <c r="G15">
        <v>113747.56</v>
      </c>
      <c r="H15" t="str">
        <v>Above 100K</v>
      </c>
      <c r="I15" s="19">
        <v>44270</v>
      </c>
      <c r="J15">
        <v>0.7</v>
      </c>
      <c r="K15" t="str">
        <v>Temporary</v>
      </c>
      <c r="L15" t="str">
        <v>Columbus, USA</v>
      </c>
      <c r="M15">
        <v>5.41</v>
      </c>
      <c r="N15" t="str">
        <v>Part Time</v>
      </c>
    </row>
    <row r="16" spans="1:15" x14ac:dyDescent="0.35">
      <c r="A16" t="str">
        <v>VT02491</v>
      </c>
      <c r="B16" t="str">
        <v>Alexis</v>
      </c>
      <c r="C16" s="23">
        <v>0</v>
      </c>
      <c r="D16" t="str">
        <v>Gotfrey</v>
      </c>
      <c r="E16" t="str">
        <v>Male</v>
      </c>
      <c r="F16" t="str">
        <v>Engineering</v>
      </c>
      <c r="G16">
        <v>114465.93</v>
      </c>
      <c r="H16" t="str">
        <v>Above 100K</v>
      </c>
      <c r="I16" s="19">
        <v>43291</v>
      </c>
      <c r="J16">
        <v>1</v>
      </c>
      <c r="K16" t="str">
        <v>Temporary</v>
      </c>
      <c r="L16" t="str">
        <v>Wellington, New Zealand</v>
      </c>
      <c r="M16">
        <v>8.09</v>
      </c>
      <c r="N16" t="str">
        <v>Full Time</v>
      </c>
    </row>
    <row r="17" spans="1:14" x14ac:dyDescent="0.35">
      <c r="A17" t="str">
        <v>TN04058</v>
      </c>
      <c r="B17" t="str">
        <v>Subbarao</v>
      </c>
      <c r="C17" s="23">
        <v>0</v>
      </c>
      <c r="D17" t="str">
        <v>Malladi</v>
      </c>
      <c r="E17" t="str">
        <v>Male</v>
      </c>
      <c r="F17" t="str">
        <v>Product Management</v>
      </c>
      <c r="G17">
        <v>106775.14</v>
      </c>
      <c r="H17" t="str">
        <v>Above 100K</v>
      </c>
      <c r="I17" s="19">
        <v>43563</v>
      </c>
      <c r="J17">
        <v>1</v>
      </c>
      <c r="K17" t="str">
        <v>Fixed Term</v>
      </c>
      <c r="L17" t="str">
        <v>Hyderabad, India</v>
      </c>
      <c r="M17">
        <v>7.35</v>
      </c>
      <c r="N17" t="str">
        <v>Full Time</v>
      </c>
    </row>
    <row r="18" spans="1:14" x14ac:dyDescent="0.35">
      <c r="A18" t="str">
        <v>PR01159</v>
      </c>
      <c r="B18" t="str">
        <v>Mollie</v>
      </c>
      <c r="C18" s="23">
        <v>0</v>
      </c>
      <c r="D18" t="str">
        <v>Hanway</v>
      </c>
      <c r="E18" t="str">
        <v>Male</v>
      </c>
      <c r="F18" t="str">
        <v>Engineering</v>
      </c>
      <c r="G18">
        <v>112645.99</v>
      </c>
      <c r="H18" t="str">
        <v>Above 100K</v>
      </c>
      <c r="I18" s="19">
        <v>43759</v>
      </c>
      <c r="J18">
        <v>0.6</v>
      </c>
      <c r="K18" t="str">
        <v>Permanent</v>
      </c>
      <c r="L18" t="str">
        <v>Seattle, USA</v>
      </c>
      <c r="M18">
        <v>6.81</v>
      </c>
      <c r="N18" t="str">
        <v>Part Time</v>
      </c>
    </row>
    <row r="19" spans="1:14" x14ac:dyDescent="0.35">
      <c r="A19" t="str">
        <v>SQ03476</v>
      </c>
      <c r="B19" t="str">
        <v>Ramalingam</v>
      </c>
      <c r="C19" s="23">
        <v>0</v>
      </c>
      <c r="D19" t="str">
        <v>Kothapeta</v>
      </c>
      <c r="E19" t="str">
        <v>Missing</v>
      </c>
      <c r="F19" t="str">
        <v>Accounting</v>
      </c>
      <c r="G19">
        <v>107107.6</v>
      </c>
      <c r="H19" t="str">
        <v>Above 100K</v>
      </c>
      <c r="I19" s="19">
        <v>43325</v>
      </c>
      <c r="J19">
        <v>0.9</v>
      </c>
      <c r="K19" t="str">
        <v>Permanent</v>
      </c>
      <c r="L19" t="str">
        <v>Chennai, India</v>
      </c>
      <c r="M19">
        <v>8</v>
      </c>
      <c r="N19" t="str">
        <v>Part Time</v>
      </c>
    </row>
    <row r="20" spans="1:14" x14ac:dyDescent="0.35">
      <c r="A20" t="str">
        <v>VT01684</v>
      </c>
      <c r="B20" t="str">
        <v>Audry</v>
      </c>
      <c r="C20" s="23">
        <v>0</v>
      </c>
      <c r="D20" t="str">
        <v>Yu</v>
      </c>
      <c r="E20" t="str">
        <v>Female</v>
      </c>
      <c r="F20" t="str">
        <v>Training</v>
      </c>
      <c r="G20">
        <v>101187.36</v>
      </c>
      <c r="H20" t="str">
        <v>Above 100K</v>
      </c>
      <c r="I20" s="19">
        <v>43258</v>
      </c>
      <c r="J20">
        <v>1</v>
      </c>
      <c r="K20" t="str">
        <v>Fixed Term</v>
      </c>
      <c r="L20" t="str">
        <v>Columbus, USA</v>
      </c>
      <c r="M20">
        <v>8.18</v>
      </c>
      <c r="N20" t="str">
        <v>Full Time</v>
      </c>
    </row>
    <row r="21" spans="1:14" x14ac:dyDescent="0.35">
      <c r="A21" t="str">
        <v>TN04740</v>
      </c>
      <c r="B21" t="str">
        <v>Tristam</v>
      </c>
      <c r="C21" s="23">
        <v>0</v>
      </c>
      <c r="D21" t="str">
        <v>Cuming</v>
      </c>
      <c r="E21" t="str">
        <v>Female</v>
      </c>
      <c r="F21" t="str">
        <v>Support</v>
      </c>
      <c r="G21">
        <v>104038.9</v>
      </c>
      <c r="H21" t="str">
        <v>Above 100K</v>
      </c>
      <c r="I21" s="19">
        <v>43815</v>
      </c>
      <c r="J21">
        <v>1</v>
      </c>
      <c r="K21" t="str">
        <v>Fixed Term</v>
      </c>
      <c r="L21" t="str">
        <v>Remote</v>
      </c>
      <c r="M21">
        <v>6.65</v>
      </c>
      <c r="N21" t="str">
        <v>Full Time</v>
      </c>
    </row>
    <row r="22" spans="1:14" x14ac:dyDescent="0.35">
      <c r="A22" t="str">
        <v>VT01893</v>
      </c>
      <c r="B22" t="str">
        <v>Lindy</v>
      </c>
      <c r="C22" s="23">
        <v>0</v>
      </c>
      <c r="D22" t="str">
        <v>Guillet</v>
      </c>
      <c r="E22" t="str">
        <v>Male</v>
      </c>
      <c r="F22" t="str">
        <v>Training</v>
      </c>
      <c r="G22">
        <v>112778.28</v>
      </c>
      <c r="H22" t="str">
        <v>Above 100K</v>
      </c>
      <c r="I22" s="19">
        <v>43250</v>
      </c>
      <c r="J22">
        <v>1</v>
      </c>
      <c r="K22" t="str">
        <v>Fixed Term</v>
      </c>
      <c r="L22" t="str">
        <v>Remote</v>
      </c>
      <c r="M22">
        <v>8.1999999999999993</v>
      </c>
      <c r="N22" t="str">
        <v>Full Time</v>
      </c>
    </row>
    <row r="23" spans="1:14" x14ac:dyDescent="0.35">
      <c r="A23" t="str">
        <v>PR02010</v>
      </c>
      <c r="B23" t="str">
        <v>Prerana</v>
      </c>
      <c r="C23" s="23">
        <v>0</v>
      </c>
      <c r="D23" t="str">
        <v>Nishita</v>
      </c>
      <c r="E23" t="str">
        <v>Male</v>
      </c>
      <c r="F23" t="str">
        <v>Product Management</v>
      </c>
      <c r="G23">
        <v>115191.38</v>
      </c>
      <c r="H23" t="str">
        <v>Above 100K</v>
      </c>
      <c r="I23" s="19">
        <v>44004</v>
      </c>
      <c r="J23">
        <v>1</v>
      </c>
      <c r="K23" t="str">
        <v>Permanent</v>
      </c>
      <c r="L23" t="str">
        <v>Hyderabad, India</v>
      </c>
      <c r="M23">
        <v>6.14</v>
      </c>
      <c r="N23" t="str">
        <v>Full Time</v>
      </c>
    </row>
    <row r="24" spans="1:14" x14ac:dyDescent="0.35">
      <c r="A24" t="str">
        <v>SQ00498</v>
      </c>
      <c r="B24" t="str">
        <v>Amery</v>
      </c>
      <c r="C24" s="23">
        <v>0</v>
      </c>
      <c r="D24" t="str">
        <v>Ofer</v>
      </c>
      <c r="E24" t="str">
        <v>Female</v>
      </c>
      <c r="F24" t="str">
        <v>Legal</v>
      </c>
      <c r="G24">
        <v>111049.84</v>
      </c>
      <c r="H24" t="str">
        <v>Above 100K</v>
      </c>
      <c r="I24" s="19">
        <v>44393</v>
      </c>
      <c r="J24">
        <v>1</v>
      </c>
      <c r="K24" t="str">
        <v>Permanent</v>
      </c>
      <c r="L24" t="str">
        <v>Wellington, New Zealand</v>
      </c>
      <c r="M24">
        <v>5.07</v>
      </c>
      <c r="N24" t="str">
        <v>Full Time</v>
      </c>
    </row>
    <row r="25" spans="1:14" x14ac:dyDescent="0.35">
      <c r="A25" t="str">
        <v>TN04058</v>
      </c>
      <c r="B25" t="str">
        <v>Vasu</v>
      </c>
      <c r="C25" s="23">
        <v>0</v>
      </c>
      <c r="D25" t="str">
        <v>Nandin</v>
      </c>
      <c r="E25" t="str">
        <v>Male</v>
      </c>
      <c r="F25" t="str">
        <v>Product Management</v>
      </c>
      <c r="G25">
        <v>106775.14</v>
      </c>
      <c r="H25" t="str">
        <v>Above 100K</v>
      </c>
      <c r="I25" s="19">
        <v>43563</v>
      </c>
      <c r="J25">
        <v>1</v>
      </c>
      <c r="K25" t="str">
        <v>Fixed Term</v>
      </c>
      <c r="L25" t="str">
        <v>Hyderabad, India</v>
      </c>
      <c r="M25">
        <v>7.35</v>
      </c>
      <c r="N25" t="str">
        <v>Full Time</v>
      </c>
    </row>
    <row r="26" spans="1:14" x14ac:dyDescent="0.35">
      <c r="A26" t="str">
        <v>SQ04603</v>
      </c>
      <c r="B26" t="str">
        <v>Natalee</v>
      </c>
      <c r="C26" s="23">
        <v>0</v>
      </c>
      <c r="D26" t="str">
        <v>Craiker</v>
      </c>
      <c r="E26" t="str">
        <v>Male</v>
      </c>
      <c r="F26" t="str">
        <v>Product Management</v>
      </c>
      <c r="G26">
        <v>111229.47</v>
      </c>
      <c r="H26" t="str">
        <v>Above 100K</v>
      </c>
      <c r="I26" s="19">
        <v>43402</v>
      </c>
      <c r="J26">
        <v>1</v>
      </c>
      <c r="K26" t="str">
        <v>Permanent</v>
      </c>
      <c r="L26" t="str">
        <v>Remote</v>
      </c>
      <c r="M26">
        <v>7.79</v>
      </c>
      <c r="N26" t="str">
        <v>Full Time</v>
      </c>
    </row>
    <row r="27" spans="1:14" x14ac:dyDescent="0.35">
      <c r="A27" t="str">
        <v>VT04028</v>
      </c>
      <c r="B27" t="str">
        <v>Michale</v>
      </c>
      <c r="C27" s="23">
        <v>0</v>
      </c>
      <c r="D27" t="str">
        <v>Rolf</v>
      </c>
      <c r="E27" t="str">
        <v>Male</v>
      </c>
      <c r="F27" t="str">
        <v>Services</v>
      </c>
      <c r="G27">
        <v>111815.49</v>
      </c>
      <c r="H27" t="str">
        <v>Above 100K</v>
      </c>
      <c r="I27" s="19">
        <v>43895</v>
      </c>
      <c r="J27">
        <v>0.7</v>
      </c>
      <c r="K27" t="str">
        <v>Temporary</v>
      </c>
      <c r="L27" t="str">
        <v>Remote</v>
      </c>
      <c r="M27">
        <v>6.44</v>
      </c>
      <c r="N27" t="str">
        <v>Part Time</v>
      </c>
    </row>
    <row r="28" spans="1:14" x14ac:dyDescent="0.35">
      <c r="A28" t="str">
        <v>VT04028</v>
      </c>
      <c r="B28" t="str">
        <v>Michale</v>
      </c>
      <c r="C28" s="23">
        <v>0</v>
      </c>
      <c r="D28" t="str">
        <v>Rolf</v>
      </c>
      <c r="E28" t="str">
        <v>Male</v>
      </c>
      <c r="F28" t="str">
        <v>Services</v>
      </c>
      <c r="G28">
        <v>111815.49</v>
      </c>
      <c r="H28" t="str">
        <v>Above 100K</v>
      </c>
      <c r="I28" s="19">
        <v>43895</v>
      </c>
      <c r="J28">
        <v>0.7</v>
      </c>
      <c r="K28" t="str">
        <v>Temporary</v>
      </c>
      <c r="L28" t="str">
        <v>Remote</v>
      </c>
      <c r="M28">
        <v>6.44</v>
      </c>
      <c r="N28" t="str">
        <v>Part Time</v>
      </c>
    </row>
    <row r="29" spans="1:14" x14ac:dyDescent="0.35">
      <c r="A29" t="str">
        <v>SQ00022</v>
      </c>
      <c r="B29" t="str">
        <v>Carlin</v>
      </c>
      <c r="C29" s="23">
        <v>0</v>
      </c>
      <c r="D29" t="str">
        <v>Demke</v>
      </c>
      <c r="E29" t="str">
        <v>Male</v>
      </c>
      <c r="F29" t="str">
        <v>Business Development</v>
      </c>
      <c r="G29">
        <v>110042.37</v>
      </c>
      <c r="H29" t="str">
        <v>Above 100K</v>
      </c>
      <c r="I29" s="19">
        <v>43914</v>
      </c>
      <c r="J29">
        <v>1</v>
      </c>
      <c r="K29" t="str">
        <v>Permanent</v>
      </c>
      <c r="L29" t="str">
        <v>Columbus, USA</v>
      </c>
      <c r="M29">
        <v>6.38</v>
      </c>
      <c r="N29" t="str">
        <v>Full Time</v>
      </c>
    </row>
    <row r="30" spans="1:14" x14ac:dyDescent="0.35">
      <c r="A30" t="str">
        <v>SQ03116</v>
      </c>
      <c r="B30" t="str">
        <v>Syd</v>
      </c>
      <c r="C30" s="23">
        <v>0</v>
      </c>
      <c r="D30" t="str">
        <v>Fearn</v>
      </c>
      <c r="E30" t="str">
        <v>Male</v>
      </c>
      <c r="F30" t="str">
        <v>Engineering</v>
      </c>
      <c r="G30">
        <v>108872.77</v>
      </c>
      <c r="H30" t="str">
        <v>Above 100K</v>
      </c>
      <c r="I30" s="19">
        <v>43521</v>
      </c>
      <c r="J30">
        <v>1</v>
      </c>
      <c r="K30" t="str">
        <v>Permanent</v>
      </c>
      <c r="L30" t="str">
        <v>Remote</v>
      </c>
      <c r="M30">
        <v>7.46</v>
      </c>
      <c r="N30" t="str">
        <v>Full Time</v>
      </c>
    </row>
    <row r="31" spans="1:14" x14ac:dyDescent="0.35">
      <c r="A31" t="str">
        <v>VT04552</v>
      </c>
      <c r="B31" t="str">
        <v>Theresita</v>
      </c>
      <c r="C31" s="23">
        <v>0</v>
      </c>
      <c r="D31" t="str">
        <v>Chasmer</v>
      </c>
      <c r="E31" t="str">
        <v>Female</v>
      </c>
      <c r="F31" t="str">
        <v>Product Management</v>
      </c>
      <c r="G31">
        <v>106665.67</v>
      </c>
      <c r="H31" t="str">
        <v>Above 100K</v>
      </c>
      <c r="I31" s="19">
        <v>43311</v>
      </c>
      <c r="J31">
        <v>1</v>
      </c>
      <c r="K31" t="str">
        <v>Temporary</v>
      </c>
      <c r="L31" t="str">
        <v>Columbus, USA</v>
      </c>
      <c r="M31">
        <v>8.0399999999999991</v>
      </c>
      <c r="N31" t="str">
        <v>Full Time</v>
      </c>
    </row>
    <row r="32" spans="1:14" x14ac:dyDescent="0.35">
      <c r="A32" t="str">
        <v>SQ04665</v>
      </c>
      <c r="B32" t="str">
        <v>Collin</v>
      </c>
      <c r="C32" s="23">
        <v>0</v>
      </c>
      <c r="D32" t="str">
        <v>Jagson</v>
      </c>
      <c r="E32" t="str">
        <v>Male</v>
      </c>
      <c r="F32" t="str">
        <v>Services</v>
      </c>
      <c r="G32">
        <v>100424.23</v>
      </c>
      <c r="H32" t="str">
        <v>Above 100K</v>
      </c>
      <c r="I32" s="19">
        <v>43801</v>
      </c>
      <c r="J32">
        <v>1</v>
      </c>
      <c r="K32" t="str">
        <v>Permanent</v>
      </c>
      <c r="L32" t="str">
        <v>Auckland, New Zealand</v>
      </c>
      <c r="M32">
        <v>6.69</v>
      </c>
      <c r="N32" t="str">
        <v>Full Time</v>
      </c>
    </row>
    <row r="33" spans="1:14" x14ac:dyDescent="0.35">
      <c r="A33" t="str">
        <v>VT01893</v>
      </c>
      <c r="B33" t="str">
        <v>Lindy</v>
      </c>
      <c r="C33" s="23">
        <v>0</v>
      </c>
      <c r="D33" t="str">
        <v>Guillet</v>
      </c>
      <c r="E33" t="str">
        <v>Male</v>
      </c>
      <c r="F33" t="str">
        <v>Training</v>
      </c>
      <c r="G33">
        <v>112778.28</v>
      </c>
      <c r="H33" t="str">
        <v>Above 100K</v>
      </c>
      <c r="I33" s="19">
        <v>43250</v>
      </c>
      <c r="J33">
        <v>1</v>
      </c>
      <c r="K33" t="str">
        <v>Fixed Term</v>
      </c>
      <c r="L33" t="str">
        <v>Remote</v>
      </c>
      <c r="M33">
        <v>8.1999999999999993</v>
      </c>
      <c r="N33" t="str">
        <v>Full Time</v>
      </c>
    </row>
    <row r="34" spans="1:14" x14ac:dyDescent="0.35">
      <c r="A34" t="str">
        <v>PR03886</v>
      </c>
      <c r="B34" t="str">
        <v>Edd</v>
      </c>
      <c r="C34" s="23">
        <v>0</v>
      </c>
      <c r="D34" t="str">
        <v>MacKnockiter</v>
      </c>
      <c r="E34" t="str">
        <v>Male</v>
      </c>
      <c r="F34" t="str">
        <v>Accounting</v>
      </c>
      <c r="G34">
        <v>119022.49</v>
      </c>
      <c r="H34" t="str">
        <v>Above 100K</v>
      </c>
      <c r="I34" s="19">
        <v>44431</v>
      </c>
      <c r="J34">
        <v>1</v>
      </c>
      <c r="K34" t="str">
        <v>Permanent</v>
      </c>
      <c r="L34" t="str">
        <v>Auckland, New Zealand</v>
      </c>
      <c r="M34">
        <v>4.97</v>
      </c>
      <c r="N34" t="str">
        <v>Full Time</v>
      </c>
    </row>
    <row r="35" spans="1:14" x14ac:dyDescent="0.35">
      <c r="A35" t="str">
        <v>PR00746</v>
      </c>
      <c r="B35" t="str">
        <v>Hogan</v>
      </c>
      <c r="C35" s="23">
        <v>0</v>
      </c>
      <c r="D35" t="str">
        <v>Iles</v>
      </c>
      <c r="E35" t="str">
        <v>Female</v>
      </c>
      <c r="F35" t="str">
        <v>Accounting</v>
      </c>
      <c r="G35">
        <v>114177.23</v>
      </c>
      <c r="H35" t="str">
        <v>Above 100K</v>
      </c>
      <c r="I35" s="19">
        <v>43908</v>
      </c>
      <c r="J35">
        <v>1</v>
      </c>
      <c r="K35" t="str">
        <v>Permanent</v>
      </c>
      <c r="L35" t="str">
        <v>Wellington, New Zealand</v>
      </c>
      <c r="M35">
        <v>6.4</v>
      </c>
      <c r="N35" t="str">
        <v>Full Time</v>
      </c>
    </row>
    <row r="36" spans="1:14" x14ac:dyDescent="0.35">
      <c r="A36" t="str">
        <v>SQ03387</v>
      </c>
      <c r="B36" t="str">
        <v>Robinia</v>
      </c>
      <c r="C36" s="23">
        <v>0</v>
      </c>
      <c r="D36" t="str">
        <v>Scholling</v>
      </c>
      <c r="E36" t="str">
        <v>Female</v>
      </c>
      <c r="F36" t="str">
        <v>Human Resources</v>
      </c>
      <c r="G36">
        <v>100731.95</v>
      </c>
      <c r="H36" t="str">
        <v>Above 100K</v>
      </c>
      <c r="I36" s="19">
        <v>43936</v>
      </c>
      <c r="J36">
        <v>1</v>
      </c>
      <c r="K36" t="str">
        <v>Permanent</v>
      </c>
      <c r="L36" t="str">
        <v>Auckland, New Zealand</v>
      </c>
      <c r="M36">
        <v>6.32</v>
      </c>
      <c r="N36" t="str">
        <v>Full Time</v>
      </c>
    </row>
    <row r="37" spans="1:14" x14ac:dyDescent="0.35">
      <c r="A37" t="str">
        <v>SQ02703</v>
      </c>
      <c r="B37" t="str">
        <v>Deepit</v>
      </c>
      <c r="C37" s="23">
        <v>0</v>
      </c>
      <c r="D37" t="str">
        <v>Ranjana</v>
      </c>
      <c r="E37" t="str">
        <v>Female</v>
      </c>
      <c r="F37" t="str">
        <v>Marketing</v>
      </c>
      <c r="G37">
        <v>104903.79</v>
      </c>
      <c r="H37" t="str">
        <v>Above 100K</v>
      </c>
      <c r="I37" s="19">
        <v>43649</v>
      </c>
      <c r="J37">
        <v>1</v>
      </c>
      <c r="K37" t="str">
        <v>Permanent</v>
      </c>
      <c r="L37" t="str">
        <v>Chennai, India</v>
      </c>
      <c r="M37">
        <v>7.11</v>
      </c>
      <c r="N37" t="str">
        <v>Full Time</v>
      </c>
    </row>
    <row r="38" spans="1:14" x14ac:dyDescent="0.35">
      <c r="A38" t="str">
        <v>SQ03733</v>
      </c>
      <c r="B38" t="str">
        <v>Revkah</v>
      </c>
      <c r="C38" s="23">
        <v>0</v>
      </c>
      <c r="D38" t="str">
        <v>Antonacci</v>
      </c>
      <c r="E38" t="str">
        <v>Male</v>
      </c>
      <c r="F38" t="str">
        <v>Engineering</v>
      </c>
      <c r="G38">
        <v>109143.17</v>
      </c>
      <c r="H38" t="str">
        <v>Above 100K</v>
      </c>
      <c r="I38" s="19">
        <v>43945</v>
      </c>
      <c r="J38">
        <v>1</v>
      </c>
      <c r="K38" t="str">
        <v>Permanent</v>
      </c>
      <c r="L38" t="str">
        <v>Wellington, New Zealand</v>
      </c>
      <c r="M38">
        <v>6.3</v>
      </c>
      <c r="N38" t="str">
        <v>Full Time</v>
      </c>
    </row>
    <row r="39" spans="1:14" x14ac:dyDescent="0.35">
      <c r="A39" t="str">
        <v>TN00579</v>
      </c>
      <c r="B39" t="str">
        <v>Rafaelita</v>
      </c>
      <c r="C39" s="23">
        <v>0</v>
      </c>
      <c r="D39" t="str">
        <v>Blaksland</v>
      </c>
      <c r="E39" t="str">
        <v>Female</v>
      </c>
      <c r="F39" t="str">
        <v>Services</v>
      </c>
      <c r="G39">
        <v>109163.39</v>
      </c>
      <c r="H39" t="str">
        <v>Above 100K</v>
      </c>
      <c r="I39" s="19">
        <v>44019</v>
      </c>
      <c r="J39">
        <v>0.8</v>
      </c>
      <c r="K39" t="str">
        <v>Permanent</v>
      </c>
      <c r="L39" t="str">
        <v>Seattle, USA</v>
      </c>
      <c r="M39">
        <v>6.1</v>
      </c>
      <c r="N39" t="str">
        <v>Part Time</v>
      </c>
    </row>
    <row r="40" spans="1:14" x14ac:dyDescent="0.35">
      <c r="A40" t="str">
        <v>SQ02174</v>
      </c>
      <c r="B40" t="str">
        <v>Sidoney</v>
      </c>
      <c r="C40" s="23">
        <v>0</v>
      </c>
      <c r="D40" t="str">
        <v>Yitzhok</v>
      </c>
      <c r="E40" t="str">
        <v>Female</v>
      </c>
      <c r="F40" t="str">
        <v>Engineering</v>
      </c>
      <c r="G40">
        <v>118442.54</v>
      </c>
      <c r="H40" t="str">
        <v>Above 100K</v>
      </c>
      <c r="I40" s="19">
        <v>44193</v>
      </c>
      <c r="J40">
        <v>1</v>
      </c>
      <c r="K40" t="str">
        <v>Permanent</v>
      </c>
      <c r="L40" t="str">
        <v>Auckland, New Zealand</v>
      </c>
      <c r="M40">
        <v>5.62</v>
      </c>
      <c r="N40" t="str">
        <v>Full Time</v>
      </c>
    </row>
    <row r="41" spans="1:14" x14ac:dyDescent="0.35">
      <c r="A41" t="str">
        <v>VT01762</v>
      </c>
      <c r="B41" t="str">
        <v>Geena</v>
      </c>
      <c r="C41" s="23">
        <v>0</v>
      </c>
      <c r="D41" t="str">
        <v>Raghavanpillai</v>
      </c>
      <c r="E41" t="str">
        <v>Male</v>
      </c>
      <c r="F41" t="str">
        <v>Accounting</v>
      </c>
      <c r="G41">
        <v>102515.81</v>
      </c>
      <c r="H41" t="str">
        <v>Above 100K</v>
      </c>
      <c r="I41" s="19">
        <v>43902</v>
      </c>
      <c r="J41">
        <v>1</v>
      </c>
      <c r="K41" t="str">
        <v>Fixed Term</v>
      </c>
      <c r="L41" t="str">
        <v>Chennai, India</v>
      </c>
      <c r="M41">
        <v>6.42</v>
      </c>
      <c r="N41" t="str">
        <v>Full Time</v>
      </c>
    </row>
    <row r="42" spans="1:14" x14ac:dyDescent="0.35">
      <c r="A42" t="str">
        <v>VT04093</v>
      </c>
      <c r="B42" t="str">
        <v>Baruna</v>
      </c>
      <c r="C42" s="23">
        <v>0</v>
      </c>
      <c r="D42" t="str">
        <v>Ogale</v>
      </c>
      <c r="E42" t="str">
        <v>Female</v>
      </c>
      <c r="F42" t="str">
        <v>Training</v>
      </c>
      <c r="G42">
        <v>116767.63</v>
      </c>
      <c r="H42" t="str">
        <v>Above 100K</v>
      </c>
      <c r="I42" s="19">
        <v>43949</v>
      </c>
      <c r="J42">
        <v>0.4</v>
      </c>
      <c r="K42" t="str">
        <v>Temporary</v>
      </c>
      <c r="L42" t="str">
        <v>Chennai, India</v>
      </c>
      <c r="M42">
        <v>6.29</v>
      </c>
      <c r="N42" t="str">
        <v>Part Time</v>
      </c>
    </row>
    <row r="43" spans="1:14" x14ac:dyDescent="0.35">
      <c r="A43" t="str">
        <v>SQ03491</v>
      </c>
      <c r="B43" t="str">
        <v>Freda</v>
      </c>
      <c r="C43" s="23">
        <v>0</v>
      </c>
      <c r="D43" t="str">
        <v>Legan</v>
      </c>
      <c r="E43" t="str">
        <v>Female</v>
      </c>
      <c r="F43" t="str">
        <v>Sales</v>
      </c>
      <c r="G43">
        <v>102129.37</v>
      </c>
      <c r="H43" t="str">
        <v>Above 100K</v>
      </c>
      <c r="I43" s="19">
        <v>44396</v>
      </c>
      <c r="J43">
        <v>1</v>
      </c>
      <c r="K43" t="str">
        <v>Permanent</v>
      </c>
      <c r="L43" t="str">
        <v>Columbus, USA</v>
      </c>
      <c r="M43">
        <v>5.0599999999999996</v>
      </c>
      <c r="N43" t="str">
        <v>Full Time</v>
      </c>
    </row>
    <row r="44" spans="1:14" x14ac:dyDescent="0.35">
      <c r="A44" t="str">
        <v>VT04350</v>
      </c>
      <c r="B44" t="str">
        <v>Kulbhushan</v>
      </c>
      <c r="C44" s="23">
        <v>0</v>
      </c>
      <c r="D44" t="str">
        <v>Moorthy</v>
      </c>
      <c r="E44" t="str">
        <v>Male</v>
      </c>
      <c r="F44" t="str">
        <v>Business Development</v>
      </c>
      <c r="G44">
        <v>106400.02</v>
      </c>
      <c r="H44" t="str">
        <v>Above 100K</v>
      </c>
      <c r="I44" s="19">
        <v>44021</v>
      </c>
      <c r="J44">
        <v>1</v>
      </c>
      <c r="K44" t="str">
        <v>Temporary</v>
      </c>
      <c r="L44" t="str">
        <v>Chennai, India</v>
      </c>
      <c r="M44">
        <v>6.09</v>
      </c>
      <c r="N44" t="str">
        <v>Full Time</v>
      </c>
    </row>
    <row r="45" spans="1:14" x14ac:dyDescent="0.35">
      <c r="A45" t="str">
        <v>SQ02035</v>
      </c>
      <c r="B45" t="str">
        <v>Anni</v>
      </c>
      <c r="C45" s="23">
        <v>0</v>
      </c>
      <c r="D45" t="str">
        <v>Izzard</v>
      </c>
      <c r="E45" t="str">
        <v>Male</v>
      </c>
      <c r="F45" t="str">
        <v>Human Resources</v>
      </c>
      <c r="G45">
        <v>103494.94</v>
      </c>
      <c r="H45" t="str">
        <v>Above 100K</v>
      </c>
      <c r="I45" s="19">
        <v>43256</v>
      </c>
      <c r="J45">
        <v>1</v>
      </c>
      <c r="K45" t="str">
        <v>Permanent</v>
      </c>
      <c r="L45" t="str">
        <v>Remote</v>
      </c>
      <c r="M45">
        <v>8.19</v>
      </c>
      <c r="N45" t="str">
        <v>Full Time</v>
      </c>
    </row>
    <row r="46" spans="1:14" x14ac:dyDescent="0.35">
      <c r="A46" t="str">
        <v>SQ02035</v>
      </c>
      <c r="B46" t="str">
        <v>Anni</v>
      </c>
      <c r="C46" s="23">
        <v>0</v>
      </c>
      <c r="D46" t="str">
        <v>Izzard</v>
      </c>
      <c r="E46" t="str">
        <v>Male</v>
      </c>
      <c r="F46" t="str">
        <v>Human Resources</v>
      </c>
      <c r="G46">
        <v>103494.94</v>
      </c>
      <c r="H46" t="str">
        <v>Above 100K</v>
      </c>
      <c r="I46" s="19">
        <v>43256</v>
      </c>
      <c r="J46">
        <v>1</v>
      </c>
      <c r="K46" t="str">
        <v>Permanent</v>
      </c>
      <c r="L46" t="str">
        <v>Remote</v>
      </c>
      <c r="M46">
        <v>8.19</v>
      </c>
      <c r="N46" t="str">
        <v>Full Time</v>
      </c>
    </row>
    <row r="47" spans="1:14" x14ac:dyDescent="0.35">
      <c r="A47" t="str">
        <v>VT04350</v>
      </c>
      <c r="B47" t="str">
        <v>Lalit</v>
      </c>
      <c r="C47" s="23">
        <v>0</v>
      </c>
      <c r="D47" t="str">
        <v>Kothari</v>
      </c>
      <c r="E47" t="str">
        <v>Male</v>
      </c>
      <c r="F47" t="str">
        <v>Business Development</v>
      </c>
      <c r="G47">
        <v>106400.02</v>
      </c>
      <c r="H47" t="str">
        <v>Above 100K</v>
      </c>
      <c r="I47" s="19">
        <v>44021</v>
      </c>
      <c r="J47">
        <v>1</v>
      </c>
      <c r="K47" t="str">
        <v>Temporary</v>
      </c>
      <c r="L47" t="str">
        <v>Chennai, India</v>
      </c>
      <c r="M47">
        <v>6.09</v>
      </c>
      <c r="N47" t="str">
        <v>Full Time</v>
      </c>
    </row>
    <row r="48" spans="1:14" x14ac:dyDescent="0.35">
      <c r="A48" t="str">
        <v>SQ02624</v>
      </c>
      <c r="B48" t="str">
        <v>Gwenneth</v>
      </c>
      <c r="C48" s="23">
        <v>0</v>
      </c>
      <c r="D48" t="str">
        <v>Fealey</v>
      </c>
      <c r="E48" t="str">
        <v>Female</v>
      </c>
      <c r="F48" t="str">
        <v>Engineering</v>
      </c>
      <c r="G48">
        <v>114772.32</v>
      </c>
      <c r="H48" t="str">
        <v>Above 100K</v>
      </c>
      <c r="I48" s="19">
        <v>44251</v>
      </c>
      <c r="J48">
        <v>1</v>
      </c>
      <c r="K48" t="str">
        <v>Permanent</v>
      </c>
      <c r="L48" t="str">
        <v>Columbus, USA</v>
      </c>
      <c r="M48">
        <v>5.46</v>
      </c>
      <c r="N48" t="str">
        <v>Full Time</v>
      </c>
    </row>
    <row r="49" spans="1:14" x14ac:dyDescent="0.35">
      <c r="A49" t="str">
        <v>VT03421</v>
      </c>
      <c r="B49" t="str">
        <v>Alic</v>
      </c>
      <c r="C49" s="23">
        <v>0</v>
      </c>
      <c r="D49" t="str">
        <v>Bagg</v>
      </c>
      <c r="E49" t="str">
        <v>Male</v>
      </c>
      <c r="F49" t="str">
        <v>Legal</v>
      </c>
      <c r="G49">
        <v>113747.56</v>
      </c>
      <c r="H49" t="str">
        <v>Above 100K</v>
      </c>
      <c r="I49" s="19">
        <v>44270</v>
      </c>
      <c r="J49">
        <v>0.7</v>
      </c>
      <c r="K49" t="str">
        <v>Temporary</v>
      </c>
      <c r="L49" t="str">
        <v>Columbus, USA</v>
      </c>
      <c r="M49">
        <v>5.41</v>
      </c>
      <c r="N49" t="str">
        <v>Part Time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9857-C514-4A9B-A840-DAD18D418A44}">
  <dimension ref="A1:E51"/>
  <sheetViews>
    <sheetView workbookViewId="0">
      <selection activeCell="D1" sqref="D1"/>
    </sheetView>
  </sheetViews>
  <sheetFormatPr defaultRowHeight="18" x14ac:dyDescent="0.35"/>
  <cols>
    <col min="1" max="1" width="8" bestFit="1" customWidth="1"/>
    <col min="2" max="2" width="11.75" bestFit="1" customWidth="1"/>
    <col min="3" max="3" width="7.1640625" bestFit="1" customWidth="1"/>
    <col min="4" max="4" width="6.75" bestFit="1" customWidth="1"/>
    <col min="5" max="5" width="18.5" bestFit="1" customWidth="1"/>
  </cols>
  <sheetData>
    <row r="1" spans="1:5" x14ac:dyDescent="0.35">
      <c r="A1" s="32" t="s">
        <v>934</v>
      </c>
      <c r="D1" s="68" t="s">
        <v>4</v>
      </c>
    </row>
    <row r="2" spans="1:5" x14ac:dyDescent="0.35">
      <c r="A2" s="33" t="s">
        <v>935</v>
      </c>
      <c r="D2" s="68">
        <v>100000</v>
      </c>
    </row>
    <row r="3" spans="1:5" x14ac:dyDescent="0.35">
      <c r="A3" s="33"/>
    </row>
    <row r="4" spans="1:5" x14ac:dyDescent="0.35">
      <c r="A4" s="35" t="str" cm="1">
        <f t="array" ref="A4:E4">_xlfn.CHOOSECOLS(Employee_Processed_Data[#Headers],1,2,3,5,6)</f>
        <v>Emp ID</v>
      </c>
      <c r="B4" s="34" t="str">
        <v>First Name</v>
      </c>
      <c r="C4" s="34" t="str">
        <v>Middle Name</v>
      </c>
      <c r="D4" s="34" t="str">
        <v>Gender</v>
      </c>
      <c r="E4" s="34" t="str">
        <v>Department</v>
      </c>
    </row>
    <row r="5" spans="1:5" x14ac:dyDescent="0.35">
      <c r="A5" t="str" cm="1">
        <f t="array" ref="A5:E51">_xlfn._xlws.FILTER(_xlfn.CHOOSECOLS(Employee_Processed_Data[],1,2,3,5,6),Employee_Processed_Data[Salary]&gt;D2)</f>
        <v>PR00147</v>
      </c>
      <c r="B5" t="str">
        <v>Minerva</v>
      </c>
      <c r="C5">
        <v>0</v>
      </c>
      <c r="D5" t="str">
        <v>Male</v>
      </c>
      <c r="E5" t="str">
        <v>Engineering</v>
      </c>
    </row>
    <row r="6" spans="1:5" x14ac:dyDescent="0.35">
      <c r="A6" t="str">
        <v>SQ04612</v>
      </c>
      <c r="B6" t="str">
        <v>Mick</v>
      </c>
      <c r="C6">
        <v>0</v>
      </c>
      <c r="D6" t="str">
        <v>Female</v>
      </c>
      <c r="E6" t="str">
        <v>Services</v>
      </c>
    </row>
    <row r="7" spans="1:5" x14ac:dyDescent="0.35">
      <c r="A7" t="str">
        <v>SQ00144</v>
      </c>
      <c r="B7" t="str">
        <v>Collen</v>
      </c>
      <c r="C7">
        <v>0</v>
      </c>
      <c r="D7" t="str">
        <v>Male</v>
      </c>
      <c r="E7" t="str">
        <v>Engineering</v>
      </c>
    </row>
    <row r="8" spans="1:5" x14ac:dyDescent="0.35">
      <c r="A8" t="str">
        <v>PR04601</v>
      </c>
      <c r="B8" t="str">
        <v>Yedukondalu</v>
      </c>
      <c r="C8">
        <v>0</v>
      </c>
      <c r="D8" t="str">
        <v>Missing</v>
      </c>
      <c r="E8" t="str">
        <v>Support</v>
      </c>
    </row>
    <row r="9" spans="1:5" x14ac:dyDescent="0.35">
      <c r="A9" t="str">
        <v>TN01281</v>
      </c>
      <c r="B9" t="str">
        <v>Cletus</v>
      </c>
      <c r="C9">
        <v>0</v>
      </c>
      <c r="D9" t="str">
        <v>Female</v>
      </c>
      <c r="E9" t="str">
        <v>Engineering</v>
      </c>
    </row>
    <row r="10" spans="1:5" x14ac:dyDescent="0.35">
      <c r="A10" t="str">
        <v>PR02288</v>
      </c>
      <c r="B10" t="str">
        <v>Althea</v>
      </c>
      <c r="C10">
        <v>0</v>
      </c>
      <c r="D10" t="str">
        <v>Male</v>
      </c>
      <c r="E10" t="str">
        <v>Product Management</v>
      </c>
    </row>
    <row r="11" spans="1:5" x14ac:dyDescent="0.35">
      <c r="A11" t="str">
        <v>SQ01620</v>
      </c>
      <c r="B11" t="str">
        <v>Westbrook</v>
      </c>
      <c r="C11">
        <v>0</v>
      </c>
      <c r="D11" t="str">
        <v>Male</v>
      </c>
      <c r="E11" t="str">
        <v>Legal</v>
      </c>
    </row>
    <row r="12" spans="1:5" x14ac:dyDescent="0.35">
      <c r="A12" t="str">
        <v>VT04681</v>
      </c>
      <c r="B12" t="str">
        <v>Nickolai</v>
      </c>
      <c r="C12">
        <v>0</v>
      </c>
      <c r="D12" t="str">
        <v>Female</v>
      </c>
      <c r="E12" t="str">
        <v>Product Management</v>
      </c>
    </row>
    <row r="13" spans="1:5" x14ac:dyDescent="0.35">
      <c r="A13" t="str">
        <v>TN04246</v>
      </c>
      <c r="B13" t="str">
        <v>Shaylyn</v>
      </c>
      <c r="C13">
        <v>0</v>
      </c>
      <c r="D13" t="str">
        <v>Female</v>
      </c>
      <c r="E13" t="str">
        <v>Support</v>
      </c>
    </row>
    <row r="14" spans="1:5" x14ac:dyDescent="0.35">
      <c r="A14" t="str">
        <v>VT02801</v>
      </c>
      <c r="B14" t="str">
        <v>Shellysheldon</v>
      </c>
      <c r="C14">
        <v>0</v>
      </c>
      <c r="D14" t="str">
        <v>Male</v>
      </c>
      <c r="E14" t="str">
        <v>Training</v>
      </c>
    </row>
    <row r="15" spans="1:5" x14ac:dyDescent="0.35">
      <c r="A15" t="str">
        <v>PR02208</v>
      </c>
      <c r="B15" t="str">
        <v>Gowri</v>
      </c>
      <c r="C15" t="str">
        <v>Sankar</v>
      </c>
      <c r="D15" t="str">
        <v>Female</v>
      </c>
      <c r="E15" t="str">
        <v>Training</v>
      </c>
    </row>
    <row r="16" spans="1:5" x14ac:dyDescent="0.35">
      <c r="A16" t="str">
        <v>VT04093</v>
      </c>
      <c r="B16" t="str">
        <v>Prasanna</v>
      </c>
      <c r="C16" t="str">
        <v>Lakshmi</v>
      </c>
      <c r="D16" t="str">
        <v>Female</v>
      </c>
      <c r="E16" t="str">
        <v>Training</v>
      </c>
    </row>
    <row r="17" spans="1:5" x14ac:dyDescent="0.35">
      <c r="A17" t="str">
        <v>VT03421</v>
      </c>
      <c r="B17" t="str">
        <v>Alic</v>
      </c>
      <c r="C17">
        <v>0</v>
      </c>
      <c r="D17" t="str">
        <v>Male</v>
      </c>
      <c r="E17" t="str">
        <v>Legal</v>
      </c>
    </row>
    <row r="18" spans="1:5" x14ac:dyDescent="0.35">
      <c r="A18" t="str">
        <v>VT02491</v>
      </c>
      <c r="B18" t="str">
        <v>Alexis</v>
      </c>
      <c r="C18">
        <v>0</v>
      </c>
      <c r="D18" t="str">
        <v>Male</v>
      </c>
      <c r="E18" t="str">
        <v>Engineering</v>
      </c>
    </row>
    <row r="19" spans="1:5" x14ac:dyDescent="0.35">
      <c r="A19" t="str">
        <v>TN04058</v>
      </c>
      <c r="B19" t="str">
        <v>Subbarao</v>
      </c>
      <c r="C19">
        <v>0</v>
      </c>
      <c r="D19" t="str">
        <v>Male</v>
      </c>
      <c r="E19" t="str">
        <v>Product Management</v>
      </c>
    </row>
    <row r="20" spans="1:5" x14ac:dyDescent="0.35">
      <c r="A20" t="str">
        <v>PR01159</v>
      </c>
      <c r="B20" t="str">
        <v>Mollie</v>
      </c>
      <c r="C20">
        <v>0</v>
      </c>
      <c r="D20" t="str">
        <v>Male</v>
      </c>
      <c r="E20" t="str">
        <v>Engineering</v>
      </c>
    </row>
    <row r="21" spans="1:5" x14ac:dyDescent="0.35">
      <c r="A21" t="str">
        <v>SQ03476</v>
      </c>
      <c r="B21" t="str">
        <v>Ramalingam</v>
      </c>
      <c r="C21">
        <v>0</v>
      </c>
      <c r="D21" t="str">
        <v>Missing</v>
      </c>
      <c r="E21" t="str">
        <v>Accounting</v>
      </c>
    </row>
    <row r="22" spans="1:5" x14ac:dyDescent="0.35">
      <c r="A22" t="str">
        <v>VT01684</v>
      </c>
      <c r="B22" t="str">
        <v>Audry</v>
      </c>
      <c r="C22">
        <v>0</v>
      </c>
      <c r="D22" t="str">
        <v>Female</v>
      </c>
      <c r="E22" t="str">
        <v>Training</v>
      </c>
    </row>
    <row r="23" spans="1:5" x14ac:dyDescent="0.35">
      <c r="A23" t="str">
        <v>TN04740</v>
      </c>
      <c r="B23" t="str">
        <v>Tristam</v>
      </c>
      <c r="C23">
        <v>0</v>
      </c>
      <c r="D23" t="str">
        <v>Female</v>
      </c>
      <c r="E23" t="str">
        <v>Support</v>
      </c>
    </row>
    <row r="24" spans="1:5" x14ac:dyDescent="0.35">
      <c r="A24" t="str">
        <v>VT01893</v>
      </c>
      <c r="B24" t="str">
        <v>Lindy</v>
      </c>
      <c r="C24">
        <v>0</v>
      </c>
      <c r="D24" t="str">
        <v>Male</v>
      </c>
      <c r="E24" t="str">
        <v>Training</v>
      </c>
    </row>
    <row r="25" spans="1:5" x14ac:dyDescent="0.35">
      <c r="A25" t="str">
        <v>PR02010</v>
      </c>
      <c r="B25" t="str">
        <v>Prerana</v>
      </c>
      <c r="C25">
        <v>0</v>
      </c>
      <c r="D25" t="str">
        <v>Male</v>
      </c>
      <c r="E25" t="str">
        <v>Product Management</v>
      </c>
    </row>
    <row r="26" spans="1:5" x14ac:dyDescent="0.35">
      <c r="A26" t="str">
        <v>SQ00498</v>
      </c>
      <c r="B26" t="str">
        <v>Amery</v>
      </c>
      <c r="C26">
        <v>0</v>
      </c>
      <c r="D26" t="str">
        <v>Female</v>
      </c>
      <c r="E26" t="str">
        <v>Legal</v>
      </c>
    </row>
    <row r="27" spans="1:5" x14ac:dyDescent="0.35">
      <c r="A27" t="str">
        <v>TN04058</v>
      </c>
      <c r="B27" t="str">
        <v>Vasu</v>
      </c>
      <c r="C27">
        <v>0</v>
      </c>
      <c r="D27" t="str">
        <v>Male</v>
      </c>
      <c r="E27" t="str">
        <v>Product Management</v>
      </c>
    </row>
    <row r="28" spans="1:5" x14ac:dyDescent="0.35">
      <c r="A28" t="str">
        <v>SQ04603</v>
      </c>
      <c r="B28" t="str">
        <v>Natalee</v>
      </c>
      <c r="C28">
        <v>0</v>
      </c>
      <c r="D28" t="str">
        <v>Male</v>
      </c>
      <c r="E28" t="str">
        <v>Product Management</v>
      </c>
    </row>
    <row r="29" spans="1:5" x14ac:dyDescent="0.35">
      <c r="A29" t="str">
        <v>VT04028</v>
      </c>
      <c r="B29" t="str">
        <v>Michale</v>
      </c>
      <c r="C29">
        <v>0</v>
      </c>
      <c r="D29" t="str">
        <v>Male</v>
      </c>
      <c r="E29" t="str">
        <v>Services</v>
      </c>
    </row>
    <row r="30" spans="1:5" x14ac:dyDescent="0.35">
      <c r="A30" t="str">
        <v>VT04028</v>
      </c>
      <c r="B30" t="str">
        <v>Michale</v>
      </c>
      <c r="C30">
        <v>0</v>
      </c>
      <c r="D30" t="str">
        <v>Male</v>
      </c>
      <c r="E30" t="str">
        <v>Services</v>
      </c>
    </row>
    <row r="31" spans="1:5" x14ac:dyDescent="0.35">
      <c r="A31" t="str">
        <v>SQ00022</v>
      </c>
      <c r="B31" t="str">
        <v>Carlin</v>
      </c>
      <c r="C31">
        <v>0</v>
      </c>
      <c r="D31" t="str">
        <v>Male</v>
      </c>
      <c r="E31" t="str">
        <v>Business Development</v>
      </c>
    </row>
    <row r="32" spans="1:5" x14ac:dyDescent="0.35">
      <c r="A32" t="str">
        <v>SQ03116</v>
      </c>
      <c r="B32" t="str">
        <v>Syd</v>
      </c>
      <c r="C32">
        <v>0</v>
      </c>
      <c r="D32" t="str">
        <v>Male</v>
      </c>
      <c r="E32" t="str">
        <v>Engineering</v>
      </c>
    </row>
    <row r="33" spans="1:5" x14ac:dyDescent="0.35">
      <c r="A33" t="str">
        <v>VT04552</v>
      </c>
      <c r="B33" t="str">
        <v>Theresita</v>
      </c>
      <c r="C33">
        <v>0</v>
      </c>
      <c r="D33" t="str">
        <v>Female</v>
      </c>
      <c r="E33" t="str">
        <v>Product Management</v>
      </c>
    </row>
    <row r="34" spans="1:5" x14ac:dyDescent="0.35">
      <c r="A34" t="str">
        <v>SQ04665</v>
      </c>
      <c r="B34" t="str">
        <v>Collin</v>
      </c>
      <c r="C34">
        <v>0</v>
      </c>
      <c r="D34" t="str">
        <v>Male</v>
      </c>
      <c r="E34" t="str">
        <v>Services</v>
      </c>
    </row>
    <row r="35" spans="1:5" x14ac:dyDescent="0.35">
      <c r="A35" t="str">
        <v>VT01893</v>
      </c>
      <c r="B35" t="str">
        <v>Lindy</v>
      </c>
      <c r="C35">
        <v>0</v>
      </c>
      <c r="D35" t="str">
        <v>Male</v>
      </c>
      <c r="E35" t="str">
        <v>Training</v>
      </c>
    </row>
    <row r="36" spans="1:5" x14ac:dyDescent="0.35">
      <c r="A36" t="str">
        <v>PR03886</v>
      </c>
      <c r="B36" t="str">
        <v>Edd</v>
      </c>
      <c r="C36">
        <v>0</v>
      </c>
      <c r="D36" t="str">
        <v>Male</v>
      </c>
      <c r="E36" t="str">
        <v>Accounting</v>
      </c>
    </row>
    <row r="37" spans="1:5" x14ac:dyDescent="0.35">
      <c r="A37" t="str">
        <v>PR00746</v>
      </c>
      <c r="B37" t="str">
        <v>Hogan</v>
      </c>
      <c r="C37">
        <v>0</v>
      </c>
      <c r="D37" t="str">
        <v>Female</v>
      </c>
      <c r="E37" t="str">
        <v>Accounting</v>
      </c>
    </row>
    <row r="38" spans="1:5" x14ac:dyDescent="0.35">
      <c r="A38" t="str">
        <v>SQ03387</v>
      </c>
      <c r="B38" t="str">
        <v>Robinia</v>
      </c>
      <c r="C38">
        <v>0</v>
      </c>
      <c r="D38" t="str">
        <v>Female</v>
      </c>
      <c r="E38" t="str">
        <v>Human Resources</v>
      </c>
    </row>
    <row r="39" spans="1:5" x14ac:dyDescent="0.35">
      <c r="A39" t="str">
        <v>SQ02703</v>
      </c>
      <c r="B39" t="str">
        <v>Deepit</v>
      </c>
      <c r="C39">
        <v>0</v>
      </c>
      <c r="D39" t="str">
        <v>Female</v>
      </c>
      <c r="E39" t="str">
        <v>Marketing</v>
      </c>
    </row>
    <row r="40" spans="1:5" x14ac:dyDescent="0.35">
      <c r="A40" t="str">
        <v>SQ03733</v>
      </c>
      <c r="B40" t="str">
        <v>Revkah</v>
      </c>
      <c r="C40">
        <v>0</v>
      </c>
      <c r="D40" t="str">
        <v>Male</v>
      </c>
      <c r="E40" t="str">
        <v>Engineering</v>
      </c>
    </row>
    <row r="41" spans="1:5" x14ac:dyDescent="0.35">
      <c r="A41" t="str">
        <v>TN00579</v>
      </c>
      <c r="B41" t="str">
        <v>Rafaelita</v>
      </c>
      <c r="C41">
        <v>0</v>
      </c>
      <c r="D41" t="str">
        <v>Female</v>
      </c>
      <c r="E41" t="str">
        <v>Services</v>
      </c>
    </row>
    <row r="42" spans="1:5" x14ac:dyDescent="0.35">
      <c r="A42" t="str">
        <v>SQ02174</v>
      </c>
      <c r="B42" t="str">
        <v>Sidoney</v>
      </c>
      <c r="C42">
        <v>0</v>
      </c>
      <c r="D42" t="str">
        <v>Female</v>
      </c>
      <c r="E42" t="str">
        <v>Engineering</v>
      </c>
    </row>
    <row r="43" spans="1:5" x14ac:dyDescent="0.35">
      <c r="A43" t="str">
        <v>VT01762</v>
      </c>
      <c r="B43" t="str">
        <v>Geena</v>
      </c>
      <c r="C43">
        <v>0</v>
      </c>
      <c r="D43" t="str">
        <v>Male</v>
      </c>
      <c r="E43" t="str">
        <v>Accounting</v>
      </c>
    </row>
    <row r="44" spans="1:5" x14ac:dyDescent="0.35">
      <c r="A44" t="str">
        <v>VT04093</v>
      </c>
      <c r="B44" t="str">
        <v>Baruna</v>
      </c>
      <c r="C44">
        <v>0</v>
      </c>
      <c r="D44" t="str">
        <v>Female</v>
      </c>
      <c r="E44" t="str">
        <v>Training</v>
      </c>
    </row>
    <row r="45" spans="1:5" x14ac:dyDescent="0.35">
      <c r="A45" t="str">
        <v>SQ03491</v>
      </c>
      <c r="B45" t="str">
        <v>Freda</v>
      </c>
      <c r="C45">
        <v>0</v>
      </c>
      <c r="D45" t="str">
        <v>Female</v>
      </c>
      <c r="E45" t="str">
        <v>Sales</v>
      </c>
    </row>
    <row r="46" spans="1:5" x14ac:dyDescent="0.35">
      <c r="A46" t="str">
        <v>VT04350</v>
      </c>
      <c r="B46" t="str">
        <v>Kulbhushan</v>
      </c>
      <c r="C46">
        <v>0</v>
      </c>
      <c r="D46" t="str">
        <v>Male</v>
      </c>
      <c r="E46" t="str">
        <v>Business Development</v>
      </c>
    </row>
    <row r="47" spans="1:5" x14ac:dyDescent="0.35">
      <c r="A47" t="str">
        <v>SQ02035</v>
      </c>
      <c r="B47" t="str">
        <v>Anni</v>
      </c>
      <c r="C47">
        <v>0</v>
      </c>
      <c r="D47" t="str">
        <v>Male</v>
      </c>
      <c r="E47" t="str">
        <v>Human Resources</v>
      </c>
    </row>
    <row r="48" spans="1:5" x14ac:dyDescent="0.35">
      <c r="A48" t="str">
        <v>SQ02035</v>
      </c>
      <c r="B48" t="str">
        <v>Anni</v>
      </c>
      <c r="C48">
        <v>0</v>
      </c>
      <c r="D48" t="str">
        <v>Male</v>
      </c>
      <c r="E48" t="str">
        <v>Human Resources</v>
      </c>
    </row>
    <row r="49" spans="1:5" x14ac:dyDescent="0.35">
      <c r="A49" t="str">
        <v>VT04350</v>
      </c>
      <c r="B49" t="str">
        <v>Lalit</v>
      </c>
      <c r="C49">
        <v>0</v>
      </c>
      <c r="D49" t="str">
        <v>Male</v>
      </c>
      <c r="E49" t="str">
        <v>Business Development</v>
      </c>
    </row>
    <row r="50" spans="1:5" x14ac:dyDescent="0.35">
      <c r="A50" t="str">
        <v>SQ02624</v>
      </c>
      <c r="B50" t="str">
        <v>Gwenneth</v>
      </c>
      <c r="C50">
        <v>0</v>
      </c>
      <c r="D50" t="str">
        <v>Female</v>
      </c>
      <c r="E50" t="str">
        <v>Engineering</v>
      </c>
    </row>
    <row r="51" spans="1:5" x14ac:dyDescent="0.35">
      <c r="A51" t="str">
        <v>VT03421</v>
      </c>
      <c r="B51" t="str">
        <v>Alic</v>
      </c>
      <c r="C51">
        <v>0</v>
      </c>
      <c r="D51" t="str">
        <v>Male</v>
      </c>
      <c r="E51" t="str">
        <v>Legal</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BB77-7D70-42B5-BEEA-3A0F7A54F4C2}">
  <dimension ref="A1:V22"/>
  <sheetViews>
    <sheetView workbookViewId="0">
      <selection activeCell="C1" sqref="C1:C1048576"/>
    </sheetView>
  </sheetViews>
  <sheetFormatPr defaultRowHeight="18" x14ac:dyDescent="0.35"/>
  <cols>
    <col min="1" max="1" width="8" bestFit="1" customWidth="1"/>
    <col min="3" max="3" width="7.1640625" style="23" bestFit="1" customWidth="1"/>
    <col min="4" max="4" width="9.6640625" bestFit="1" customWidth="1"/>
    <col min="5" max="5" width="6.4140625" bestFit="1" customWidth="1"/>
    <col min="6" max="6" width="17.33203125" bestFit="1" customWidth="1"/>
    <col min="9" max="9" width="8" bestFit="1" customWidth="1"/>
    <col min="11" max="11" width="7.1640625" bestFit="1" customWidth="1"/>
    <col min="12" max="12" width="9.6640625" bestFit="1" customWidth="1"/>
    <col min="13" max="13" width="6.4140625" bestFit="1" customWidth="1"/>
    <col min="14" max="14" width="17.33203125" bestFit="1" customWidth="1"/>
    <col min="17" max="17" width="8" bestFit="1" customWidth="1"/>
    <col min="19" max="19" width="7.1640625" bestFit="1" customWidth="1"/>
    <col min="20" max="20" width="9.6640625" bestFit="1" customWidth="1"/>
    <col min="21" max="21" width="6.4140625" bestFit="1" customWidth="1"/>
    <col min="22" max="22" width="14.9140625" bestFit="1" customWidth="1"/>
  </cols>
  <sheetData>
    <row r="1" spans="1:22" x14ac:dyDescent="0.35">
      <c r="A1" s="32" t="s">
        <v>936</v>
      </c>
      <c r="D1" s="30" t="s">
        <v>2</v>
      </c>
      <c r="I1" s="32" t="s">
        <v>936</v>
      </c>
      <c r="K1" t="s">
        <v>937</v>
      </c>
      <c r="Q1" s="32" t="s">
        <v>936</v>
      </c>
      <c r="V1" s="30" t="s">
        <v>938</v>
      </c>
    </row>
    <row r="2" spans="1:22" x14ac:dyDescent="0.35">
      <c r="A2" s="33" t="s">
        <v>939</v>
      </c>
      <c r="D2" s="30" t="s">
        <v>11</v>
      </c>
      <c r="I2" s="33" t="s">
        <v>939</v>
      </c>
      <c r="Q2" s="33" t="s">
        <v>939</v>
      </c>
      <c r="S2" t="s">
        <v>940</v>
      </c>
      <c r="V2" s="30">
        <v>2020</v>
      </c>
    </row>
    <row r="4" spans="1:22" x14ac:dyDescent="0.35">
      <c r="A4" t="str" cm="1">
        <f t="array" ref="A4:F4">_xlfn.CHOOSECOLS(Employee_Processed_Data[#Headers],1,2,3,4,5,6)</f>
        <v>Emp ID</v>
      </c>
      <c r="B4" t="str">
        <v>First Name</v>
      </c>
      <c r="C4" s="23" t="str">
        <v>Middle Name</v>
      </c>
      <c r="D4" t="str">
        <v>Last Name</v>
      </c>
      <c r="E4" t="str">
        <v>Gender</v>
      </c>
      <c r="F4" t="str">
        <v>Department</v>
      </c>
      <c r="I4" t="str" cm="1">
        <f t="array" ref="I4:N4">_xlfn.CHOOSECOLS(Employee_Processed_Data[#Headers],1,2,3,4,5,6)</f>
        <v>Emp ID</v>
      </c>
      <c r="J4" t="str">
        <v>First Name</v>
      </c>
      <c r="K4" t="str">
        <v>Middle Name</v>
      </c>
      <c r="L4" t="str">
        <v>Last Name</v>
      </c>
      <c r="M4" t="str">
        <v>Gender</v>
      </c>
      <c r="N4" t="str">
        <v>Department</v>
      </c>
      <c r="Q4" t="str" cm="1">
        <f t="array" ref="Q4:V4">_xlfn.CHOOSECOLS(Employee_Processed_Data[#Headers],1,2,3,4,5,6)</f>
        <v>Emp ID</v>
      </c>
      <c r="R4" t="str">
        <v>First Name</v>
      </c>
      <c r="S4" t="str">
        <v>Middle Name</v>
      </c>
      <c r="T4" t="str">
        <v>Last Name</v>
      </c>
      <c r="U4" t="str">
        <v>Gender</v>
      </c>
      <c r="V4" t="str">
        <v>Department</v>
      </c>
    </row>
    <row r="5" spans="1:22" x14ac:dyDescent="0.35">
      <c r="A5" t="str" cm="1">
        <f t="array" ref="A5:F22">_xlfn.CHOOSECOLS(_xlfn._xlws.FILTER(Employee_Processed_Data[],(Employee_Processed_Data[Salary]&gt;100000)*(Employee_Processed_Data[Gender]=$D$2)),1,2,3,4,5,6)</f>
        <v>SQ04612</v>
      </c>
      <c r="B5" t="str">
        <v>Mick</v>
      </c>
      <c r="C5" s="23">
        <v>0</v>
      </c>
      <c r="D5" t="str">
        <v>Spraberry</v>
      </c>
      <c r="E5" t="str">
        <v>Female</v>
      </c>
      <c r="F5" t="str">
        <v>Services</v>
      </c>
      <c r="I5" t="str" cm="1">
        <f t="array" ref="I5:N22">_xlfn._xlws.FILTER(Employee_Processed_Data[[Emp ID]:[Department]],(Employee_Processed_Data[Salary]&gt;100000)*(Employee_Processed_Data[Gender]=$D$2))</f>
        <v>SQ04612</v>
      </c>
      <c r="J5" t="str">
        <v>Mick</v>
      </c>
      <c r="K5">
        <v>0</v>
      </c>
      <c r="L5" t="str">
        <v>Spraberry</v>
      </c>
      <c r="M5" t="str">
        <v>Female</v>
      </c>
      <c r="N5" t="str">
        <v>Services</v>
      </c>
      <c r="Q5" t="str" cm="1">
        <f t="array" ref="Q5:V17">_xlfn.CHOOSECOLS(_xlfn._xlws.FILTER(Employee_Processed_Data[],(Employee_Processed_Data[Salary]&gt;100000)*(Employee_Processed_Data[Gender]=$D$2)*(YEAR(Employee_Processed_Data[Start Date])&gt;=$V$2)),1,2,3,4,5,6)</f>
        <v>SQ04612</v>
      </c>
      <c r="R5" t="str">
        <v>Mick</v>
      </c>
      <c r="S5">
        <v>0</v>
      </c>
      <c r="T5" t="str">
        <v>Spraberry</v>
      </c>
      <c r="U5" t="str">
        <v>Female</v>
      </c>
      <c r="V5" t="str">
        <v>Services</v>
      </c>
    </row>
    <row r="6" spans="1:22" x14ac:dyDescent="0.35">
      <c r="A6" t="str">
        <v>TN01281</v>
      </c>
      <c r="B6" t="str">
        <v>Cletus</v>
      </c>
      <c r="C6" s="23">
        <v>0</v>
      </c>
      <c r="D6" t="str">
        <v>McGarahan</v>
      </c>
      <c r="E6" t="str">
        <v>Female</v>
      </c>
      <c r="F6" t="str">
        <v>Engineering</v>
      </c>
      <c r="I6" t="str">
        <v>TN01281</v>
      </c>
      <c r="J6" t="str">
        <v>Cletus</v>
      </c>
      <c r="K6">
        <v>0</v>
      </c>
      <c r="L6" t="str">
        <v>McGarahan</v>
      </c>
      <c r="M6" t="str">
        <v>Female</v>
      </c>
      <c r="N6" t="str">
        <v>Engineering</v>
      </c>
      <c r="Q6" t="str">
        <v>TN01281</v>
      </c>
      <c r="R6" t="str">
        <v>Cletus</v>
      </c>
      <c r="S6">
        <v>0</v>
      </c>
      <c r="T6" t="str">
        <v>McGarahan</v>
      </c>
      <c r="U6" t="str">
        <v>Female</v>
      </c>
      <c r="V6" t="str">
        <v>Engineering</v>
      </c>
    </row>
    <row r="7" spans="1:22" x14ac:dyDescent="0.35">
      <c r="A7" t="str">
        <v>VT04681</v>
      </c>
      <c r="B7" t="str">
        <v>Nickolai</v>
      </c>
      <c r="C7" s="23">
        <v>0</v>
      </c>
      <c r="D7" t="str">
        <v>Artin</v>
      </c>
      <c r="E7" t="str">
        <v>Female</v>
      </c>
      <c r="F7" t="str">
        <v>Product Management</v>
      </c>
      <c r="I7" t="str">
        <v>VT04681</v>
      </c>
      <c r="J7" t="str">
        <v>Nickolai</v>
      </c>
      <c r="K7">
        <v>0</v>
      </c>
      <c r="L7" t="str">
        <v>Artin</v>
      </c>
      <c r="M7" t="str">
        <v>Female</v>
      </c>
      <c r="N7" t="str">
        <v>Product Management</v>
      </c>
      <c r="Q7" t="str">
        <v>TN04246</v>
      </c>
      <c r="R7" t="str">
        <v>Shaylyn</v>
      </c>
      <c r="S7">
        <v>0</v>
      </c>
      <c r="T7" t="str">
        <v>Ransbury</v>
      </c>
      <c r="U7" t="str">
        <v>Female</v>
      </c>
      <c r="V7" t="str">
        <v>Support</v>
      </c>
    </row>
    <row r="8" spans="1:22" x14ac:dyDescent="0.35">
      <c r="A8" t="str">
        <v>TN04246</v>
      </c>
      <c r="B8" t="str">
        <v>Shaylyn</v>
      </c>
      <c r="C8" s="23">
        <v>0</v>
      </c>
      <c r="D8" t="str">
        <v>Ransbury</v>
      </c>
      <c r="E8" t="str">
        <v>Female</v>
      </c>
      <c r="F8" t="str">
        <v>Support</v>
      </c>
      <c r="I8" t="str">
        <v>TN04246</v>
      </c>
      <c r="J8" t="str">
        <v>Shaylyn</v>
      </c>
      <c r="K8">
        <v>0</v>
      </c>
      <c r="L8" t="str">
        <v>Ransbury</v>
      </c>
      <c r="M8" t="str">
        <v>Female</v>
      </c>
      <c r="N8" t="str">
        <v>Support</v>
      </c>
      <c r="Q8" t="str">
        <v>PR02208</v>
      </c>
      <c r="R8" t="str">
        <v>Gowri</v>
      </c>
      <c r="S8" t="str">
        <v>Sankar</v>
      </c>
      <c r="T8" t="str">
        <v>Chakrala</v>
      </c>
      <c r="U8" t="str">
        <v>Female</v>
      </c>
      <c r="V8" t="str">
        <v>Training</v>
      </c>
    </row>
    <row r="9" spans="1:22" x14ac:dyDescent="0.35">
      <c r="A9" t="str">
        <v>PR02208</v>
      </c>
      <c r="B9" t="str">
        <v>Gowri</v>
      </c>
      <c r="C9" s="23" t="str">
        <v>Sankar</v>
      </c>
      <c r="D9" t="str">
        <v>Chakrala</v>
      </c>
      <c r="E9" t="str">
        <v>Female</v>
      </c>
      <c r="F9" t="str">
        <v>Training</v>
      </c>
      <c r="I9" t="str">
        <v>PR02208</v>
      </c>
      <c r="J9" t="str">
        <v>Gowri</v>
      </c>
      <c r="K9" t="str">
        <v>Sankar</v>
      </c>
      <c r="L9" t="str">
        <v>Chakrala</v>
      </c>
      <c r="M9" t="str">
        <v>Female</v>
      </c>
      <c r="N9" t="str">
        <v>Training</v>
      </c>
      <c r="Q9" t="str">
        <v>VT04093</v>
      </c>
      <c r="R9" t="str">
        <v>Prasanna</v>
      </c>
      <c r="S9" t="str">
        <v>Lakshmi</v>
      </c>
      <c r="T9" t="str">
        <v>Payasam</v>
      </c>
      <c r="U9" t="str">
        <v>Female</v>
      </c>
      <c r="V9" t="str">
        <v>Training</v>
      </c>
    </row>
    <row r="10" spans="1:22" x14ac:dyDescent="0.35">
      <c r="A10" t="str">
        <v>VT04093</v>
      </c>
      <c r="B10" t="str">
        <v>Prasanna</v>
      </c>
      <c r="C10" s="23" t="str">
        <v>Lakshmi</v>
      </c>
      <c r="D10" t="str">
        <v>Payasam</v>
      </c>
      <c r="E10" t="str">
        <v>Female</v>
      </c>
      <c r="F10" t="str">
        <v>Training</v>
      </c>
      <c r="I10" t="str">
        <v>VT04093</v>
      </c>
      <c r="J10" t="str">
        <v>Prasanna</v>
      </c>
      <c r="K10" t="str">
        <v>Lakshmi</v>
      </c>
      <c r="L10" t="str">
        <v>Payasam</v>
      </c>
      <c r="M10" t="str">
        <v>Female</v>
      </c>
      <c r="N10" t="str">
        <v>Training</v>
      </c>
      <c r="Q10" t="str">
        <v>SQ00498</v>
      </c>
      <c r="R10" t="str">
        <v>Amery</v>
      </c>
      <c r="S10">
        <v>0</v>
      </c>
      <c r="T10" t="str">
        <v>Ofer</v>
      </c>
      <c r="U10" t="str">
        <v>Female</v>
      </c>
      <c r="V10" t="str">
        <v>Legal</v>
      </c>
    </row>
    <row r="11" spans="1:22" x14ac:dyDescent="0.35">
      <c r="A11" t="str">
        <v>VT01684</v>
      </c>
      <c r="B11" t="str">
        <v>Audry</v>
      </c>
      <c r="C11" s="23">
        <v>0</v>
      </c>
      <c r="D11" t="str">
        <v>Yu</v>
      </c>
      <c r="E11" t="str">
        <v>Female</v>
      </c>
      <c r="F11" t="str">
        <v>Training</v>
      </c>
      <c r="I11" t="str">
        <v>VT01684</v>
      </c>
      <c r="J11" t="str">
        <v>Audry</v>
      </c>
      <c r="K11">
        <v>0</v>
      </c>
      <c r="L11" t="str">
        <v>Yu</v>
      </c>
      <c r="M11" t="str">
        <v>Female</v>
      </c>
      <c r="N11" t="str">
        <v>Training</v>
      </c>
      <c r="Q11" t="str">
        <v>PR00746</v>
      </c>
      <c r="R11" t="str">
        <v>Hogan</v>
      </c>
      <c r="S11">
        <v>0</v>
      </c>
      <c r="T11" t="str">
        <v>Iles</v>
      </c>
      <c r="U11" t="str">
        <v>Female</v>
      </c>
      <c r="V11" t="str">
        <v>Accounting</v>
      </c>
    </row>
    <row r="12" spans="1:22" x14ac:dyDescent="0.35">
      <c r="A12" t="str">
        <v>TN04740</v>
      </c>
      <c r="B12" t="str">
        <v>Tristam</v>
      </c>
      <c r="C12" s="23">
        <v>0</v>
      </c>
      <c r="D12" t="str">
        <v>Cuming</v>
      </c>
      <c r="E12" t="str">
        <v>Female</v>
      </c>
      <c r="F12" t="str">
        <v>Support</v>
      </c>
      <c r="I12" t="str">
        <v>TN04740</v>
      </c>
      <c r="J12" t="str">
        <v>Tristam</v>
      </c>
      <c r="K12">
        <v>0</v>
      </c>
      <c r="L12" t="str">
        <v>Cuming</v>
      </c>
      <c r="M12" t="str">
        <v>Female</v>
      </c>
      <c r="N12" t="str">
        <v>Support</v>
      </c>
      <c r="Q12" t="str">
        <v>SQ03387</v>
      </c>
      <c r="R12" t="str">
        <v>Robinia</v>
      </c>
      <c r="S12">
        <v>0</v>
      </c>
      <c r="T12" t="str">
        <v>Scholling</v>
      </c>
      <c r="U12" t="str">
        <v>Female</v>
      </c>
      <c r="V12" t="str">
        <v>Human Resources</v>
      </c>
    </row>
    <row r="13" spans="1:22" x14ac:dyDescent="0.35">
      <c r="A13" t="str">
        <v>SQ00498</v>
      </c>
      <c r="B13" t="str">
        <v>Amery</v>
      </c>
      <c r="C13" s="23">
        <v>0</v>
      </c>
      <c r="D13" t="str">
        <v>Ofer</v>
      </c>
      <c r="E13" t="str">
        <v>Female</v>
      </c>
      <c r="F13" t="str">
        <v>Legal</v>
      </c>
      <c r="I13" t="str">
        <v>SQ00498</v>
      </c>
      <c r="J13" t="str">
        <v>Amery</v>
      </c>
      <c r="K13">
        <v>0</v>
      </c>
      <c r="L13" t="str">
        <v>Ofer</v>
      </c>
      <c r="M13" t="str">
        <v>Female</v>
      </c>
      <c r="N13" t="str">
        <v>Legal</v>
      </c>
      <c r="Q13" t="str">
        <v>TN00579</v>
      </c>
      <c r="R13" t="str">
        <v>Rafaelita</v>
      </c>
      <c r="S13">
        <v>0</v>
      </c>
      <c r="T13" t="str">
        <v>Blaksland</v>
      </c>
      <c r="U13" t="str">
        <v>Female</v>
      </c>
      <c r="V13" t="str">
        <v>Services</v>
      </c>
    </row>
    <row r="14" spans="1:22" x14ac:dyDescent="0.35">
      <c r="A14" t="str">
        <v>VT04552</v>
      </c>
      <c r="B14" t="str">
        <v>Theresita</v>
      </c>
      <c r="C14" s="23">
        <v>0</v>
      </c>
      <c r="D14" t="str">
        <v>Chasmer</v>
      </c>
      <c r="E14" t="str">
        <v>Female</v>
      </c>
      <c r="F14" t="str">
        <v>Product Management</v>
      </c>
      <c r="I14" t="str">
        <v>VT04552</v>
      </c>
      <c r="J14" t="str">
        <v>Theresita</v>
      </c>
      <c r="K14">
        <v>0</v>
      </c>
      <c r="L14" t="str">
        <v>Chasmer</v>
      </c>
      <c r="M14" t="str">
        <v>Female</v>
      </c>
      <c r="N14" t="str">
        <v>Product Management</v>
      </c>
      <c r="Q14" t="str">
        <v>SQ02174</v>
      </c>
      <c r="R14" t="str">
        <v>Sidoney</v>
      </c>
      <c r="S14">
        <v>0</v>
      </c>
      <c r="T14" t="str">
        <v>Yitzhok</v>
      </c>
      <c r="U14" t="str">
        <v>Female</v>
      </c>
      <c r="V14" t="str">
        <v>Engineering</v>
      </c>
    </row>
    <row r="15" spans="1:22" x14ac:dyDescent="0.35">
      <c r="A15" t="str">
        <v>PR00746</v>
      </c>
      <c r="B15" t="str">
        <v>Hogan</v>
      </c>
      <c r="C15" s="23">
        <v>0</v>
      </c>
      <c r="D15" t="str">
        <v>Iles</v>
      </c>
      <c r="E15" t="str">
        <v>Female</v>
      </c>
      <c r="F15" t="str">
        <v>Accounting</v>
      </c>
      <c r="I15" t="str">
        <v>PR00746</v>
      </c>
      <c r="J15" t="str">
        <v>Hogan</v>
      </c>
      <c r="K15">
        <v>0</v>
      </c>
      <c r="L15" t="str">
        <v>Iles</v>
      </c>
      <c r="M15" t="str">
        <v>Female</v>
      </c>
      <c r="N15" t="str">
        <v>Accounting</v>
      </c>
      <c r="Q15" t="str">
        <v>VT04093</v>
      </c>
      <c r="R15" t="str">
        <v>Baruna</v>
      </c>
      <c r="S15">
        <v>0</v>
      </c>
      <c r="T15" t="str">
        <v>Ogale</v>
      </c>
      <c r="U15" t="str">
        <v>Female</v>
      </c>
      <c r="V15" t="str">
        <v>Training</v>
      </c>
    </row>
    <row r="16" spans="1:22" x14ac:dyDescent="0.35">
      <c r="A16" t="str">
        <v>SQ03387</v>
      </c>
      <c r="B16" t="str">
        <v>Robinia</v>
      </c>
      <c r="C16" s="23">
        <v>0</v>
      </c>
      <c r="D16" t="str">
        <v>Scholling</v>
      </c>
      <c r="E16" t="str">
        <v>Female</v>
      </c>
      <c r="F16" t="str">
        <v>Human Resources</v>
      </c>
      <c r="I16" t="str">
        <v>SQ03387</v>
      </c>
      <c r="J16" t="str">
        <v>Robinia</v>
      </c>
      <c r="K16">
        <v>0</v>
      </c>
      <c r="L16" t="str">
        <v>Scholling</v>
      </c>
      <c r="M16" t="str">
        <v>Female</v>
      </c>
      <c r="N16" t="str">
        <v>Human Resources</v>
      </c>
      <c r="Q16" t="str">
        <v>SQ03491</v>
      </c>
      <c r="R16" t="str">
        <v>Freda</v>
      </c>
      <c r="S16">
        <v>0</v>
      </c>
      <c r="T16" t="str">
        <v>Legan</v>
      </c>
      <c r="U16" t="str">
        <v>Female</v>
      </c>
      <c r="V16" t="str">
        <v>Sales</v>
      </c>
    </row>
    <row r="17" spans="1:22" x14ac:dyDescent="0.35">
      <c r="A17" t="str">
        <v>SQ02703</v>
      </c>
      <c r="B17" t="str">
        <v>Deepit</v>
      </c>
      <c r="C17" s="23">
        <v>0</v>
      </c>
      <c r="D17" t="str">
        <v>Ranjana</v>
      </c>
      <c r="E17" t="str">
        <v>Female</v>
      </c>
      <c r="F17" t="str">
        <v>Marketing</v>
      </c>
      <c r="I17" t="str">
        <v>SQ02703</v>
      </c>
      <c r="J17" t="str">
        <v>Deepit</v>
      </c>
      <c r="K17">
        <v>0</v>
      </c>
      <c r="L17" t="str">
        <v>Ranjana</v>
      </c>
      <c r="M17" t="str">
        <v>Female</v>
      </c>
      <c r="N17" t="str">
        <v>Marketing</v>
      </c>
      <c r="Q17" t="str">
        <v>SQ02624</v>
      </c>
      <c r="R17" t="str">
        <v>Gwenneth</v>
      </c>
      <c r="S17">
        <v>0</v>
      </c>
      <c r="T17" t="str">
        <v>Fealey</v>
      </c>
      <c r="U17" t="str">
        <v>Female</v>
      </c>
      <c r="V17" t="str">
        <v>Engineering</v>
      </c>
    </row>
    <row r="18" spans="1:22" x14ac:dyDescent="0.35">
      <c r="A18" t="str">
        <v>TN00579</v>
      </c>
      <c r="B18" t="str">
        <v>Rafaelita</v>
      </c>
      <c r="C18" s="23">
        <v>0</v>
      </c>
      <c r="D18" t="str">
        <v>Blaksland</v>
      </c>
      <c r="E18" t="str">
        <v>Female</v>
      </c>
      <c r="F18" t="str">
        <v>Services</v>
      </c>
      <c r="I18" t="str">
        <v>TN00579</v>
      </c>
      <c r="J18" t="str">
        <v>Rafaelita</v>
      </c>
      <c r="K18">
        <v>0</v>
      </c>
      <c r="L18" t="str">
        <v>Blaksland</v>
      </c>
      <c r="M18" t="str">
        <v>Female</v>
      </c>
      <c r="N18" t="str">
        <v>Services</v>
      </c>
    </row>
    <row r="19" spans="1:22" x14ac:dyDescent="0.35">
      <c r="A19" t="str">
        <v>SQ02174</v>
      </c>
      <c r="B19" t="str">
        <v>Sidoney</v>
      </c>
      <c r="C19" s="23">
        <v>0</v>
      </c>
      <c r="D19" t="str">
        <v>Yitzhok</v>
      </c>
      <c r="E19" t="str">
        <v>Female</v>
      </c>
      <c r="F19" t="str">
        <v>Engineering</v>
      </c>
      <c r="I19" t="str">
        <v>SQ02174</v>
      </c>
      <c r="J19" t="str">
        <v>Sidoney</v>
      </c>
      <c r="K19">
        <v>0</v>
      </c>
      <c r="L19" t="str">
        <v>Yitzhok</v>
      </c>
      <c r="M19" t="str">
        <v>Female</v>
      </c>
      <c r="N19" t="str">
        <v>Engineering</v>
      </c>
    </row>
    <row r="20" spans="1:22" x14ac:dyDescent="0.35">
      <c r="A20" t="str">
        <v>VT04093</v>
      </c>
      <c r="B20" t="str">
        <v>Baruna</v>
      </c>
      <c r="C20" s="23">
        <v>0</v>
      </c>
      <c r="D20" t="str">
        <v>Ogale</v>
      </c>
      <c r="E20" t="str">
        <v>Female</v>
      </c>
      <c r="F20" t="str">
        <v>Training</v>
      </c>
      <c r="I20" t="str">
        <v>VT04093</v>
      </c>
      <c r="J20" t="str">
        <v>Baruna</v>
      </c>
      <c r="K20">
        <v>0</v>
      </c>
      <c r="L20" t="str">
        <v>Ogale</v>
      </c>
      <c r="M20" t="str">
        <v>Female</v>
      </c>
      <c r="N20" t="str">
        <v>Training</v>
      </c>
    </row>
    <row r="21" spans="1:22" x14ac:dyDescent="0.35">
      <c r="A21" t="str">
        <v>SQ03491</v>
      </c>
      <c r="B21" t="str">
        <v>Freda</v>
      </c>
      <c r="C21" s="23">
        <v>0</v>
      </c>
      <c r="D21" t="str">
        <v>Legan</v>
      </c>
      <c r="E21" t="str">
        <v>Female</v>
      </c>
      <c r="F21" t="str">
        <v>Sales</v>
      </c>
      <c r="I21" t="str">
        <v>SQ03491</v>
      </c>
      <c r="J21" t="str">
        <v>Freda</v>
      </c>
      <c r="K21">
        <v>0</v>
      </c>
      <c r="L21" t="str">
        <v>Legan</v>
      </c>
      <c r="M21" t="str">
        <v>Female</v>
      </c>
      <c r="N21" t="str">
        <v>Sales</v>
      </c>
    </row>
    <row r="22" spans="1:22" x14ac:dyDescent="0.35">
      <c r="A22" t="str">
        <v>SQ02624</v>
      </c>
      <c r="B22" t="str">
        <v>Gwenneth</v>
      </c>
      <c r="C22" s="23">
        <v>0</v>
      </c>
      <c r="D22" t="str">
        <v>Fealey</v>
      </c>
      <c r="E22" t="str">
        <v>Female</v>
      </c>
      <c r="F22" t="str">
        <v>Engineering</v>
      </c>
      <c r="I22" t="str">
        <v>SQ02624</v>
      </c>
      <c r="J22" t="str">
        <v>Gwenneth</v>
      </c>
      <c r="K22">
        <v>0</v>
      </c>
      <c r="L22" t="str">
        <v>Fealey</v>
      </c>
      <c r="M22" t="str">
        <v>Female</v>
      </c>
      <c r="N22" t="str">
        <v>Engineering</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B236-29E7-4CAD-AA7D-9DE1E9F84FA1}">
  <dimension ref="A1:G16"/>
  <sheetViews>
    <sheetView workbookViewId="0">
      <selection activeCell="E7" sqref="E7"/>
    </sheetView>
  </sheetViews>
  <sheetFormatPr defaultColWidth="8.83203125" defaultRowHeight="18" x14ac:dyDescent="0.35"/>
  <cols>
    <col min="3" max="4" width="9" style="7" bestFit="1" customWidth="1"/>
    <col min="6" max="6" width="8.83203125" customWidth="1"/>
  </cols>
  <sheetData>
    <row r="1" spans="1:7" x14ac:dyDescent="0.35">
      <c r="A1" s="32" t="s">
        <v>941</v>
      </c>
      <c r="B1" s="33"/>
      <c r="C1" s="70"/>
      <c r="D1" s="70"/>
      <c r="F1" s="30" t="s">
        <v>942</v>
      </c>
      <c r="G1" s="30" t="s">
        <v>943</v>
      </c>
    </row>
    <row r="2" spans="1:7" x14ac:dyDescent="0.35">
      <c r="A2" s="33"/>
      <c r="B2" s="33"/>
      <c r="C2" s="70"/>
      <c r="D2" s="70"/>
      <c r="F2" s="30">
        <v>5</v>
      </c>
      <c r="G2" s="30" cm="1">
        <f t="array" ref="G2:G6">_xlfn.SEQUENCE(5)</f>
        <v>1</v>
      </c>
    </row>
    <row r="3" spans="1:7" x14ac:dyDescent="0.35">
      <c r="A3" s="33"/>
      <c r="B3" s="37" t="s">
        <v>944</v>
      </c>
      <c r="C3" s="71" t="s">
        <v>88</v>
      </c>
      <c r="D3" s="71" t="s">
        <v>11</v>
      </c>
      <c r="G3" s="30">
        <v>2</v>
      </c>
    </row>
    <row r="4" spans="1:7" x14ac:dyDescent="0.35">
      <c r="A4" s="39" t="s">
        <v>945</v>
      </c>
      <c r="B4" s="40">
        <f>_xlfn.MINIFS(Employee_Processed_Data[Salary],Employee_Processed_Data[Salary],"&lt;&gt;0")</f>
        <v>28160.79</v>
      </c>
      <c r="C4" s="71">
        <f>_xlfn.MINIFS(Employee_Processed_Data[Salary],Employee_Processed_Data[Salary],"&lt;&gt;0",Employee_Processed_Data[Gender],"Male")</f>
        <v>28160.79</v>
      </c>
      <c r="D4" s="71">
        <f>_xlfn.MINIFS(Employee_Processed_Data[Salary],Employee_Processed_Data[Salary],"&lt;&gt;0",Employee_Processed_Data[Gender],"Female")</f>
        <v>28305.08</v>
      </c>
      <c r="G4" s="30">
        <v>3</v>
      </c>
    </row>
    <row r="5" spans="1:7" x14ac:dyDescent="0.35">
      <c r="A5" s="39" t="s">
        <v>946</v>
      </c>
      <c r="B5" s="40">
        <f>MAX(Employee_Processed_Data[Salary])</f>
        <v>120000</v>
      </c>
      <c r="C5" s="71">
        <f>_xlfn.MAXIFS(Employee_Processed_Data[Salary],Employee_Processed_Data[Gender],"Male")</f>
        <v>120000</v>
      </c>
      <c r="D5" s="71">
        <f>_xlfn.MAXIFS(Employee_Processed_Data[Salary],Employee_Processed_Data[Gender],"Female")</f>
        <v>120000</v>
      </c>
      <c r="G5" s="30">
        <v>4</v>
      </c>
    </row>
    <row r="6" spans="1:7" x14ac:dyDescent="0.35">
      <c r="A6" s="39" t="s">
        <v>947</v>
      </c>
      <c r="B6" s="40" cm="1">
        <f t="array" ref="B6:B10">LARGE(Employee_Processed_Data[Salary],_xlfn.ANCHORARRAY(G2))</f>
        <v>120000</v>
      </c>
      <c r="C6" s="71" cm="1">
        <f t="array" ref="C6:C10">LARGE(_xlfn._xlws.FILTER(Employee_Processed_Data[Salary],Employee_Processed_Data[Gender]="Male"),G2:G6)</f>
        <v>120000</v>
      </c>
      <c r="D6" s="71" cm="1">
        <f t="array" ref="D6:D10">LARGE(_xlfn._xlws.FILTER(Employee_Processed_Data[Salary],Employee_Processed_Data[Gender]="Female"),G2:G6)</f>
        <v>120000</v>
      </c>
      <c r="G6" s="30">
        <v>5</v>
      </c>
    </row>
    <row r="7" spans="1:7" x14ac:dyDescent="0.35">
      <c r="A7" s="33"/>
      <c r="B7" s="40">
        <v>120000</v>
      </c>
      <c r="C7" s="71">
        <v>119022.49</v>
      </c>
      <c r="D7" s="71">
        <v>118442.54</v>
      </c>
    </row>
    <row r="8" spans="1:7" x14ac:dyDescent="0.35">
      <c r="A8" s="33"/>
      <c r="B8" s="40">
        <v>119022.49</v>
      </c>
      <c r="C8" s="71">
        <v>118976.16</v>
      </c>
      <c r="D8" s="71">
        <v>116767.63</v>
      </c>
    </row>
    <row r="9" spans="1:7" x14ac:dyDescent="0.35">
      <c r="A9" s="33"/>
      <c r="B9" s="40">
        <v>118976.16</v>
      </c>
      <c r="C9" s="71">
        <v>115191.38</v>
      </c>
      <c r="D9" s="71">
        <v>116767.63</v>
      </c>
    </row>
    <row r="10" spans="1:7" x14ac:dyDescent="0.35">
      <c r="A10" s="33"/>
      <c r="B10" s="40">
        <v>118442.54</v>
      </c>
      <c r="C10" s="71">
        <v>114691.03</v>
      </c>
      <c r="D10" s="71">
        <v>114772.32</v>
      </c>
    </row>
    <row r="12" spans="1:7" x14ac:dyDescent="0.35">
      <c r="A12" s="39" t="s">
        <v>947</v>
      </c>
      <c r="B12" s="40" cm="1">
        <f t="array" ref="B12:B16">_xlfn.TAKE(_xlfn._xlws.SORT(Employee_Processed_Data[Salary],,-1),$F$2)</f>
        <v>120000</v>
      </c>
      <c r="C12" s="71" cm="1">
        <f t="array" ref="C12:C16">_xlfn.TAKE(_xlfn._xlws.SORT(_xlfn._xlws.FILTER(Employee_Processed_Data[Salary],Employee_Processed_Data[Gender]="Male"),,-1),$F$2)</f>
        <v>120000</v>
      </c>
      <c r="D12" s="71" cm="1">
        <f t="array" ref="D12:D16">_xlfn.TAKE(_xlfn._xlws.SORT(_xlfn._xlws.FILTER(Employee_Processed_Data[Salary],Employee_Processed_Data[Gender]="Female"),,-1),$F$2)</f>
        <v>120000</v>
      </c>
    </row>
    <row r="13" spans="1:7" x14ac:dyDescent="0.35">
      <c r="A13" s="41" t="s">
        <v>948</v>
      </c>
      <c r="B13" s="40">
        <v>120000</v>
      </c>
      <c r="C13" s="71">
        <v>119022.49</v>
      </c>
      <c r="D13" s="71">
        <v>118442.54</v>
      </c>
    </row>
    <row r="14" spans="1:7" x14ac:dyDescent="0.35">
      <c r="A14" s="33"/>
      <c r="B14" s="40">
        <v>119022.49</v>
      </c>
      <c r="C14" s="71">
        <v>118976.16</v>
      </c>
      <c r="D14" s="71">
        <v>116767.63</v>
      </c>
    </row>
    <row r="15" spans="1:7" x14ac:dyDescent="0.35">
      <c r="A15" s="33"/>
      <c r="B15" s="40">
        <v>118976.16</v>
      </c>
      <c r="C15" s="71">
        <v>115191.38</v>
      </c>
      <c r="D15" s="71">
        <v>116767.63</v>
      </c>
    </row>
    <row r="16" spans="1:7" x14ac:dyDescent="0.35">
      <c r="A16" s="33"/>
      <c r="B16" s="40">
        <v>118442.54</v>
      </c>
      <c r="C16" s="71">
        <v>114691.03</v>
      </c>
      <c r="D16" s="71">
        <v>114772.32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C22DE-E1A6-4A33-86A1-DF5FBCE4C089}">
  <dimension ref="A1:D14"/>
  <sheetViews>
    <sheetView workbookViewId="0">
      <selection activeCell="D4" sqref="D4"/>
    </sheetView>
  </sheetViews>
  <sheetFormatPr defaultRowHeight="18" x14ac:dyDescent="0.35"/>
  <cols>
    <col min="1" max="1" width="22.08203125" bestFit="1" customWidth="1"/>
    <col min="4" max="4" width="10.08203125" customWidth="1"/>
  </cols>
  <sheetData>
    <row r="1" spans="1:4" x14ac:dyDescent="0.35">
      <c r="A1" t="s">
        <v>949</v>
      </c>
      <c r="D1" s="69" t="s">
        <v>950</v>
      </c>
    </row>
    <row r="2" spans="1:4" x14ac:dyDescent="0.35">
      <c r="D2" s="69">
        <f>COUNTA(_xlfn.ANCHORARRAY(A3))</f>
        <v>12</v>
      </c>
    </row>
    <row r="3" spans="1:4" x14ac:dyDescent="0.35">
      <c r="A3" t="str" cm="1">
        <f t="array" ref="A3:A14">_xlfn.UNIQUE(Employee_Processed_Data[Department])</f>
        <v>Engineering</v>
      </c>
    </row>
    <row r="4" spans="1:4" x14ac:dyDescent="0.35">
      <c r="A4" t="str">
        <v>Business Development</v>
      </c>
      <c r="D4" t="s">
        <v>2054</v>
      </c>
    </row>
    <row r="5" spans="1:4" x14ac:dyDescent="0.35">
      <c r="A5" t="str">
        <v>Services</v>
      </c>
      <c r="D5" t="str">
        <f>_xlfn.TEXTJOIN(",",TRUE,_xlfn.UNIQUE(Employee_Processed_Data[Department]))</f>
        <v>Engineering,Business Development,Services,Training,Support,Marketing,Research and Development,Human Resources,Accounting,Sales,Product Management,Legal</v>
      </c>
    </row>
    <row r="6" spans="1:4" x14ac:dyDescent="0.35">
      <c r="A6" t="str">
        <v>Training</v>
      </c>
    </row>
    <row r="7" spans="1:4" x14ac:dyDescent="0.35">
      <c r="A7" t="str">
        <v>Support</v>
      </c>
    </row>
    <row r="8" spans="1:4" x14ac:dyDescent="0.35">
      <c r="A8" t="str">
        <v>Marketing</v>
      </c>
    </row>
    <row r="9" spans="1:4" x14ac:dyDescent="0.35">
      <c r="A9" t="str">
        <v>Research and Development</v>
      </c>
    </row>
    <row r="10" spans="1:4" x14ac:dyDescent="0.35">
      <c r="A10" t="str">
        <v>Human Resources</v>
      </c>
    </row>
    <row r="11" spans="1:4" x14ac:dyDescent="0.35">
      <c r="A11" t="str">
        <v>Accounting</v>
      </c>
    </row>
    <row r="12" spans="1:4" x14ac:dyDescent="0.35">
      <c r="A12" t="str">
        <v>Sales</v>
      </c>
    </row>
    <row r="13" spans="1:4" x14ac:dyDescent="0.35">
      <c r="A13" t="str">
        <v>Product Management</v>
      </c>
    </row>
    <row r="14" spans="1:4" x14ac:dyDescent="0.35">
      <c r="A14" t="str">
        <v>Legal</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F531-48F8-4918-A5F6-7070A2183ABE}">
  <dimension ref="A1:J34"/>
  <sheetViews>
    <sheetView workbookViewId="0">
      <selection activeCell="H23" sqref="H23"/>
    </sheetView>
  </sheetViews>
  <sheetFormatPr defaultRowHeight="18" x14ac:dyDescent="0.35"/>
  <cols>
    <col min="1" max="1" width="1.58203125" customWidth="1"/>
    <col min="2" max="2" width="8.58203125" bestFit="1" customWidth="1"/>
    <col min="3" max="3" width="8.4140625" bestFit="1" customWidth="1"/>
    <col min="4" max="4" width="8.4140625" customWidth="1"/>
  </cols>
  <sheetData>
    <row r="1" spans="1:10" x14ac:dyDescent="0.35">
      <c r="A1" s="33"/>
      <c r="B1" s="32" t="s">
        <v>951</v>
      </c>
      <c r="C1" s="33"/>
      <c r="D1" s="33"/>
    </row>
    <row r="2" spans="1:10" x14ac:dyDescent="0.35">
      <c r="A2" s="33"/>
      <c r="B2" s="32"/>
      <c r="C2" s="33"/>
      <c r="D2" s="33"/>
    </row>
    <row r="3" spans="1:10" x14ac:dyDescent="0.35">
      <c r="A3" s="33"/>
      <c r="B3" s="33"/>
      <c r="C3" s="72" t="s">
        <v>952</v>
      </c>
      <c r="E3" s="33"/>
      <c r="F3" s="72" t="s">
        <v>956</v>
      </c>
    </row>
    <row r="4" spans="1:10" x14ac:dyDescent="0.35">
      <c r="A4" s="75"/>
      <c r="B4" s="75" t="s">
        <v>954</v>
      </c>
      <c r="C4" s="76" t="s">
        <v>89</v>
      </c>
      <c r="E4" s="33"/>
    </row>
    <row r="5" spans="1:10" x14ac:dyDescent="0.35">
      <c r="A5" s="75"/>
      <c r="B5" s="75"/>
      <c r="C5" s="75"/>
      <c r="E5" s="33"/>
      <c r="F5" s="33"/>
    </row>
    <row r="6" spans="1:10" x14ac:dyDescent="0.35">
      <c r="A6" s="77">
        <v>2</v>
      </c>
      <c r="B6" s="75" t="s">
        <v>957</v>
      </c>
      <c r="C6" s="78" t="str">
        <f>VLOOKUP($C$4,Employee_Processed_Data[],A6,FALSE)</f>
        <v>Edd</v>
      </c>
      <c r="E6" s="75" t="s">
        <v>957</v>
      </c>
      <c r="F6" s="78" t="str">
        <f>_xlfn.XLOOKUP($C$4,Employee_Processed_Data[Emp ID],Employee_Processed_Data[First Name],,0,1)</f>
        <v>Edd</v>
      </c>
    </row>
    <row r="7" spans="1:10" x14ac:dyDescent="0.35">
      <c r="A7" s="77">
        <v>4</v>
      </c>
      <c r="B7" s="75" t="s">
        <v>958</v>
      </c>
      <c r="C7" s="78" t="str">
        <f>VLOOKUP($C$4,Employee_Processed_Data[],A7,FALSE)</f>
        <v>MacKnockiter</v>
      </c>
      <c r="E7" s="75" t="s">
        <v>958</v>
      </c>
      <c r="F7" s="78" t="str">
        <f>_xlfn.XLOOKUP($C$4,Employee_Processed_Data[Emp ID],Employee_Processed_Data[Last Name],,0,1)</f>
        <v>MacKnockiter</v>
      </c>
    </row>
    <row r="8" spans="1:10" x14ac:dyDescent="0.35">
      <c r="A8" s="77">
        <v>6</v>
      </c>
      <c r="B8" s="75" t="s">
        <v>959</v>
      </c>
      <c r="C8" s="78" t="str">
        <f>VLOOKUP($C$4,Employee_Processed_Data[],A8,FALSE)</f>
        <v>Accounting</v>
      </c>
      <c r="E8" s="75" t="s">
        <v>959</v>
      </c>
      <c r="F8" s="78" t="str">
        <f>_xlfn.XLOOKUP($C$4,Employee_Processed_Data[Emp ID],Employee_Processed_Data[Department],,0,1)</f>
        <v>Accounting</v>
      </c>
    </row>
    <row r="9" spans="1:10" x14ac:dyDescent="0.35">
      <c r="A9" s="77">
        <v>7</v>
      </c>
      <c r="B9" s="75" t="s">
        <v>960</v>
      </c>
      <c r="C9" s="78">
        <f>VLOOKUP($C$4,Employee_Processed_Data[],A9,FALSE)</f>
        <v>119022.49</v>
      </c>
      <c r="E9" s="75" t="s">
        <v>960</v>
      </c>
      <c r="F9" s="78">
        <f>_xlfn.XLOOKUP($C$4,Employee_Processed_Data[Emp ID],Employee_Processed_Data[Salary],,0,1)</f>
        <v>119022.49</v>
      </c>
    </row>
    <row r="12" spans="1:10" x14ac:dyDescent="0.35">
      <c r="C12" t="s">
        <v>961</v>
      </c>
      <c r="F12" t="s">
        <v>962</v>
      </c>
    </row>
    <row r="13" spans="1:10" x14ac:dyDescent="0.35">
      <c r="B13" s="75" t="s">
        <v>958</v>
      </c>
      <c r="C13" s="76" t="s">
        <v>483</v>
      </c>
      <c r="F13" s="72" t="s">
        <v>2023</v>
      </c>
    </row>
    <row r="14" spans="1:10" x14ac:dyDescent="0.35">
      <c r="B14" s="75"/>
      <c r="C14" s="75">
        <f>MATCH($C$13,Employee_Processed_Data[Last Name],0)</f>
        <v>83</v>
      </c>
      <c r="F14" s="79" t="str">
        <f>_xlfn.XLOOKUP(120000,Employee_Processed_Data[Salary],Employee_Processed_Data[First Name])</f>
        <v>Minerva</v>
      </c>
      <c r="J14" t="s">
        <v>2025</v>
      </c>
    </row>
    <row r="15" spans="1:10" x14ac:dyDescent="0.35">
      <c r="B15" s="75"/>
      <c r="C15" s="75"/>
    </row>
    <row r="16" spans="1:10" x14ac:dyDescent="0.35">
      <c r="B16" s="75" t="s">
        <v>954</v>
      </c>
      <c r="C16" s="78" t="str">
        <f>INDEX(Employee_Processed_Data[Emp ID],MATCH($C$13,Employee_Processed_Data[Last Name],0))</f>
        <v>PR04380</v>
      </c>
      <c r="F16" s="72" t="s">
        <v>2022</v>
      </c>
    </row>
    <row r="17" spans="1:10" x14ac:dyDescent="0.35">
      <c r="B17" s="75" t="s">
        <v>959</v>
      </c>
      <c r="C17" s="78" t="str">
        <f>INDEX(Employee_Processed_Data[Department],MATCH($C$13,Employee_Processed_Data[Last Name],0))</f>
        <v>Business Development</v>
      </c>
      <c r="F17" s="79" t="str" cm="1">
        <f t="array" ref="F17:H18">_xlfn._xlws.FILTER(Employee_Processed_Data[[First Name]:[Last Name]],Employee_Processed_Data[Salary]=120000)</f>
        <v>Minerva</v>
      </c>
      <c r="G17" s="79">
        <v>0</v>
      </c>
      <c r="H17" s="79" t="str">
        <v>Ricardot</v>
      </c>
      <c r="J17" t="s">
        <v>2024</v>
      </c>
    </row>
    <row r="18" spans="1:10" x14ac:dyDescent="0.35">
      <c r="B18" s="75" t="s">
        <v>960</v>
      </c>
      <c r="C18" s="80">
        <f>INDEX(Employee_Processed_Data[Salary],MATCH($C$13,Employee_Processed_Data[Last Name],0))</f>
        <v>80695.740000000005</v>
      </c>
      <c r="F18" s="79" t="str">
        <v>Mick</v>
      </c>
      <c r="G18" s="79">
        <v>0</v>
      </c>
      <c r="H18" s="79" t="str">
        <v>Spraberry</v>
      </c>
    </row>
    <row r="20" spans="1:10" x14ac:dyDescent="0.35">
      <c r="B20" t="s">
        <v>2026</v>
      </c>
      <c r="G20" s="33"/>
      <c r="H20" s="72" t="s">
        <v>956</v>
      </c>
    </row>
    <row r="21" spans="1:10" x14ac:dyDescent="0.35">
      <c r="A21" s="75"/>
      <c r="B21" s="75" t="s">
        <v>954</v>
      </c>
      <c r="C21" s="76" t="s">
        <v>955</v>
      </c>
      <c r="G21" s="33"/>
    </row>
    <row r="22" spans="1:10" x14ac:dyDescent="0.35">
      <c r="A22" s="75"/>
      <c r="B22" s="75"/>
      <c r="C22" s="79"/>
      <c r="G22" s="33"/>
      <c r="H22" s="33"/>
    </row>
    <row r="23" spans="1:10" x14ac:dyDescent="0.35">
      <c r="A23" s="77">
        <v>2</v>
      </c>
      <c r="B23" s="75" t="s">
        <v>957</v>
      </c>
      <c r="C23" s="79" t="e">
        <f>VLOOKUP($C$21,Employee_Processed_Data[],A6,FALSE)</f>
        <v>#N/A</v>
      </c>
      <c r="G23" s="75" t="s">
        <v>957</v>
      </c>
      <c r="H23" s="78" t="str">
        <f>_xlfn.XLOOKUP($C$21,Employee_Processed_Data[Emp ID],Employee_Processed_Data[First Name],"Not Found",0,1)</f>
        <v>Not Found</v>
      </c>
    </row>
    <row r="24" spans="1:10" x14ac:dyDescent="0.35">
      <c r="A24" s="77">
        <v>4</v>
      </c>
      <c r="B24" s="75" t="s">
        <v>958</v>
      </c>
      <c r="C24" s="79" t="e">
        <f>VLOOKUP($C$21,Employee_Processed_Data[],A7,FALSE)</f>
        <v>#N/A</v>
      </c>
      <c r="G24" s="75" t="s">
        <v>958</v>
      </c>
      <c r="H24" s="78" t="str">
        <f>_xlfn.XLOOKUP($C$21,Employee_Processed_Data[Emp ID],Employee_Processed_Data[Last Name],"Not Found",0,1)</f>
        <v>Not Found</v>
      </c>
    </row>
    <row r="25" spans="1:10" x14ac:dyDescent="0.35">
      <c r="A25" s="77">
        <v>6</v>
      </c>
      <c r="B25" s="75" t="s">
        <v>959</v>
      </c>
      <c r="C25" s="79" t="e">
        <f>VLOOKUP($C$21,Employee_Processed_Data[],A8,FALSE)</f>
        <v>#N/A</v>
      </c>
      <c r="G25" s="75" t="s">
        <v>959</v>
      </c>
      <c r="H25" s="78" t="str">
        <f>_xlfn.XLOOKUP($C$21,Employee_Processed_Data[Emp ID],Employee_Processed_Data[Department],"Not Found",0,1)</f>
        <v>Not Found</v>
      </c>
    </row>
    <row r="26" spans="1:10" x14ac:dyDescent="0.35">
      <c r="A26" s="77">
        <v>7</v>
      </c>
      <c r="B26" s="75" t="s">
        <v>960</v>
      </c>
      <c r="C26" s="79" t="e">
        <f>VLOOKUP($C$21,Employee_Processed_Data[],A9,FALSE)</f>
        <v>#N/A</v>
      </c>
      <c r="G26" s="75" t="s">
        <v>960</v>
      </c>
      <c r="H26" s="78" t="str">
        <f>_xlfn.XLOOKUP($C$21,Employee_Processed_Data[Emp ID],Employee_Processed_Data[Salary],"Not Found",0,1)</f>
        <v>Not Found</v>
      </c>
    </row>
    <row r="28" spans="1:10" x14ac:dyDescent="0.35">
      <c r="B28" t="s">
        <v>953</v>
      </c>
    </row>
    <row r="29" spans="1:10" x14ac:dyDescent="0.35">
      <c r="A29" s="75"/>
      <c r="B29" s="75" t="s">
        <v>954</v>
      </c>
      <c r="C29" s="76" t="s">
        <v>955</v>
      </c>
    </row>
    <row r="30" spans="1:10" x14ac:dyDescent="0.35">
      <c r="A30" s="75"/>
      <c r="B30" s="75"/>
      <c r="C30" s="79"/>
    </row>
    <row r="31" spans="1:10" x14ac:dyDescent="0.35">
      <c r="A31" s="77">
        <v>2</v>
      </c>
      <c r="B31" s="75" t="s">
        <v>957</v>
      </c>
      <c r="C31" s="79" t="str">
        <f>IFERROR(VLOOKUP($C$21,Employee_Processed_Data[],B6,FALSE),"Not Found")</f>
        <v>Not Found</v>
      </c>
    </row>
    <row r="32" spans="1:10" x14ac:dyDescent="0.35">
      <c r="A32" s="77">
        <v>4</v>
      </c>
      <c r="B32" s="75" t="s">
        <v>958</v>
      </c>
      <c r="C32" s="79" t="str">
        <f>IFERROR(VLOOKUP($C$21,Employee_Processed_Data[],B7,FALSE),"Not Found")</f>
        <v>Not Found</v>
      </c>
    </row>
    <row r="33" spans="1:3" x14ac:dyDescent="0.35">
      <c r="A33" s="77">
        <v>6</v>
      </c>
      <c r="B33" s="75" t="s">
        <v>959</v>
      </c>
      <c r="C33" s="79" t="str">
        <f>IFERROR(VLOOKUP($C$21,Employee_Processed_Data[],B8,FALSE),"Not Found")</f>
        <v>Not Found</v>
      </c>
    </row>
    <row r="34" spans="1:3" x14ac:dyDescent="0.35">
      <c r="A34" s="77">
        <v>7</v>
      </c>
      <c r="B34" s="75" t="s">
        <v>960</v>
      </c>
      <c r="C34" s="79" t="str">
        <f>IFERROR(VLOOKUP($C$21,Employee_Processed_Data[],B9,FALSE),"Not Found")</f>
        <v>Not Found</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0685-74D9-49C4-96EA-011A623ABF13}">
  <dimension ref="A1:F8"/>
  <sheetViews>
    <sheetView topLeftCell="B1" workbookViewId="0">
      <selection activeCell="B8" sqref="B8"/>
    </sheetView>
  </sheetViews>
  <sheetFormatPr defaultRowHeight="18" x14ac:dyDescent="0.35"/>
  <cols>
    <col min="2" max="2" width="12.08203125" customWidth="1"/>
  </cols>
  <sheetData>
    <row r="1" spans="1:6" x14ac:dyDescent="0.35">
      <c r="A1" s="32" t="s">
        <v>963</v>
      </c>
      <c r="B1" s="33"/>
      <c r="C1" s="33"/>
      <c r="D1" s="33"/>
      <c r="E1" s="33"/>
      <c r="F1" s="33"/>
    </row>
    <row r="2" spans="1:6" x14ac:dyDescent="0.35">
      <c r="A2" s="33"/>
      <c r="B2" s="33"/>
      <c r="C2" s="33"/>
      <c r="D2" s="33"/>
      <c r="E2" s="33"/>
      <c r="F2" s="33"/>
    </row>
    <row r="3" spans="1:6" x14ac:dyDescent="0.35">
      <c r="A3" s="33"/>
      <c r="B3" s="33"/>
      <c r="C3" s="33"/>
      <c r="D3" s="33"/>
      <c r="E3" s="33"/>
      <c r="F3" s="33"/>
    </row>
    <row r="4" spans="1:6" x14ac:dyDescent="0.35">
      <c r="A4" s="33" t="s">
        <v>964</v>
      </c>
      <c r="B4" s="38" t="str" cm="1">
        <f t="array" ref="B4">_xlfn.XLOOKUP(MAX(Employee_Processed_Data[Salary]),Employee_Processed_Data[Salary],Employee_Processed_Data[First Name]&amp;" "&amp;Employee_Processed_Data[Last Name])</f>
        <v>Minerva Ricardot</v>
      </c>
      <c r="C4" s="33"/>
      <c r="D4" s="33"/>
      <c r="E4" s="33"/>
      <c r="F4" s="33"/>
    </row>
    <row r="5" spans="1:6" x14ac:dyDescent="0.35">
      <c r="A5" s="33"/>
      <c r="B5" s="33"/>
      <c r="C5" s="33"/>
      <c r="D5" s="33"/>
      <c r="E5" s="33"/>
      <c r="F5" s="33"/>
    </row>
    <row r="6" spans="1:6" x14ac:dyDescent="0.35">
      <c r="A6" s="33"/>
      <c r="B6" s="33"/>
      <c r="C6" s="33"/>
      <c r="D6" s="33"/>
      <c r="E6" s="33"/>
      <c r="F6" s="33"/>
    </row>
    <row r="7" spans="1:6" x14ac:dyDescent="0.35">
      <c r="A7" s="33"/>
      <c r="B7" s="33"/>
      <c r="C7" s="33"/>
      <c r="D7" s="33"/>
      <c r="E7" s="33"/>
      <c r="F7" s="33"/>
    </row>
    <row r="8" spans="1:6" x14ac:dyDescent="0.35">
      <c r="A8" s="33" t="s">
        <v>965</v>
      </c>
      <c r="B8" s="42" t="str" cm="1">
        <f t="array" ref="B8">_xlfn.TEXTJOIN(",",,_xlfn._xlws.FILTER(Employee_Processed_Data[First Name]&amp;" "&amp;Employee_Processed_Data[Last Name],Employee_Processed_Data[Salary]=MAX(Employee_Processed_Data[Salary])))</f>
        <v>Minerva Ricardot,Mick Spraberry</v>
      </c>
      <c r="C8" s="43"/>
      <c r="D8" s="43"/>
      <c r="E8" s="43"/>
      <c r="F8" s="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EF4D-CA2B-4687-9397-B10EBD0A16A2}">
  <dimension ref="A1:O261"/>
  <sheetViews>
    <sheetView topLeftCell="A246" workbookViewId="0">
      <selection activeCell="N198" sqref="N198"/>
    </sheetView>
  </sheetViews>
  <sheetFormatPr defaultRowHeight="18" x14ac:dyDescent="0.35"/>
  <cols>
    <col min="1" max="1" width="8" bestFit="1" customWidth="1"/>
    <col min="2" max="2" width="12" bestFit="1" customWidth="1"/>
    <col min="3" max="3" width="8.5" bestFit="1" customWidth="1"/>
    <col min="4" max="4" width="12" bestFit="1" customWidth="1"/>
    <col min="5" max="5" width="6.4140625" bestFit="1" customWidth="1"/>
    <col min="6" max="6" width="22.08203125" bestFit="1" customWidth="1"/>
    <col min="7" max="7" width="9.75" bestFit="1" customWidth="1"/>
    <col min="8" max="8" width="9.83203125" bestFit="1" customWidth="1"/>
    <col min="9" max="9" width="9.9140625" style="19" bestFit="1" customWidth="1"/>
    <col min="10" max="10" width="3.75" bestFit="1" customWidth="1"/>
    <col min="11" max="11" width="9.1640625" bestFit="1" customWidth="1"/>
    <col min="12" max="12" width="20" bestFit="1" customWidth="1"/>
    <col min="13" max="13" width="4.75" bestFit="1" customWidth="1"/>
    <col min="14" max="14" width="8.6640625" bestFit="1" customWidth="1"/>
  </cols>
  <sheetData>
    <row r="1" spans="1:14" x14ac:dyDescent="0.35">
      <c r="A1" t="s">
        <v>966</v>
      </c>
    </row>
    <row r="3" spans="1:14" x14ac:dyDescent="0.35">
      <c r="A3" s="30" t="str" cm="1">
        <f t="array" ref="A3:N3">Employee_Processed_Data[#Headers]</f>
        <v>Emp ID</v>
      </c>
      <c r="B3" s="30" t="str">
        <v>First Name</v>
      </c>
      <c r="C3" s="30" t="str">
        <v>Middle Name</v>
      </c>
      <c r="D3" s="30" t="str">
        <v>Last Name</v>
      </c>
      <c r="E3" s="30" t="str">
        <v>Gender</v>
      </c>
      <c r="F3" s="30" t="str">
        <v>Department</v>
      </c>
      <c r="G3" s="30" t="str">
        <v>Salary</v>
      </c>
      <c r="H3" s="30" t="str">
        <v>Salary Bins</v>
      </c>
      <c r="I3" s="31" t="str">
        <v>Start Date</v>
      </c>
      <c r="J3" s="30" t="str">
        <v>FTE</v>
      </c>
      <c r="K3" s="30" t="str">
        <v>Employee type</v>
      </c>
      <c r="L3" s="30" t="str">
        <v>Work location</v>
      </c>
      <c r="M3" s="30" t="str">
        <v>Tenure</v>
      </c>
      <c r="N3" s="30" t="str">
        <v>Work Type</v>
      </c>
    </row>
    <row r="4" spans="1:14" x14ac:dyDescent="0.35">
      <c r="A4" t="str" cm="1">
        <f t="array" ref="A4:N10">_xlfn._xlws.FILTER(Employee_Processed_Data[],LEFT(Employee_Processed_Data[First Name],1)="H")</f>
        <v>TN00214</v>
      </c>
      <c r="B4" t="str">
        <v>Hemavati</v>
      </c>
      <c r="C4">
        <v>0</v>
      </c>
      <c r="D4" t="str">
        <v>Muthiah</v>
      </c>
      <c r="E4" t="str">
        <v>Female</v>
      </c>
      <c r="F4" t="str">
        <v>Training</v>
      </c>
      <c r="G4">
        <v>37902.35</v>
      </c>
      <c r="H4" t="str">
        <v>Under 50K</v>
      </c>
      <c r="I4" s="19">
        <v>43823</v>
      </c>
      <c r="J4">
        <v>1</v>
      </c>
      <c r="K4" t="str">
        <v>Permanent</v>
      </c>
      <c r="L4" t="str">
        <v>Chennai, India</v>
      </c>
      <c r="M4">
        <v>6.63</v>
      </c>
      <c r="N4" t="str">
        <v>Full Time</v>
      </c>
    </row>
    <row r="5" spans="1:14" x14ac:dyDescent="0.35">
      <c r="A5" t="str">
        <v>PR00746</v>
      </c>
      <c r="B5" t="str">
        <v>Hogan</v>
      </c>
      <c r="C5">
        <v>0</v>
      </c>
      <c r="D5" t="str">
        <v>Iles</v>
      </c>
      <c r="E5" t="str">
        <v>Female</v>
      </c>
      <c r="F5" t="str">
        <v>Accounting</v>
      </c>
      <c r="G5">
        <v>114177.23</v>
      </c>
      <c r="H5" t="str">
        <v>Above 100K</v>
      </c>
      <c r="I5" s="19">
        <v>43908</v>
      </c>
      <c r="J5">
        <v>1</v>
      </c>
      <c r="K5" t="str">
        <v>Permanent</v>
      </c>
      <c r="L5" t="str">
        <v>Wellington, New Zealand</v>
      </c>
      <c r="M5">
        <v>6.4</v>
      </c>
      <c r="N5" t="str">
        <v>Full Time</v>
      </c>
    </row>
    <row r="6" spans="1:14" x14ac:dyDescent="0.35">
      <c r="A6" t="str">
        <v>TN04175</v>
      </c>
      <c r="B6" t="str">
        <v>Hinda</v>
      </c>
      <c r="C6">
        <v>0</v>
      </c>
      <c r="D6" t="str">
        <v>Label</v>
      </c>
      <c r="E6" t="str">
        <v>Female</v>
      </c>
      <c r="F6" t="str">
        <v>Human Resources</v>
      </c>
      <c r="G6">
        <v>92704.48</v>
      </c>
      <c r="H6" t="str">
        <v>50K-100K</v>
      </c>
      <c r="I6" s="19">
        <v>43430</v>
      </c>
      <c r="J6">
        <v>1</v>
      </c>
      <c r="K6" t="str">
        <v>Fixed Term</v>
      </c>
      <c r="L6" t="str">
        <v>Columbus, USA</v>
      </c>
      <c r="M6">
        <v>7.71</v>
      </c>
      <c r="N6" t="str">
        <v>Full Time</v>
      </c>
    </row>
    <row r="7" spans="1:14" x14ac:dyDescent="0.35">
      <c r="A7" t="str">
        <v>SQ04437</v>
      </c>
      <c r="B7" t="str">
        <v>Hephzibah</v>
      </c>
      <c r="C7">
        <v>0</v>
      </c>
      <c r="D7" t="str">
        <v>Summerell</v>
      </c>
      <c r="E7" t="str">
        <v>Female</v>
      </c>
      <c r="F7" t="str">
        <v>Services</v>
      </c>
      <c r="G7">
        <v>28305.08</v>
      </c>
      <c r="H7" t="str">
        <v>Under 50K</v>
      </c>
      <c r="I7" s="19">
        <v>43754</v>
      </c>
      <c r="J7">
        <v>1</v>
      </c>
      <c r="K7" t="str">
        <v>Permanent</v>
      </c>
      <c r="L7" t="str">
        <v>Remote</v>
      </c>
      <c r="M7">
        <v>6.82</v>
      </c>
      <c r="N7" t="str">
        <v>Full Time</v>
      </c>
    </row>
    <row r="8" spans="1:14" x14ac:dyDescent="0.35">
      <c r="A8" t="str">
        <v>PR00246</v>
      </c>
      <c r="B8" t="str">
        <v>Husein</v>
      </c>
      <c r="C8">
        <v>0</v>
      </c>
      <c r="D8" t="str">
        <v>Augar</v>
      </c>
      <c r="E8" t="str">
        <v>Female</v>
      </c>
      <c r="F8" t="str">
        <v>Marketing</v>
      </c>
      <c r="G8">
        <v>67905.8</v>
      </c>
      <c r="H8" t="str">
        <v>50K-100K</v>
      </c>
      <c r="I8" s="19">
        <v>44194</v>
      </c>
      <c r="J8">
        <v>1</v>
      </c>
      <c r="K8" t="str">
        <v>Permanent</v>
      </c>
      <c r="L8" t="str">
        <v>Remote</v>
      </c>
      <c r="M8">
        <v>5.62</v>
      </c>
      <c r="N8" t="str">
        <v>Full Time</v>
      </c>
    </row>
    <row r="9" spans="1:14" x14ac:dyDescent="0.35">
      <c r="A9" t="str">
        <v>VT01996</v>
      </c>
      <c r="B9" t="str">
        <v>Hali</v>
      </c>
      <c r="C9">
        <v>0</v>
      </c>
      <c r="D9" t="str">
        <v>Behnecke</v>
      </c>
      <c r="E9" t="str">
        <v>Male</v>
      </c>
      <c r="F9" t="str">
        <v>Human Resources</v>
      </c>
      <c r="G9">
        <v>65569.36</v>
      </c>
      <c r="H9" t="str">
        <v>50K-100K</v>
      </c>
      <c r="I9" s="19">
        <v>43293</v>
      </c>
      <c r="J9">
        <v>1</v>
      </c>
      <c r="K9" t="str">
        <v>Fixed Term</v>
      </c>
      <c r="L9" t="str">
        <v>Auckland, New Zealand</v>
      </c>
      <c r="M9">
        <v>8.08</v>
      </c>
      <c r="N9" t="str">
        <v>Full Time</v>
      </c>
    </row>
    <row r="10" spans="1:14" x14ac:dyDescent="0.35">
      <c r="A10" t="str">
        <v>TN04775</v>
      </c>
      <c r="B10" t="str">
        <v>Hridaynath</v>
      </c>
      <c r="C10">
        <v>0</v>
      </c>
      <c r="D10" t="str">
        <v>Tendulkar</v>
      </c>
      <c r="E10" t="str">
        <v>Female</v>
      </c>
      <c r="F10" t="str">
        <v>Legal</v>
      </c>
      <c r="G10">
        <v>31089.22</v>
      </c>
      <c r="H10" t="str">
        <v>Under 50K</v>
      </c>
      <c r="I10" s="19">
        <v>43776</v>
      </c>
      <c r="J10">
        <v>1</v>
      </c>
      <c r="K10" t="str">
        <v>Fixed Term</v>
      </c>
      <c r="L10" t="str">
        <v>Chennai, India</v>
      </c>
      <c r="M10">
        <v>6.76</v>
      </c>
      <c r="N10" t="str">
        <v>Full Time</v>
      </c>
    </row>
    <row r="12" spans="1:14" x14ac:dyDescent="0.35">
      <c r="A12" t="s">
        <v>967</v>
      </c>
    </row>
    <row r="13" spans="1:14" x14ac:dyDescent="0.35">
      <c r="A13" t="s">
        <v>968</v>
      </c>
    </row>
    <row r="14" spans="1:14" x14ac:dyDescent="0.35">
      <c r="A14" t="str" cm="1">
        <f t="array" ref="A14:N14">Employee_Processed_Data[#Headers]</f>
        <v>Emp ID</v>
      </c>
      <c r="B14" t="str">
        <v>First Name</v>
      </c>
      <c r="C14" t="str">
        <v>Middle Name</v>
      </c>
      <c r="D14" t="str">
        <v>Last Name</v>
      </c>
      <c r="E14" t="str">
        <v>Gender</v>
      </c>
      <c r="F14" t="str">
        <v>Department</v>
      </c>
      <c r="G14" t="str">
        <v>Salary</v>
      </c>
      <c r="H14" t="str">
        <v>Salary Bins</v>
      </c>
      <c r="I14" s="19" t="str">
        <v>Start Date</v>
      </c>
      <c r="J14" t="str">
        <v>FTE</v>
      </c>
      <c r="K14" t="str">
        <v>Employee type</v>
      </c>
      <c r="L14" t="str">
        <v>Work location</v>
      </c>
      <c r="M14" t="str">
        <v>Tenure</v>
      </c>
      <c r="N14" t="str">
        <v>Work Type</v>
      </c>
    </row>
    <row r="15" spans="1:14" x14ac:dyDescent="0.35">
      <c r="A15" t="str" cm="1">
        <f t="array" ref="A15:N36">_xlfn._xlws.FILTER(Employee_Processed_Data[],MONTH(Employee_Processed_Data[Start Date])=3)</f>
        <v>SQ04612</v>
      </c>
      <c r="B15" t="str">
        <v>Mick</v>
      </c>
      <c r="C15">
        <v>0</v>
      </c>
      <c r="D15" t="str">
        <v>Spraberry</v>
      </c>
      <c r="E15" t="str">
        <v>Female</v>
      </c>
      <c r="F15" t="str">
        <v>Services</v>
      </c>
      <c r="G15">
        <v>120000</v>
      </c>
      <c r="H15" t="str">
        <v>Above 100K</v>
      </c>
      <c r="I15" s="19">
        <v>43902</v>
      </c>
      <c r="J15">
        <v>0.9</v>
      </c>
      <c r="K15" t="str">
        <v>Permanent</v>
      </c>
      <c r="L15" t="str">
        <v>Remote</v>
      </c>
      <c r="M15">
        <v>6.42</v>
      </c>
      <c r="N15" t="str">
        <v>Part Time</v>
      </c>
    </row>
    <row r="16" spans="1:14" x14ac:dyDescent="0.35">
      <c r="A16" t="str">
        <v>VT01803</v>
      </c>
      <c r="B16" t="str">
        <v>Freddy</v>
      </c>
      <c r="C16">
        <v>0</v>
      </c>
      <c r="D16" t="str">
        <v>Linford</v>
      </c>
      <c r="E16" t="str">
        <v>Female</v>
      </c>
      <c r="F16" t="str">
        <v>Training</v>
      </c>
      <c r="G16">
        <v>93128.34</v>
      </c>
      <c r="H16" t="str">
        <v>50K-100K</v>
      </c>
      <c r="I16" s="19">
        <v>43164</v>
      </c>
      <c r="J16">
        <v>1</v>
      </c>
      <c r="K16" t="str">
        <v>Fixed Term</v>
      </c>
      <c r="L16" t="str">
        <v>Seattle, USA</v>
      </c>
      <c r="M16">
        <v>8.44</v>
      </c>
      <c r="N16" t="str">
        <v>Full Time</v>
      </c>
    </row>
    <row r="17" spans="1:14" x14ac:dyDescent="0.35">
      <c r="A17" t="str">
        <v>VT02417</v>
      </c>
      <c r="B17" t="str">
        <v>Evangelina</v>
      </c>
      <c r="C17">
        <v>0</v>
      </c>
      <c r="D17" t="str">
        <v>Lergan</v>
      </c>
      <c r="E17" t="str">
        <v>Male</v>
      </c>
      <c r="F17" t="str">
        <v>Support</v>
      </c>
      <c r="G17">
        <v>61214.26</v>
      </c>
      <c r="H17" t="str">
        <v>50K-100K</v>
      </c>
      <c r="I17" s="19">
        <v>43171</v>
      </c>
      <c r="J17">
        <v>1</v>
      </c>
      <c r="K17" t="str">
        <v>Temporary</v>
      </c>
      <c r="L17" t="str">
        <v>Auckland, New Zealand</v>
      </c>
      <c r="M17">
        <v>8.42</v>
      </c>
      <c r="N17" t="str">
        <v>Full Time</v>
      </c>
    </row>
    <row r="18" spans="1:14" x14ac:dyDescent="0.35">
      <c r="A18" t="str">
        <v>PR00893</v>
      </c>
      <c r="B18" t="str">
        <v>Vasavi</v>
      </c>
      <c r="C18">
        <v>0</v>
      </c>
      <c r="D18" t="str">
        <v>Veeravasarapu</v>
      </c>
      <c r="E18" t="str">
        <v>Male</v>
      </c>
      <c r="F18" t="str">
        <v>Human Resources</v>
      </c>
      <c r="G18">
        <v>50310.09</v>
      </c>
      <c r="H18" t="str">
        <v>50K-100K</v>
      </c>
      <c r="I18" s="19">
        <v>44285</v>
      </c>
      <c r="J18">
        <v>0.4</v>
      </c>
      <c r="K18" t="str">
        <v>Permanent</v>
      </c>
      <c r="L18" t="str">
        <v>Hyderabad, India</v>
      </c>
      <c r="M18">
        <v>5.37</v>
      </c>
      <c r="N18" t="str">
        <v>Part Time</v>
      </c>
    </row>
    <row r="19" spans="1:14" x14ac:dyDescent="0.35">
      <c r="A19" t="str">
        <v>VT03421</v>
      </c>
      <c r="B19" t="str">
        <v>Alic</v>
      </c>
      <c r="C19">
        <v>0</v>
      </c>
      <c r="D19" t="str">
        <v>Bagg</v>
      </c>
      <c r="E19" t="str">
        <v>Male</v>
      </c>
      <c r="F19" t="str">
        <v>Legal</v>
      </c>
      <c r="G19">
        <v>113747.56</v>
      </c>
      <c r="H19" t="str">
        <v>Above 100K</v>
      </c>
      <c r="I19" s="19">
        <v>44270</v>
      </c>
      <c r="J19">
        <v>0.7</v>
      </c>
      <c r="K19" t="str">
        <v>Temporary</v>
      </c>
      <c r="L19" t="str">
        <v>Columbus, USA</v>
      </c>
      <c r="M19">
        <v>5.41</v>
      </c>
      <c r="N19" t="str">
        <v>Part Time</v>
      </c>
    </row>
    <row r="20" spans="1:14" x14ac:dyDescent="0.35">
      <c r="A20" t="str">
        <v>VT03993</v>
      </c>
      <c r="B20" t="str">
        <v>Dulce</v>
      </c>
      <c r="C20">
        <v>0</v>
      </c>
      <c r="D20" t="str">
        <v>Colbeck</v>
      </c>
      <c r="E20" t="str">
        <v>Male</v>
      </c>
      <c r="F20" t="str">
        <v>Human Resources</v>
      </c>
      <c r="G20">
        <v>83396.5</v>
      </c>
      <c r="H20" t="str">
        <v>50K-100K</v>
      </c>
      <c r="I20" s="19">
        <v>44285</v>
      </c>
      <c r="J20">
        <v>1</v>
      </c>
      <c r="K20" t="str">
        <v>Temporary</v>
      </c>
      <c r="L20" t="str">
        <v>Auckland, New Zealand</v>
      </c>
      <c r="M20">
        <v>5.37</v>
      </c>
      <c r="N20" t="str">
        <v>Full Time</v>
      </c>
    </row>
    <row r="21" spans="1:14" x14ac:dyDescent="0.35">
      <c r="A21" t="str">
        <v>SQ01519</v>
      </c>
      <c r="B21" t="str">
        <v>Caron</v>
      </c>
      <c r="C21">
        <v>0</v>
      </c>
      <c r="D21" t="str">
        <v>Kolakovic</v>
      </c>
      <c r="E21" t="str">
        <v>Male</v>
      </c>
      <c r="F21" t="str">
        <v>Accounting</v>
      </c>
      <c r="G21">
        <v>49915.14</v>
      </c>
      <c r="H21" t="str">
        <v>Under 50K</v>
      </c>
      <c r="I21" s="19">
        <v>43550</v>
      </c>
      <c r="J21">
        <v>1</v>
      </c>
      <c r="K21" t="str">
        <v>Permanent</v>
      </c>
      <c r="L21" t="str">
        <v>Remote</v>
      </c>
      <c r="M21">
        <v>7.38</v>
      </c>
      <c r="N21" t="str">
        <v>Full Time</v>
      </c>
    </row>
    <row r="22" spans="1:14" x14ac:dyDescent="0.35">
      <c r="A22" t="str">
        <v>VT04028</v>
      </c>
      <c r="B22" t="str">
        <v>Michale</v>
      </c>
      <c r="C22">
        <v>0</v>
      </c>
      <c r="D22" t="str">
        <v>Rolf</v>
      </c>
      <c r="E22" t="str">
        <v>Male</v>
      </c>
      <c r="F22" t="str">
        <v>Services</v>
      </c>
      <c r="G22">
        <v>111815.49</v>
      </c>
      <c r="H22" t="str">
        <v>Above 100K</v>
      </c>
      <c r="I22" s="19">
        <v>43895</v>
      </c>
      <c r="J22">
        <v>0.7</v>
      </c>
      <c r="K22" t="str">
        <v>Temporary</v>
      </c>
      <c r="L22" t="str">
        <v>Remote</v>
      </c>
      <c r="M22">
        <v>6.44</v>
      </c>
      <c r="N22" t="str">
        <v>Part Time</v>
      </c>
    </row>
    <row r="23" spans="1:14" x14ac:dyDescent="0.35">
      <c r="A23" t="str">
        <v>VT04028</v>
      </c>
      <c r="B23" t="str">
        <v>Michale</v>
      </c>
      <c r="C23">
        <v>0</v>
      </c>
      <c r="D23" t="str">
        <v>Rolf</v>
      </c>
      <c r="E23" t="str">
        <v>Male</v>
      </c>
      <c r="F23" t="str">
        <v>Services</v>
      </c>
      <c r="G23">
        <v>111815.49</v>
      </c>
      <c r="H23" t="str">
        <v>Above 100K</v>
      </c>
      <c r="I23" s="19">
        <v>43895</v>
      </c>
      <c r="J23">
        <v>0.7</v>
      </c>
      <c r="K23" t="str">
        <v>Temporary</v>
      </c>
      <c r="L23" t="str">
        <v>Remote</v>
      </c>
      <c r="M23">
        <v>6.44</v>
      </c>
      <c r="N23" t="str">
        <v>Part Time</v>
      </c>
    </row>
    <row r="24" spans="1:14" x14ac:dyDescent="0.35">
      <c r="A24" t="str">
        <v>SQ00022</v>
      </c>
      <c r="B24" t="str">
        <v>Carlin</v>
      </c>
      <c r="C24">
        <v>0</v>
      </c>
      <c r="D24" t="str">
        <v>Demke</v>
      </c>
      <c r="E24" t="str">
        <v>Male</v>
      </c>
      <c r="F24" t="str">
        <v>Business Development</v>
      </c>
      <c r="G24">
        <v>110042.37</v>
      </c>
      <c r="H24" t="str">
        <v>Above 100K</v>
      </c>
      <c r="I24" s="19">
        <v>43914</v>
      </c>
      <c r="J24">
        <v>1</v>
      </c>
      <c r="K24" t="str">
        <v>Permanent</v>
      </c>
      <c r="L24" t="str">
        <v>Columbus, USA</v>
      </c>
      <c r="M24">
        <v>6.38</v>
      </c>
      <c r="N24" t="str">
        <v>Full Time</v>
      </c>
    </row>
    <row r="25" spans="1:14" x14ac:dyDescent="0.35">
      <c r="A25" t="str">
        <v>TN01256</v>
      </c>
      <c r="B25" t="str">
        <v>Shattesh</v>
      </c>
      <c r="C25">
        <v>0</v>
      </c>
      <c r="D25" t="str">
        <v>Utpat</v>
      </c>
      <c r="E25" t="str">
        <v>Male</v>
      </c>
      <c r="F25" t="str">
        <v>Legal</v>
      </c>
      <c r="G25">
        <v>28481.16</v>
      </c>
      <c r="H25" t="str">
        <v>Under 50K</v>
      </c>
      <c r="I25" s="19">
        <v>43916</v>
      </c>
      <c r="J25">
        <v>1</v>
      </c>
      <c r="K25" t="str">
        <v>Permanent</v>
      </c>
      <c r="L25" t="str">
        <v>Hyderabad, India</v>
      </c>
      <c r="M25">
        <v>6.38</v>
      </c>
      <c r="N25" t="str">
        <v>Full Time</v>
      </c>
    </row>
    <row r="26" spans="1:14" x14ac:dyDescent="0.35">
      <c r="A26" t="str">
        <v>PR00746</v>
      </c>
      <c r="B26" t="str">
        <v>Hogan</v>
      </c>
      <c r="C26">
        <v>0</v>
      </c>
      <c r="D26" t="str">
        <v>Iles</v>
      </c>
      <c r="E26" t="str">
        <v>Female</v>
      </c>
      <c r="F26" t="str">
        <v>Accounting</v>
      </c>
      <c r="G26">
        <v>114177.23</v>
      </c>
      <c r="H26" t="str">
        <v>Above 100K</v>
      </c>
      <c r="I26" s="19">
        <v>43908</v>
      </c>
      <c r="J26">
        <v>1</v>
      </c>
      <c r="K26" t="str">
        <v>Permanent</v>
      </c>
      <c r="L26" t="str">
        <v>Wellington, New Zealand</v>
      </c>
      <c r="M26">
        <v>6.4</v>
      </c>
      <c r="N26" t="str">
        <v>Full Time</v>
      </c>
    </row>
    <row r="27" spans="1:14" x14ac:dyDescent="0.35">
      <c r="A27" t="str">
        <v>SQ00105</v>
      </c>
      <c r="B27" t="str">
        <v>Sarayu</v>
      </c>
      <c r="C27">
        <v>0</v>
      </c>
      <c r="D27" t="str">
        <v>Ragunathan</v>
      </c>
      <c r="E27" t="str">
        <v>Female</v>
      </c>
      <c r="F27" t="str">
        <v>Training</v>
      </c>
      <c r="G27">
        <v>86010.54</v>
      </c>
      <c r="H27" t="str">
        <v>50K-100K</v>
      </c>
      <c r="I27" s="19">
        <v>43164</v>
      </c>
      <c r="J27">
        <v>1</v>
      </c>
      <c r="K27" t="str">
        <v>Permanent</v>
      </c>
      <c r="L27" t="str">
        <v>Chennai, India</v>
      </c>
      <c r="M27">
        <v>8.44</v>
      </c>
      <c r="N27" t="str">
        <v>Full Time</v>
      </c>
    </row>
    <row r="28" spans="1:14" x14ac:dyDescent="0.35">
      <c r="A28" t="str">
        <v>VT04415</v>
      </c>
      <c r="B28" t="str">
        <v>Malory</v>
      </c>
      <c r="C28">
        <v>0</v>
      </c>
      <c r="D28" t="str">
        <v>Biles</v>
      </c>
      <c r="E28" t="str">
        <v>Female</v>
      </c>
      <c r="F28" t="str">
        <v>Training</v>
      </c>
      <c r="G28">
        <v>58744.17</v>
      </c>
      <c r="H28" t="str">
        <v>50K-100K</v>
      </c>
      <c r="I28" s="19">
        <v>43171</v>
      </c>
      <c r="J28">
        <v>1</v>
      </c>
      <c r="K28" t="str">
        <v>Temporary</v>
      </c>
      <c r="L28" t="str">
        <v>Columbus, USA</v>
      </c>
      <c r="M28">
        <v>8.42</v>
      </c>
      <c r="N28" t="str">
        <v>Full Time</v>
      </c>
    </row>
    <row r="29" spans="1:14" x14ac:dyDescent="0.35">
      <c r="A29" t="str">
        <v>TN01601</v>
      </c>
      <c r="B29" t="str">
        <v>Melva</v>
      </c>
      <c r="C29">
        <v>0</v>
      </c>
      <c r="D29" t="str">
        <v>Jickells</v>
      </c>
      <c r="E29" t="str">
        <v>Female</v>
      </c>
      <c r="F29" t="str">
        <v>Product Management</v>
      </c>
      <c r="G29">
        <v>68795.48</v>
      </c>
      <c r="H29" t="str">
        <v>50K-100K</v>
      </c>
      <c r="I29" s="19">
        <v>44277</v>
      </c>
      <c r="J29">
        <v>0.2</v>
      </c>
      <c r="K29" t="str">
        <v>Permanent</v>
      </c>
      <c r="L29" t="str">
        <v>Remote</v>
      </c>
      <c r="M29">
        <v>5.39</v>
      </c>
      <c r="N29" t="str">
        <v>Part Time</v>
      </c>
    </row>
    <row r="30" spans="1:14" x14ac:dyDescent="0.35">
      <c r="A30" t="str">
        <v>TN04892</v>
      </c>
      <c r="B30" t="str">
        <v>Luca</v>
      </c>
      <c r="C30">
        <v>0</v>
      </c>
      <c r="D30" t="str">
        <v>Wolstenholme</v>
      </c>
      <c r="E30" t="str">
        <v>Male</v>
      </c>
      <c r="F30" t="str">
        <v>Engineering</v>
      </c>
      <c r="G30">
        <v>53184.02</v>
      </c>
      <c r="H30" t="str">
        <v>50K-100K</v>
      </c>
      <c r="I30" s="19">
        <v>43180</v>
      </c>
      <c r="J30">
        <v>1</v>
      </c>
      <c r="K30" t="str">
        <v>Fixed Term</v>
      </c>
      <c r="L30" t="str">
        <v>Remote</v>
      </c>
      <c r="M30">
        <v>8.39</v>
      </c>
      <c r="N30" t="str">
        <v>Full Time</v>
      </c>
    </row>
    <row r="31" spans="1:14" x14ac:dyDescent="0.35">
      <c r="A31" t="str">
        <v>VT01762</v>
      </c>
      <c r="B31" t="str">
        <v>Geena</v>
      </c>
      <c r="C31">
        <v>0</v>
      </c>
      <c r="D31" t="str">
        <v>Raghavanpillai</v>
      </c>
      <c r="E31" t="str">
        <v>Male</v>
      </c>
      <c r="F31" t="str">
        <v>Accounting</v>
      </c>
      <c r="G31">
        <v>102515.81</v>
      </c>
      <c r="H31" t="str">
        <v>Above 100K</v>
      </c>
      <c r="I31" s="19">
        <v>43902</v>
      </c>
      <c r="J31">
        <v>1</v>
      </c>
      <c r="K31" t="str">
        <v>Fixed Term</v>
      </c>
      <c r="L31" t="str">
        <v>Chennai, India</v>
      </c>
      <c r="M31">
        <v>6.42</v>
      </c>
      <c r="N31" t="str">
        <v>Full Time</v>
      </c>
    </row>
    <row r="32" spans="1:14" x14ac:dyDescent="0.35">
      <c r="A32" t="str">
        <v>TN01601</v>
      </c>
      <c r="B32" t="str">
        <v>Melva</v>
      </c>
      <c r="C32">
        <v>0</v>
      </c>
      <c r="D32" t="str">
        <v>Jickells</v>
      </c>
      <c r="E32" t="str">
        <v>Female</v>
      </c>
      <c r="F32" t="str">
        <v>Product Management</v>
      </c>
      <c r="G32">
        <v>68795.48</v>
      </c>
      <c r="H32" t="str">
        <v>50K-100K</v>
      </c>
      <c r="I32" s="19">
        <v>44277</v>
      </c>
      <c r="J32">
        <v>0.2</v>
      </c>
      <c r="K32" t="str">
        <v>Permanent</v>
      </c>
      <c r="L32" t="str">
        <v>Remote</v>
      </c>
      <c r="M32">
        <v>5.39</v>
      </c>
      <c r="N32" t="str">
        <v>Part Time</v>
      </c>
    </row>
    <row r="33" spans="1:14" x14ac:dyDescent="0.35">
      <c r="A33" t="str">
        <v>TN01256</v>
      </c>
      <c r="B33" t="str">
        <v>Sawini</v>
      </c>
      <c r="C33">
        <v>0</v>
      </c>
      <c r="D33" t="str">
        <v>Chandan</v>
      </c>
      <c r="E33" t="str">
        <v>Male</v>
      </c>
      <c r="F33" t="str">
        <v>Legal</v>
      </c>
      <c r="G33">
        <v>28481.16</v>
      </c>
      <c r="H33" t="str">
        <v>Under 50K</v>
      </c>
      <c r="I33" s="19">
        <v>43916</v>
      </c>
      <c r="J33">
        <v>1</v>
      </c>
      <c r="K33" t="str">
        <v>Permanent</v>
      </c>
      <c r="L33" t="str">
        <v>Hyderabad, India</v>
      </c>
      <c r="M33">
        <v>6.38</v>
      </c>
      <c r="N33" t="str">
        <v>Full Time</v>
      </c>
    </row>
    <row r="34" spans="1:14" x14ac:dyDescent="0.35">
      <c r="A34" t="str">
        <v>SQ03112</v>
      </c>
      <c r="B34" t="str">
        <v>Kantimoy</v>
      </c>
      <c r="C34">
        <v>0</v>
      </c>
      <c r="D34" t="str">
        <v>Pritish</v>
      </c>
      <c r="E34" t="str">
        <v>Male</v>
      </c>
      <c r="F34" t="str">
        <v>Product Management</v>
      </c>
      <c r="G34">
        <v>77743.149999999994</v>
      </c>
      <c r="H34" t="str">
        <v>50K-100K</v>
      </c>
      <c r="I34" s="19">
        <v>43920</v>
      </c>
      <c r="J34">
        <v>1</v>
      </c>
      <c r="K34" t="str">
        <v>Permanent</v>
      </c>
      <c r="L34" t="str">
        <v>Chennai, India</v>
      </c>
      <c r="M34">
        <v>6.37</v>
      </c>
      <c r="N34" t="str">
        <v>Full Time</v>
      </c>
    </row>
    <row r="35" spans="1:14" x14ac:dyDescent="0.35">
      <c r="A35" t="str">
        <v>VT03421</v>
      </c>
      <c r="B35" t="str">
        <v>Alic</v>
      </c>
      <c r="C35">
        <v>0</v>
      </c>
      <c r="D35" t="str">
        <v>Bagg</v>
      </c>
      <c r="E35" t="str">
        <v>Male</v>
      </c>
      <c r="F35" t="str">
        <v>Legal</v>
      </c>
      <c r="G35">
        <v>113747.56</v>
      </c>
      <c r="H35" t="str">
        <v>Above 100K</v>
      </c>
      <c r="I35" s="19">
        <v>44270</v>
      </c>
      <c r="J35">
        <v>0.7</v>
      </c>
      <c r="K35" t="str">
        <v>Temporary</v>
      </c>
      <c r="L35" t="str">
        <v>Columbus, USA</v>
      </c>
      <c r="M35">
        <v>5.41</v>
      </c>
      <c r="N35" t="str">
        <v>Part Time</v>
      </c>
    </row>
    <row r="36" spans="1:14" x14ac:dyDescent="0.35">
      <c r="A36" t="str">
        <v>SQ03625</v>
      </c>
      <c r="B36" t="str">
        <v>Fidela</v>
      </c>
      <c r="C36">
        <v>0</v>
      </c>
      <c r="D36" t="str">
        <v>Artis</v>
      </c>
      <c r="E36" t="str">
        <v>Female</v>
      </c>
      <c r="F36" t="str">
        <v>Sales</v>
      </c>
      <c r="G36">
        <v>78020.39</v>
      </c>
      <c r="H36" t="str">
        <v>50K-100K</v>
      </c>
      <c r="I36" s="19">
        <v>43899</v>
      </c>
      <c r="J36">
        <v>1</v>
      </c>
      <c r="K36" t="str">
        <v>Permanent</v>
      </c>
      <c r="L36" t="str">
        <v>Remote</v>
      </c>
      <c r="M36">
        <v>6.42</v>
      </c>
      <c r="N36" t="str">
        <v>Full Time</v>
      </c>
    </row>
    <row r="38" spans="1:14" x14ac:dyDescent="0.35">
      <c r="A38" t="s">
        <v>969</v>
      </c>
    </row>
    <row r="39" spans="1:14" x14ac:dyDescent="0.35">
      <c r="A39" t="str" cm="1">
        <f t="array" ref="A39:N60">_xlfn._xlws.FILTER(Employee_Processed_Data[],TEXT(Employee_Processed_Data[Start Date],"mmm")="Mar")</f>
        <v>SQ04612</v>
      </c>
      <c r="B39" t="str">
        <v>Mick</v>
      </c>
      <c r="C39">
        <v>0</v>
      </c>
      <c r="D39" t="str">
        <v>Spraberry</v>
      </c>
      <c r="E39" t="str">
        <v>Female</v>
      </c>
      <c r="F39" t="str">
        <v>Services</v>
      </c>
      <c r="G39">
        <v>120000</v>
      </c>
      <c r="H39" t="str">
        <v>Above 100K</v>
      </c>
      <c r="I39" s="19">
        <v>43902</v>
      </c>
      <c r="J39">
        <v>0.9</v>
      </c>
      <c r="K39" t="str">
        <v>Permanent</v>
      </c>
      <c r="L39" t="str">
        <v>Remote</v>
      </c>
      <c r="M39">
        <v>6.42</v>
      </c>
      <c r="N39" t="str">
        <v>Part Time</v>
      </c>
    </row>
    <row r="40" spans="1:14" x14ac:dyDescent="0.35">
      <c r="A40" t="str">
        <v>VT01803</v>
      </c>
      <c r="B40" t="str">
        <v>Freddy</v>
      </c>
      <c r="C40">
        <v>0</v>
      </c>
      <c r="D40" t="str">
        <v>Linford</v>
      </c>
      <c r="E40" t="str">
        <v>Female</v>
      </c>
      <c r="F40" t="str">
        <v>Training</v>
      </c>
      <c r="G40">
        <v>93128.34</v>
      </c>
      <c r="H40" t="str">
        <v>50K-100K</v>
      </c>
      <c r="I40" s="19">
        <v>43164</v>
      </c>
      <c r="J40">
        <v>1</v>
      </c>
      <c r="K40" t="str">
        <v>Fixed Term</v>
      </c>
      <c r="L40" t="str">
        <v>Seattle, USA</v>
      </c>
      <c r="M40">
        <v>8.44</v>
      </c>
      <c r="N40" t="str">
        <v>Full Time</v>
      </c>
    </row>
    <row r="41" spans="1:14" x14ac:dyDescent="0.35">
      <c r="A41" t="str">
        <v>VT02417</v>
      </c>
      <c r="B41" t="str">
        <v>Evangelina</v>
      </c>
      <c r="C41">
        <v>0</v>
      </c>
      <c r="D41" t="str">
        <v>Lergan</v>
      </c>
      <c r="E41" t="str">
        <v>Male</v>
      </c>
      <c r="F41" t="str">
        <v>Support</v>
      </c>
      <c r="G41">
        <v>61214.26</v>
      </c>
      <c r="H41" t="str">
        <v>50K-100K</v>
      </c>
      <c r="I41" s="19">
        <v>43171</v>
      </c>
      <c r="J41">
        <v>1</v>
      </c>
      <c r="K41" t="str">
        <v>Temporary</v>
      </c>
      <c r="L41" t="str">
        <v>Auckland, New Zealand</v>
      </c>
      <c r="M41">
        <v>8.42</v>
      </c>
      <c r="N41" t="str">
        <v>Full Time</v>
      </c>
    </row>
    <row r="42" spans="1:14" x14ac:dyDescent="0.35">
      <c r="A42" t="str">
        <v>PR00893</v>
      </c>
      <c r="B42" t="str">
        <v>Vasavi</v>
      </c>
      <c r="C42">
        <v>0</v>
      </c>
      <c r="D42" t="str">
        <v>Veeravasarapu</v>
      </c>
      <c r="E42" t="str">
        <v>Male</v>
      </c>
      <c r="F42" t="str">
        <v>Human Resources</v>
      </c>
      <c r="G42">
        <v>50310.09</v>
      </c>
      <c r="H42" t="str">
        <v>50K-100K</v>
      </c>
      <c r="I42" s="19">
        <v>44285</v>
      </c>
      <c r="J42">
        <v>0.4</v>
      </c>
      <c r="K42" t="str">
        <v>Permanent</v>
      </c>
      <c r="L42" t="str">
        <v>Hyderabad, India</v>
      </c>
      <c r="M42">
        <v>5.37</v>
      </c>
      <c r="N42" t="str">
        <v>Part Time</v>
      </c>
    </row>
    <row r="43" spans="1:14" x14ac:dyDescent="0.35">
      <c r="A43" t="str">
        <v>VT03421</v>
      </c>
      <c r="B43" t="str">
        <v>Alic</v>
      </c>
      <c r="C43">
        <v>0</v>
      </c>
      <c r="D43" t="str">
        <v>Bagg</v>
      </c>
      <c r="E43" t="str">
        <v>Male</v>
      </c>
      <c r="F43" t="str">
        <v>Legal</v>
      </c>
      <c r="G43">
        <v>113747.56</v>
      </c>
      <c r="H43" t="str">
        <v>Above 100K</v>
      </c>
      <c r="I43" s="19">
        <v>44270</v>
      </c>
      <c r="J43">
        <v>0.7</v>
      </c>
      <c r="K43" t="str">
        <v>Temporary</v>
      </c>
      <c r="L43" t="str">
        <v>Columbus, USA</v>
      </c>
      <c r="M43">
        <v>5.41</v>
      </c>
      <c r="N43" t="str">
        <v>Part Time</v>
      </c>
    </row>
    <row r="44" spans="1:14" x14ac:dyDescent="0.35">
      <c r="A44" t="str">
        <v>VT03993</v>
      </c>
      <c r="B44" t="str">
        <v>Dulce</v>
      </c>
      <c r="C44">
        <v>0</v>
      </c>
      <c r="D44" t="str">
        <v>Colbeck</v>
      </c>
      <c r="E44" t="str">
        <v>Male</v>
      </c>
      <c r="F44" t="str">
        <v>Human Resources</v>
      </c>
      <c r="G44">
        <v>83396.5</v>
      </c>
      <c r="H44" t="str">
        <v>50K-100K</v>
      </c>
      <c r="I44" s="19">
        <v>44285</v>
      </c>
      <c r="J44">
        <v>1</v>
      </c>
      <c r="K44" t="str">
        <v>Temporary</v>
      </c>
      <c r="L44" t="str">
        <v>Auckland, New Zealand</v>
      </c>
      <c r="M44">
        <v>5.37</v>
      </c>
      <c r="N44" t="str">
        <v>Full Time</v>
      </c>
    </row>
    <row r="45" spans="1:14" x14ac:dyDescent="0.35">
      <c r="A45" t="str">
        <v>SQ01519</v>
      </c>
      <c r="B45" t="str">
        <v>Caron</v>
      </c>
      <c r="C45">
        <v>0</v>
      </c>
      <c r="D45" t="str">
        <v>Kolakovic</v>
      </c>
      <c r="E45" t="str">
        <v>Male</v>
      </c>
      <c r="F45" t="str">
        <v>Accounting</v>
      </c>
      <c r="G45">
        <v>49915.14</v>
      </c>
      <c r="H45" t="str">
        <v>Under 50K</v>
      </c>
      <c r="I45" s="19">
        <v>43550</v>
      </c>
      <c r="J45">
        <v>1</v>
      </c>
      <c r="K45" t="str">
        <v>Permanent</v>
      </c>
      <c r="L45" t="str">
        <v>Remote</v>
      </c>
      <c r="M45">
        <v>7.38</v>
      </c>
      <c r="N45" t="str">
        <v>Full Time</v>
      </c>
    </row>
    <row r="46" spans="1:14" x14ac:dyDescent="0.35">
      <c r="A46" t="str">
        <v>VT04028</v>
      </c>
      <c r="B46" t="str">
        <v>Michale</v>
      </c>
      <c r="C46">
        <v>0</v>
      </c>
      <c r="D46" t="str">
        <v>Rolf</v>
      </c>
      <c r="E46" t="str">
        <v>Male</v>
      </c>
      <c r="F46" t="str">
        <v>Services</v>
      </c>
      <c r="G46">
        <v>111815.49</v>
      </c>
      <c r="H46" t="str">
        <v>Above 100K</v>
      </c>
      <c r="I46" s="19">
        <v>43895</v>
      </c>
      <c r="J46">
        <v>0.7</v>
      </c>
      <c r="K46" t="str">
        <v>Temporary</v>
      </c>
      <c r="L46" t="str">
        <v>Remote</v>
      </c>
      <c r="M46">
        <v>6.44</v>
      </c>
      <c r="N46" t="str">
        <v>Part Time</v>
      </c>
    </row>
    <row r="47" spans="1:14" x14ac:dyDescent="0.35">
      <c r="A47" t="str">
        <v>VT04028</v>
      </c>
      <c r="B47" t="str">
        <v>Michale</v>
      </c>
      <c r="C47">
        <v>0</v>
      </c>
      <c r="D47" t="str">
        <v>Rolf</v>
      </c>
      <c r="E47" t="str">
        <v>Male</v>
      </c>
      <c r="F47" t="str">
        <v>Services</v>
      </c>
      <c r="G47">
        <v>111815.49</v>
      </c>
      <c r="H47" t="str">
        <v>Above 100K</v>
      </c>
      <c r="I47" s="19">
        <v>43895</v>
      </c>
      <c r="J47">
        <v>0.7</v>
      </c>
      <c r="K47" t="str">
        <v>Temporary</v>
      </c>
      <c r="L47" t="str">
        <v>Remote</v>
      </c>
      <c r="M47">
        <v>6.44</v>
      </c>
      <c r="N47" t="str">
        <v>Part Time</v>
      </c>
    </row>
    <row r="48" spans="1:14" x14ac:dyDescent="0.35">
      <c r="A48" t="str">
        <v>SQ00022</v>
      </c>
      <c r="B48" t="str">
        <v>Carlin</v>
      </c>
      <c r="C48">
        <v>0</v>
      </c>
      <c r="D48" t="str">
        <v>Demke</v>
      </c>
      <c r="E48" t="str">
        <v>Male</v>
      </c>
      <c r="F48" t="str">
        <v>Business Development</v>
      </c>
      <c r="G48">
        <v>110042.37</v>
      </c>
      <c r="H48" t="str">
        <v>Above 100K</v>
      </c>
      <c r="I48" s="19">
        <v>43914</v>
      </c>
      <c r="J48">
        <v>1</v>
      </c>
      <c r="K48" t="str">
        <v>Permanent</v>
      </c>
      <c r="L48" t="str">
        <v>Columbus, USA</v>
      </c>
      <c r="M48">
        <v>6.38</v>
      </c>
      <c r="N48" t="str">
        <v>Full Time</v>
      </c>
    </row>
    <row r="49" spans="1:14" x14ac:dyDescent="0.35">
      <c r="A49" t="str">
        <v>TN01256</v>
      </c>
      <c r="B49" t="str">
        <v>Shattesh</v>
      </c>
      <c r="C49">
        <v>0</v>
      </c>
      <c r="D49" t="str">
        <v>Utpat</v>
      </c>
      <c r="E49" t="str">
        <v>Male</v>
      </c>
      <c r="F49" t="str">
        <v>Legal</v>
      </c>
      <c r="G49">
        <v>28481.16</v>
      </c>
      <c r="H49" t="str">
        <v>Under 50K</v>
      </c>
      <c r="I49" s="19">
        <v>43916</v>
      </c>
      <c r="J49">
        <v>1</v>
      </c>
      <c r="K49" t="str">
        <v>Permanent</v>
      </c>
      <c r="L49" t="str">
        <v>Hyderabad, India</v>
      </c>
      <c r="M49">
        <v>6.38</v>
      </c>
      <c r="N49" t="str">
        <v>Full Time</v>
      </c>
    </row>
    <row r="50" spans="1:14" x14ac:dyDescent="0.35">
      <c r="A50" t="str">
        <v>PR00746</v>
      </c>
      <c r="B50" t="str">
        <v>Hogan</v>
      </c>
      <c r="C50">
        <v>0</v>
      </c>
      <c r="D50" t="str">
        <v>Iles</v>
      </c>
      <c r="E50" t="str">
        <v>Female</v>
      </c>
      <c r="F50" t="str">
        <v>Accounting</v>
      </c>
      <c r="G50">
        <v>114177.23</v>
      </c>
      <c r="H50" t="str">
        <v>Above 100K</v>
      </c>
      <c r="I50" s="19">
        <v>43908</v>
      </c>
      <c r="J50">
        <v>1</v>
      </c>
      <c r="K50" t="str">
        <v>Permanent</v>
      </c>
      <c r="L50" t="str">
        <v>Wellington, New Zealand</v>
      </c>
      <c r="M50">
        <v>6.4</v>
      </c>
      <c r="N50" t="str">
        <v>Full Time</v>
      </c>
    </row>
    <row r="51" spans="1:14" x14ac:dyDescent="0.35">
      <c r="A51" t="str">
        <v>SQ00105</v>
      </c>
      <c r="B51" t="str">
        <v>Sarayu</v>
      </c>
      <c r="C51">
        <v>0</v>
      </c>
      <c r="D51" t="str">
        <v>Ragunathan</v>
      </c>
      <c r="E51" t="str">
        <v>Female</v>
      </c>
      <c r="F51" t="str">
        <v>Training</v>
      </c>
      <c r="G51">
        <v>86010.54</v>
      </c>
      <c r="H51" t="str">
        <v>50K-100K</v>
      </c>
      <c r="I51" s="19">
        <v>43164</v>
      </c>
      <c r="J51">
        <v>1</v>
      </c>
      <c r="K51" t="str">
        <v>Permanent</v>
      </c>
      <c r="L51" t="str">
        <v>Chennai, India</v>
      </c>
      <c r="M51">
        <v>8.44</v>
      </c>
      <c r="N51" t="str">
        <v>Full Time</v>
      </c>
    </row>
    <row r="52" spans="1:14" x14ac:dyDescent="0.35">
      <c r="A52" t="str">
        <v>VT04415</v>
      </c>
      <c r="B52" t="str">
        <v>Malory</v>
      </c>
      <c r="C52">
        <v>0</v>
      </c>
      <c r="D52" t="str">
        <v>Biles</v>
      </c>
      <c r="E52" t="str">
        <v>Female</v>
      </c>
      <c r="F52" t="str">
        <v>Training</v>
      </c>
      <c r="G52">
        <v>58744.17</v>
      </c>
      <c r="H52" t="str">
        <v>50K-100K</v>
      </c>
      <c r="I52" s="19">
        <v>43171</v>
      </c>
      <c r="J52">
        <v>1</v>
      </c>
      <c r="K52" t="str">
        <v>Temporary</v>
      </c>
      <c r="L52" t="str">
        <v>Columbus, USA</v>
      </c>
      <c r="M52">
        <v>8.42</v>
      </c>
      <c r="N52" t="str">
        <v>Full Time</v>
      </c>
    </row>
    <row r="53" spans="1:14" x14ac:dyDescent="0.35">
      <c r="A53" t="str">
        <v>TN01601</v>
      </c>
      <c r="B53" t="str">
        <v>Melva</v>
      </c>
      <c r="C53">
        <v>0</v>
      </c>
      <c r="D53" t="str">
        <v>Jickells</v>
      </c>
      <c r="E53" t="str">
        <v>Female</v>
      </c>
      <c r="F53" t="str">
        <v>Product Management</v>
      </c>
      <c r="G53">
        <v>68795.48</v>
      </c>
      <c r="H53" t="str">
        <v>50K-100K</v>
      </c>
      <c r="I53" s="19">
        <v>44277</v>
      </c>
      <c r="J53">
        <v>0.2</v>
      </c>
      <c r="K53" t="str">
        <v>Permanent</v>
      </c>
      <c r="L53" t="str">
        <v>Remote</v>
      </c>
      <c r="M53">
        <v>5.39</v>
      </c>
      <c r="N53" t="str">
        <v>Part Time</v>
      </c>
    </row>
    <row r="54" spans="1:14" x14ac:dyDescent="0.35">
      <c r="A54" t="str">
        <v>TN04892</v>
      </c>
      <c r="B54" t="str">
        <v>Luca</v>
      </c>
      <c r="C54">
        <v>0</v>
      </c>
      <c r="D54" t="str">
        <v>Wolstenholme</v>
      </c>
      <c r="E54" t="str">
        <v>Male</v>
      </c>
      <c r="F54" t="str">
        <v>Engineering</v>
      </c>
      <c r="G54">
        <v>53184.02</v>
      </c>
      <c r="H54" t="str">
        <v>50K-100K</v>
      </c>
      <c r="I54" s="19">
        <v>43180</v>
      </c>
      <c r="J54">
        <v>1</v>
      </c>
      <c r="K54" t="str">
        <v>Fixed Term</v>
      </c>
      <c r="L54" t="str">
        <v>Remote</v>
      </c>
      <c r="M54">
        <v>8.39</v>
      </c>
      <c r="N54" t="str">
        <v>Full Time</v>
      </c>
    </row>
    <row r="55" spans="1:14" x14ac:dyDescent="0.35">
      <c r="A55" t="str">
        <v>VT01762</v>
      </c>
      <c r="B55" t="str">
        <v>Geena</v>
      </c>
      <c r="C55">
        <v>0</v>
      </c>
      <c r="D55" t="str">
        <v>Raghavanpillai</v>
      </c>
      <c r="E55" t="str">
        <v>Male</v>
      </c>
      <c r="F55" t="str">
        <v>Accounting</v>
      </c>
      <c r="G55">
        <v>102515.81</v>
      </c>
      <c r="H55" t="str">
        <v>Above 100K</v>
      </c>
      <c r="I55" s="19">
        <v>43902</v>
      </c>
      <c r="J55">
        <v>1</v>
      </c>
      <c r="K55" t="str">
        <v>Fixed Term</v>
      </c>
      <c r="L55" t="str">
        <v>Chennai, India</v>
      </c>
      <c r="M55">
        <v>6.42</v>
      </c>
      <c r="N55" t="str">
        <v>Full Time</v>
      </c>
    </row>
    <row r="56" spans="1:14" x14ac:dyDescent="0.35">
      <c r="A56" t="str">
        <v>TN01601</v>
      </c>
      <c r="B56" t="str">
        <v>Melva</v>
      </c>
      <c r="C56">
        <v>0</v>
      </c>
      <c r="D56" t="str">
        <v>Jickells</v>
      </c>
      <c r="E56" t="str">
        <v>Female</v>
      </c>
      <c r="F56" t="str">
        <v>Product Management</v>
      </c>
      <c r="G56">
        <v>68795.48</v>
      </c>
      <c r="H56" t="str">
        <v>50K-100K</v>
      </c>
      <c r="I56" s="19">
        <v>44277</v>
      </c>
      <c r="J56">
        <v>0.2</v>
      </c>
      <c r="K56" t="str">
        <v>Permanent</v>
      </c>
      <c r="L56" t="str">
        <v>Remote</v>
      </c>
      <c r="M56">
        <v>5.39</v>
      </c>
      <c r="N56" t="str">
        <v>Part Time</v>
      </c>
    </row>
    <row r="57" spans="1:14" x14ac:dyDescent="0.35">
      <c r="A57" t="str">
        <v>TN01256</v>
      </c>
      <c r="B57" t="str">
        <v>Sawini</v>
      </c>
      <c r="C57">
        <v>0</v>
      </c>
      <c r="D57" t="str">
        <v>Chandan</v>
      </c>
      <c r="E57" t="str">
        <v>Male</v>
      </c>
      <c r="F57" t="str">
        <v>Legal</v>
      </c>
      <c r="G57">
        <v>28481.16</v>
      </c>
      <c r="H57" t="str">
        <v>Under 50K</v>
      </c>
      <c r="I57" s="19">
        <v>43916</v>
      </c>
      <c r="J57">
        <v>1</v>
      </c>
      <c r="K57" t="str">
        <v>Permanent</v>
      </c>
      <c r="L57" t="str">
        <v>Hyderabad, India</v>
      </c>
      <c r="M57">
        <v>6.38</v>
      </c>
      <c r="N57" t="str">
        <v>Full Time</v>
      </c>
    </row>
    <row r="58" spans="1:14" x14ac:dyDescent="0.35">
      <c r="A58" t="str">
        <v>SQ03112</v>
      </c>
      <c r="B58" t="str">
        <v>Kantimoy</v>
      </c>
      <c r="C58">
        <v>0</v>
      </c>
      <c r="D58" t="str">
        <v>Pritish</v>
      </c>
      <c r="E58" t="str">
        <v>Male</v>
      </c>
      <c r="F58" t="str">
        <v>Product Management</v>
      </c>
      <c r="G58">
        <v>77743.149999999994</v>
      </c>
      <c r="H58" t="str">
        <v>50K-100K</v>
      </c>
      <c r="I58" s="19">
        <v>43920</v>
      </c>
      <c r="J58">
        <v>1</v>
      </c>
      <c r="K58" t="str">
        <v>Permanent</v>
      </c>
      <c r="L58" t="str">
        <v>Chennai, India</v>
      </c>
      <c r="M58">
        <v>6.37</v>
      </c>
      <c r="N58" t="str">
        <v>Full Time</v>
      </c>
    </row>
    <row r="59" spans="1:14" x14ac:dyDescent="0.35">
      <c r="A59" t="str">
        <v>VT03421</v>
      </c>
      <c r="B59" t="str">
        <v>Alic</v>
      </c>
      <c r="C59">
        <v>0</v>
      </c>
      <c r="D59" t="str">
        <v>Bagg</v>
      </c>
      <c r="E59" t="str">
        <v>Male</v>
      </c>
      <c r="F59" t="str">
        <v>Legal</v>
      </c>
      <c r="G59">
        <v>113747.56</v>
      </c>
      <c r="H59" t="str">
        <v>Above 100K</v>
      </c>
      <c r="I59" s="19">
        <v>44270</v>
      </c>
      <c r="J59">
        <v>0.7</v>
      </c>
      <c r="K59" t="str">
        <v>Temporary</v>
      </c>
      <c r="L59" t="str">
        <v>Columbus, USA</v>
      </c>
      <c r="M59">
        <v>5.41</v>
      </c>
      <c r="N59" t="str">
        <v>Part Time</v>
      </c>
    </row>
    <row r="60" spans="1:14" x14ac:dyDescent="0.35">
      <c r="A60" t="str">
        <v>SQ03625</v>
      </c>
      <c r="B60" t="str">
        <v>Fidela</v>
      </c>
      <c r="C60">
        <v>0</v>
      </c>
      <c r="D60" t="str">
        <v>Artis</v>
      </c>
      <c r="E60" t="str">
        <v>Female</v>
      </c>
      <c r="F60" t="str">
        <v>Sales</v>
      </c>
      <c r="G60">
        <v>78020.39</v>
      </c>
      <c r="H60" t="str">
        <v>50K-100K</v>
      </c>
      <c r="I60" s="19">
        <v>43899</v>
      </c>
      <c r="J60">
        <v>1</v>
      </c>
      <c r="K60" t="str">
        <v>Permanent</v>
      </c>
      <c r="L60" t="str">
        <v>Remote</v>
      </c>
      <c r="M60">
        <v>6.42</v>
      </c>
      <c r="N60" t="str">
        <v>Full Time</v>
      </c>
    </row>
    <row r="62" spans="1:14" x14ac:dyDescent="0.35">
      <c r="A62" t="s">
        <v>970</v>
      </c>
    </row>
    <row r="63" spans="1:14" x14ac:dyDescent="0.35">
      <c r="A63" t="str" cm="1">
        <f t="array" ref="A63:N63">Employee_Processed_Data[#Headers]</f>
        <v>Emp ID</v>
      </c>
      <c r="B63" t="str">
        <v>First Name</v>
      </c>
      <c r="C63" t="str">
        <v>Middle Name</v>
      </c>
      <c r="D63" t="str">
        <v>Last Name</v>
      </c>
      <c r="E63" t="str">
        <v>Gender</v>
      </c>
      <c r="F63" t="str">
        <v>Department</v>
      </c>
      <c r="G63" t="str">
        <v>Salary</v>
      </c>
      <c r="H63" t="str">
        <v>Salary Bins</v>
      </c>
      <c r="I63" s="19" t="str">
        <v>Start Date</v>
      </c>
      <c r="J63" t="str">
        <v>FTE</v>
      </c>
      <c r="K63" t="str">
        <v>Employee type</v>
      </c>
      <c r="L63" t="str">
        <v>Work location</v>
      </c>
      <c r="M63" t="str">
        <v>Tenure</v>
      </c>
      <c r="N63" t="str">
        <v>Work Type</v>
      </c>
    </row>
    <row r="64" spans="1:14" x14ac:dyDescent="0.35">
      <c r="A64" t="str" cm="1">
        <f t="array" ref="A64:N85">_xlfn._xlws.FILTER(Employee_Processed_Data[],TEXT(Employee_Processed_Data[Start Date],"mmmm")="March")</f>
        <v>SQ04612</v>
      </c>
      <c r="B64" t="str">
        <v>Mick</v>
      </c>
      <c r="C64">
        <v>0</v>
      </c>
      <c r="D64" t="str">
        <v>Spraberry</v>
      </c>
      <c r="E64" t="str">
        <v>Female</v>
      </c>
      <c r="F64" t="str">
        <v>Services</v>
      </c>
      <c r="G64">
        <v>120000</v>
      </c>
      <c r="H64" t="str">
        <v>Above 100K</v>
      </c>
      <c r="I64" s="19">
        <v>43902</v>
      </c>
      <c r="J64">
        <v>0.9</v>
      </c>
      <c r="K64" t="str">
        <v>Permanent</v>
      </c>
      <c r="L64" t="str">
        <v>Remote</v>
      </c>
      <c r="M64">
        <v>6.42</v>
      </c>
      <c r="N64" t="str">
        <v>Part Time</v>
      </c>
    </row>
    <row r="65" spans="1:14" x14ac:dyDescent="0.35">
      <c r="A65" t="str">
        <v>VT01803</v>
      </c>
      <c r="B65" t="str">
        <v>Freddy</v>
      </c>
      <c r="C65">
        <v>0</v>
      </c>
      <c r="D65" t="str">
        <v>Linford</v>
      </c>
      <c r="E65" t="str">
        <v>Female</v>
      </c>
      <c r="F65" t="str">
        <v>Training</v>
      </c>
      <c r="G65">
        <v>93128.34</v>
      </c>
      <c r="H65" t="str">
        <v>50K-100K</v>
      </c>
      <c r="I65" s="19">
        <v>43164</v>
      </c>
      <c r="J65">
        <v>1</v>
      </c>
      <c r="K65" t="str">
        <v>Fixed Term</v>
      </c>
      <c r="L65" t="str">
        <v>Seattle, USA</v>
      </c>
      <c r="M65">
        <v>8.44</v>
      </c>
      <c r="N65" t="str">
        <v>Full Time</v>
      </c>
    </row>
    <row r="66" spans="1:14" x14ac:dyDescent="0.35">
      <c r="A66" t="str">
        <v>VT02417</v>
      </c>
      <c r="B66" t="str">
        <v>Evangelina</v>
      </c>
      <c r="C66">
        <v>0</v>
      </c>
      <c r="D66" t="str">
        <v>Lergan</v>
      </c>
      <c r="E66" t="str">
        <v>Male</v>
      </c>
      <c r="F66" t="str">
        <v>Support</v>
      </c>
      <c r="G66">
        <v>61214.26</v>
      </c>
      <c r="H66" t="str">
        <v>50K-100K</v>
      </c>
      <c r="I66" s="19">
        <v>43171</v>
      </c>
      <c r="J66">
        <v>1</v>
      </c>
      <c r="K66" t="str">
        <v>Temporary</v>
      </c>
      <c r="L66" t="str">
        <v>Auckland, New Zealand</v>
      </c>
      <c r="M66">
        <v>8.42</v>
      </c>
      <c r="N66" t="str">
        <v>Full Time</v>
      </c>
    </row>
    <row r="67" spans="1:14" x14ac:dyDescent="0.35">
      <c r="A67" t="str">
        <v>PR00893</v>
      </c>
      <c r="B67" t="str">
        <v>Vasavi</v>
      </c>
      <c r="C67">
        <v>0</v>
      </c>
      <c r="D67" t="str">
        <v>Veeravasarapu</v>
      </c>
      <c r="E67" t="str">
        <v>Male</v>
      </c>
      <c r="F67" t="str">
        <v>Human Resources</v>
      </c>
      <c r="G67">
        <v>50310.09</v>
      </c>
      <c r="H67" t="str">
        <v>50K-100K</v>
      </c>
      <c r="I67" s="19">
        <v>44285</v>
      </c>
      <c r="J67">
        <v>0.4</v>
      </c>
      <c r="K67" t="str">
        <v>Permanent</v>
      </c>
      <c r="L67" t="str">
        <v>Hyderabad, India</v>
      </c>
      <c r="M67">
        <v>5.37</v>
      </c>
      <c r="N67" t="str">
        <v>Part Time</v>
      </c>
    </row>
    <row r="68" spans="1:14" x14ac:dyDescent="0.35">
      <c r="A68" t="str">
        <v>VT03421</v>
      </c>
      <c r="B68" t="str">
        <v>Alic</v>
      </c>
      <c r="C68">
        <v>0</v>
      </c>
      <c r="D68" t="str">
        <v>Bagg</v>
      </c>
      <c r="E68" t="str">
        <v>Male</v>
      </c>
      <c r="F68" t="str">
        <v>Legal</v>
      </c>
      <c r="G68">
        <v>113747.56</v>
      </c>
      <c r="H68" t="str">
        <v>Above 100K</v>
      </c>
      <c r="I68" s="19">
        <v>44270</v>
      </c>
      <c r="J68">
        <v>0.7</v>
      </c>
      <c r="K68" t="str">
        <v>Temporary</v>
      </c>
      <c r="L68" t="str">
        <v>Columbus, USA</v>
      </c>
      <c r="M68">
        <v>5.41</v>
      </c>
      <c r="N68" t="str">
        <v>Part Time</v>
      </c>
    </row>
    <row r="69" spans="1:14" x14ac:dyDescent="0.35">
      <c r="A69" t="str">
        <v>VT03993</v>
      </c>
      <c r="B69" t="str">
        <v>Dulce</v>
      </c>
      <c r="C69">
        <v>0</v>
      </c>
      <c r="D69" t="str">
        <v>Colbeck</v>
      </c>
      <c r="E69" t="str">
        <v>Male</v>
      </c>
      <c r="F69" t="str">
        <v>Human Resources</v>
      </c>
      <c r="G69">
        <v>83396.5</v>
      </c>
      <c r="H69" t="str">
        <v>50K-100K</v>
      </c>
      <c r="I69" s="19">
        <v>44285</v>
      </c>
      <c r="J69">
        <v>1</v>
      </c>
      <c r="K69" t="str">
        <v>Temporary</v>
      </c>
      <c r="L69" t="str">
        <v>Auckland, New Zealand</v>
      </c>
      <c r="M69">
        <v>5.37</v>
      </c>
      <c r="N69" t="str">
        <v>Full Time</v>
      </c>
    </row>
    <row r="70" spans="1:14" x14ac:dyDescent="0.35">
      <c r="A70" t="str">
        <v>SQ01519</v>
      </c>
      <c r="B70" t="str">
        <v>Caron</v>
      </c>
      <c r="C70">
        <v>0</v>
      </c>
      <c r="D70" t="str">
        <v>Kolakovic</v>
      </c>
      <c r="E70" t="str">
        <v>Male</v>
      </c>
      <c r="F70" t="str">
        <v>Accounting</v>
      </c>
      <c r="G70">
        <v>49915.14</v>
      </c>
      <c r="H70" t="str">
        <v>Under 50K</v>
      </c>
      <c r="I70" s="19">
        <v>43550</v>
      </c>
      <c r="J70">
        <v>1</v>
      </c>
      <c r="K70" t="str">
        <v>Permanent</v>
      </c>
      <c r="L70" t="str">
        <v>Remote</v>
      </c>
      <c r="M70">
        <v>7.38</v>
      </c>
      <c r="N70" t="str">
        <v>Full Time</v>
      </c>
    </row>
    <row r="71" spans="1:14" x14ac:dyDescent="0.35">
      <c r="A71" t="str">
        <v>VT04028</v>
      </c>
      <c r="B71" t="str">
        <v>Michale</v>
      </c>
      <c r="C71">
        <v>0</v>
      </c>
      <c r="D71" t="str">
        <v>Rolf</v>
      </c>
      <c r="E71" t="str">
        <v>Male</v>
      </c>
      <c r="F71" t="str">
        <v>Services</v>
      </c>
      <c r="G71">
        <v>111815.49</v>
      </c>
      <c r="H71" t="str">
        <v>Above 100K</v>
      </c>
      <c r="I71" s="19">
        <v>43895</v>
      </c>
      <c r="J71">
        <v>0.7</v>
      </c>
      <c r="K71" t="str">
        <v>Temporary</v>
      </c>
      <c r="L71" t="str">
        <v>Remote</v>
      </c>
      <c r="M71">
        <v>6.44</v>
      </c>
      <c r="N71" t="str">
        <v>Part Time</v>
      </c>
    </row>
    <row r="72" spans="1:14" x14ac:dyDescent="0.35">
      <c r="A72" t="str">
        <v>VT04028</v>
      </c>
      <c r="B72" t="str">
        <v>Michale</v>
      </c>
      <c r="C72">
        <v>0</v>
      </c>
      <c r="D72" t="str">
        <v>Rolf</v>
      </c>
      <c r="E72" t="str">
        <v>Male</v>
      </c>
      <c r="F72" t="str">
        <v>Services</v>
      </c>
      <c r="G72">
        <v>111815.49</v>
      </c>
      <c r="H72" t="str">
        <v>Above 100K</v>
      </c>
      <c r="I72" s="19">
        <v>43895</v>
      </c>
      <c r="J72">
        <v>0.7</v>
      </c>
      <c r="K72" t="str">
        <v>Temporary</v>
      </c>
      <c r="L72" t="str">
        <v>Remote</v>
      </c>
      <c r="M72">
        <v>6.44</v>
      </c>
      <c r="N72" t="str">
        <v>Part Time</v>
      </c>
    </row>
    <row r="73" spans="1:14" x14ac:dyDescent="0.35">
      <c r="A73" t="str">
        <v>SQ00022</v>
      </c>
      <c r="B73" t="str">
        <v>Carlin</v>
      </c>
      <c r="C73">
        <v>0</v>
      </c>
      <c r="D73" t="str">
        <v>Demke</v>
      </c>
      <c r="E73" t="str">
        <v>Male</v>
      </c>
      <c r="F73" t="str">
        <v>Business Development</v>
      </c>
      <c r="G73">
        <v>110042.37</v>
      </c>
      <c r="H73" t="str">
        <v>Above 100K</v>
      </c>
      <c r="I73" s="19">
        <v>43914</v>
      </c>
      <c r="J73">
        <v>1</v>
      </c>
      <c r="K73" t="str">
        <v>Permanent</v>
      </c>
      <c r="L73" t="str">
        <v>Columbus, USA</v>
      </c>
      <c r="M73">
        <v>6.38</v>
      </c>
      <c r="N73" t="str">
        <v>Full Time</v>
      </c>
    </row>
    <row r="74" spans="1:14" x14ac:dyDescent="0.35">
      <c r="A74" t="str">
        <v>TN01256</v>
      </c>
      <c r="B74" t="str">
        <v>Shattesh</v>
      </c>
      <c r="C74">
        <v>0</v>
      </c>
      <c r="D74" t="str">
        <v>Utpat</v>
      </c>
      <c r="E74" t="str">
        <v>Male</v>
      </c>
      <c r="F74" t="str">
        <v>Legal</v>
      </c>
      <c r="G74">
        <v>28481.16</v>
      </c>
      <c r="H74" t="str">
        <v>Under 50K</v>
      </c>
      <c r="I74" s="19">
        <v>43916</v>
      </c>
      <c r="J74">
        <v>1</v>
      </c>
      <c r="K74" t="str">
        <v>Permanent</v>
      </c>
      <c r="L74" t="str">
        <v>Hyderabad, India</v>
      </c>
      <c r="M74">
        <v>6.38</v>
      </c>
      <c r="N74" t="str">
        <v>Full Time</v>
      </c>
    </row>
    <row r="75" spans="1:14" x14ac:dyDescent="0.35">
      <c r="A75" t="str">
        <v>PR00746</v>
      </c>
      <c r="B75" t="str">
        <v>Hogan</v>
      </c>
      <c r="C75">
        <v>0</v>
      </c>
      <c r="D75" t="str">
        <v>Iles</v>
      </c>
      <c r="E75" t="str">
        <v>Female</v>
      </c>
      <c r="F75" t="str">
        <v>Accounting</v>
      </c>
      <c r="G75">
        <v>114177.23</v>
      </c>
      <c r="H75" t="str">
        <v>Above 100K</v>
      </c>
      <c r="I75" s="19">
        <v>43908</v>
      </c>
      <c r="J75">
        <v>1</v>
      </c>
      <c r="K75" t="str">
        <v>Permanent</v>
      </c>
      <c r="L75" t="str">
        <v>Wellington, New Zealand</v>
      </c>
      <c r="M75">
        <v>6.4</v>
      </c>
      <c r="N75" t="str">
        <v>Full Time</v>
      </c>
    </row>
    <row r="76" spans="1:14" x14ac:dyDescent="0.35">
      <c r="A76" t="str">
        <v>SQ00105</v>
      </c>
      <c r="B76" t="str">
        <v>Sarayu</v>
      </c>
      <c r="C76">
        <v>0</v>
      </c>
      <c r="D76" t="str">
        <v>Ragunathan</v>
      </c>
      <c r="E76" t="str">
        <v>Female</v>
      </c>
      <c r="F76" t="str">
        <v>Training</v>
      </c>
      <c r="G76">
        <v>86010.54</v>
      </c>
      <c r="H76" t="str">
        <v>50K-100K</v>
      </c>
      <c r="I76" s="19">
        <v>43164</v>
      </c>
      <c r="J76">
        <v>1</v>
      </c>
      <c r="K76" t="str">
        <v>Permanent</v>
      </c>
      <c r="L76" t="str">
        <v>Chennai, India</v>
      </c>
      <c r="M76">
        <v>8.44</v>
      </c>
      <c r="N76" t="str">
        <v>Full Time</v>
      </c>
    </row>
    <row r="77" spans="1:14" x14ac:dyDescent="0.35">
      <c r="A77" t="str">
        <v>VT04415</v>
      </c>
      <c r="B77" t="str">
        <v>Malory</v>
      </c>
      <c r="C77">
        <v>0</v>
      </c>
      <c r="D77" t="str">
        <v>Biles</v>
      </c>
      <c r="E77" t="str">
        <v>Female</v>
      </c>
      <c r="F77" t="str">
        <v>Training</v>
      </c>
      <c r="G77">
        <v>58744.17</v>
      </c>
      <c r="H77" t="str">
        <v>50K-100K</v>
      </c>
      <c r="I77" s="19">
        <v>43171</v>
      </c>
      <c r="J77">
        <v>1</v>
      </c>
      <c r="K77" t="str">
        <v>Temporary</v>
      </c>
      <c r="L77" t="str">
        <v>Columbus, USA</v>
      </c>
      <c r="M77">
        <v>8.42</v>
      </c>
      <c r="N77" t="str">
        <v>Full Time</v>
      </c>
    </row>
    <row r="78" spans="1:14" x14ac:dyDescent="0.35">
      <c r="A78" t="str">
        <v>TN01601</v>
      </c>
      <c r="B78" t="str">
        <v>Melva</v>
      </c>
      <c r="C78">
        <v>0</v>
      </c>
      <c r="D78" t="str">
        <v>Jickells</v>
      </c>
      <c r="E78" t="str">
        <v>Female</v>
      </c>
      <c r="F78" t="str">
        <v>Product Management</v>
      </c>
      <c r="G78">
        <v>68795.48</v>
      </c>
      <c r="H78" t="str">
        <v>50K-100K</v>
      </c>
      <c r="I78" s="19">
        <v>44277</v>
      </c>
      <c r="J78">
        <v>0.2</v>
      </c>
      <c r="K78" t="str">
        <v>Permanent</v>
      </c>
      <c r="L78" t="str">
        <v>Remote</v>
      </c>
      <c r="M78">
        <v>5.39</v>
      </c>
      <c r="N78" t="str">
        <v>Part Time</v>
      </c>
    </row>
    <row r="79" spans="1:14" x14ac:dyDescent="0.35">
      <c r="A79" t="str">
        <v>TN04892</v>
      </c>
      <c r="B79" t="str">
        <v>Luca</v>
      </c>
      <c r="C79">
        <v>0</v>
      </c>
      <c r="D79" t="str">
        <v>Wolstenholme</v>
      </c>
      <c r="E79" t="str">
        <v>Male</v>
      </c>
      <c r="F79" t="str">
        <v>Engineering</v>
      </c>
      <c r="G79">
        <v>53184.02</v>
      </c>
      <c r="H79" t="str">
        <v>50K-100K</v>
      </c>
      <c r="I79" s="19">
        <v>43180</v>
      </c>
      <c r="J79">
        <v>1</v>
      </c>
      <c r="K79" t="str">
        <v>Fixed Term</v>
      </c>
      <c r="L79" t="str">
        <v>Remote</v>
      </c>
      <c r="M79">
        <v>8.39</v>
      </c>
      <c r="N79" t="str">
        <v>Full Time</v>
      </c>
    </row>
    <row r="80" spans="1:14" x14ac:dyDescent="0.35">
      <c r="A80" t="str">
        <v>VT01762</v>
      </c>
      <c r="B80" t="str">
        <v>Geena</v>
      </c>
      <c r="C80">
        <v>0</v>
      </c>
      <c r="D80" t="str">
        <v>Raghavanpillai</v>
      </c>
      <c r="E80" t="str">
        <v>Male</v>
      </c>
      <c r="F80" t="str">
        <v>Accounting</v>
      </c>
      <c r="G80">
        <v>102515.81</v>
      </c>
      <c r="H80" t="str">
        <v>Above 100K</v>
      </c>
      <c r="I80" s="19">
        <v>43902</v>
      </c>
      <c r="J80">
        <v>1</v>
      </c>
      <c r="K80" t="str">
        <v>Fixed Term</v>
      </c>
      <c r="L80" t="str">
        <v>Chennai, India</v>
      </c>
      <c r="M80">
        <v>6.42</v>
      </c>
      <c r="N80" t="str">
        <v>Full Time</v>
      </c>
    </row>
    <row r="81" spans="1:14" x14ac:dyDescent="0.35">
      <c r="A81" t="str">
        <v>TN01601</v>
      </c>
      <c r="B81" t="str">
        <v>Melva</v>
      </c>
      <c r="C81">
        <v>0</v>
      </c>
      <c r="D81" t="str">
        <v>Jickells</v>
      </c>
      <c r="E81" t="str">
        <v>Female</v>
      </c>
      <c r="F81" t="str">
        <v>Product Management</v>
      </c>
      <c r="G81">
        <v>68795.48</v>
      </c>
      <c r="H81" t="str">
        <v>50K-100K</v>
      </c>
      <c r="I81" s="19">
        <v>44277</v>
      </c>
      <c r="J81">
        <v>0.2</v>
      </c>
      <c r="K81" t="str">
        <v>Permanent</v>
      </c>
      <c r="L81" t="str">
        <v>Remote</v>
      </c>
      <c r="M81">
        <v>5.39</v>
      </c>
      <c r="N81" t="str">
        <v>Part Time</v>
      </c>
    </row>
    <row r="82" spans="1:14" x14ac:dyDescent="0.35">
      <c r="A82" t="str">
        <v>TN01256</v>
      </c>
      <c r="B82" t="str">
        <v>Sawini</v>
      </c>
      <c r="C82">
        <v>0</v>
      </c>
      <c r="D82" t="str">
        <v>Chandan</v>
      </c>
      <c r="E82" t="str">
        <v>Male</v>
      </c>
      <c r="F82" t="str">
        <v>Legal</v>
      </c>
      <c r="G82">
        <v>28481.16</v>
      </c>
      <c r="H82" t="str">
        <v>Under 50K</v>
      </c>
      <c r="I82" s="19">
        <v>43916</v>
      </c>
      <c r="J82">
        <v>1</v>
      </c>
      <c r="K82" t="str">
        <v>Permanent</v>
      </c>
      <c r="L82" t="str">
        <v>Hyderabad, India</v>
      </c>
      <c r="M82">
        <v>6.38</v>
      </c>
      <c r="N82" t="str">
        <v>Full Time</v>
      </c>
    </row>
    <row r="83" spans="1:14" x14ac:dyDescent="0.35">
      <c r="A83" t="str">
        <v>SQ03112</v>
      </c>
      <c r="B83" t="str">
        <v>Kantimoy</v>
      </c>
      <c r="C83">
        <v>0</v>
      </c>
      <c r="D83" t="str">
        <v>Pritish</v>
      </c>
      <c r="E83" t="str">
        <v>Male</v>
      </c>
      <c r="F83" t="str">
        <v>Product Management</v>
      </c>
      <c r="G83">
        <v>77743.149999999994</v>
      </c>
      <c r="H83" t="str">
        <v>50K-100K</v>
      </c>
      <c r="I83" s="19">
        <v>43920</v>
      </c>
      <c r="J83">
        <v>1</v>
      </c>
      <c r="K83" t="str">
        <v>Permanent</v>
      </c>
      <c r="L83" t="str">
        <v>Chennai, India</v>
      </c>
      <c r="M83">
        <v>6.37</v>
      </c>
      <c r="N83" t="str">
        <v>Full Time</v>
      </c>
    </row>
    <row r="84" spans="1:14" x14ac:dyDescent="0.35">
      <c r="A84" t="str">
        <v>VT03421</v>
      </c>
      <c r="B84" t="str">
        <v>Alic</v>
      </c>
      <c r="C84">
        <v>0</v>
      </c>
      <c r="D84" t="str">
        <v>Bagg</v>
      </c>
      <c r="E84" t="str">
        <v>Male</v>
      </c>
      <c r="F84" t="str">
        <v>Legal</v>
      </c>
      <c r="G84">
        <v>113747.56</v>
      </c>
      <c r="H84" t="str">
        <v>Above 100K</v>
      </c>
      <c r="I84" s="19">
        <v>44270</v>
      </c>
      <c r="J84">
        <v>0.7</v>
      </c>
      <c r="K84" t="str">
        <v>Temporary</v>
      </c>
      <c r="L84" t="str">
        <v>Columbus, USA</v>
      </c>
      <c r="M84">
        <v>5.41</v>
      </c>
      <c r="N84" t="str">
        <v>Part Time</v>
      </c>
    </row>
    <row r="85" spans="1:14" x14ac:dyDescent="0.35">
      <c r="A85" t="str">
        <v>SQ03625</v>
      </c>
      <c r="B85" t="str">
        <v>Fidela</v>
      </c>
      <c r="C85">
        <v>0</v>
      </c>
      <c r="D85" t="str">
        <v>Artis</v>
      </c>
      <c r="E85" t="str">
        <v>Female</v>
      </c>
      <c r="F85" t="str">
        <v>Sales</v>
      </c>
      <c r="G85">
        <v>78020.39</v>
      </c>
      <c r="H85" t="str">
        <v>50K-100K</v>
      </c>
      <c r="I85" s="19">
        <v>43899</v>
      </c>
      <c r="J85">
        <v>1</v>
      </c>
      <c r="K85" t="str">
        <v>Permanent</v>
      </c>
      <c r="L85" t="str">
        <v>Remote</v>
      </c>
      <c r="M85">
        <v>6.42</v>
      </c>
      <c r="N85" t="str">
        <v>Full Time</v>
      </c>
    </row>
    <row r="87" spans="1:14" x14ac:dyDescent="0.35">
      <c r="A87" t="s">
        <v>971</v>
      </c>
    </row>
    <row r="88" spans="1:14" x14ac:dyDescent="0.35">
      <c r="A88" t="str" cm="1">
        <f t="array" ref="A88:N88">Employee_Processed_Data[#Headers]</f>
        <v>Emp ID</v>
      </c>
      <c r="B88" t="str">
        <v>First Name</v>
      </c>
      <c r="C88" t="str">
        <v>Middle Name</v>
      </c>
      <c r="D88" t="str">
        <v>Last Name</v>
      </c>
      <c r="E88" t="str">
        <v>Gender</v>
      </c>
      <c r="F88" t="str">
        <v>Department</v>
      </c>
      <c r="G88" t="str">
        <v>Salary</v>
      </c>
      <c r="H88" t="str">
        <v>Salary Bins</v>
      </c>
      <c r="I88" s="19" t="str">
        <v>Start Date</v>
      </c>
      <c r="J88" t="str">
        <v>FTE</v>
      </c>
      <c r="K88" t="str">
        <v>Employee type</v>
      </c>
      <c r="L88" t="str">
        <v>Work location</v>
      </c>
      <c r="M88" t="str">
        <v>Tenure</v>
      </c>
      <c r="N88" t="str">
        <v>Work Type</v>
      </c>
    </row>
    <row r="89" spans="1:14" x14ac:dyDescent="0.35">
      <c r="A89" t="str" cm="1">
        <f t="array" ref="A89:N195">_xlfn._xlws.FILTER(Employee_Processed_Data[],Employee_Processed_Data[Start Date]&gt;=DATE(2020,3,1))</f>
        <v>SQ04612</v>
      </c>
      <c r="B89" t="str">
        <v>Mick</v>
      </c>
      <c r="C89">
        <v>0</v>
      </c>
      <c r="D89" t="str">
        <v>Spraberry</v>
      </c>
      <c r="E89" t="str">
        <v>Female</v>
      </c>
      <c r="F89" t="str">
        <v>Services</v>
      </c>
      <c r="G89">
        <v>120000</v>
      </c>
      <c r="H89" t="str">
        <v>Above 100K</v>
      </c>
      <c r="I89" s="19">
        <v>43902</v>
      </c>
      <c r="J89">
        <v>0.9</v>
      </c>
      <c r="K89" t="str">
        <v>Permanent</v>
      </c>
      <c r="L89" t="str">
        <v>Remote</v>
      </c>
      <c r="M89">
        <v>6.42</v>
      </c>
      <c r="N89" t="str">
        <v>Part Time</v>
      </c>
    </row>
    <row r="90" spans="1:14" x14ac:dyDescent="0.35">
      <c r="A90" t="str">
        <v>SQ00144</v>
      </c>
      <c r="B90" t="str">
        <v>Collen</v>
      </c>
      <c r="C90">
        <v>0</v>
      </c>
      <c r="D90" t="str">
        <v>Dunbleton</v>
      </c>
      <c r="E90" t="str">
        <v>Male</v>
      </c>
      <c r="F90" t="str">
        <v>Engineering</v>
      </c>
      <c r="G90">
        <v>118976.16</v>
      </c>
      <c r="H90" t="str">
        <v>Above 100K</v>
      </c>
      <c r="I90" s="19">
        <v>44120</v>
      </c>
      <c r="J90">
        <v>1</v>
      </c>
      <c r="K90" t="str">
        <v>Permanent</v>
      </c>
      <c r="L90" t="str">
        <v>Wellington, New Zealand</v>
      </c>
      <c r="M90">
        <v>5.82</v>
      </c>
      <c r="N90" t="str">
        <v>Full Time</v>
      </c>
    </row>
    <row r="91" spans="1:14" x14ac:dyDescent="0.35">
      <c r="A91" t="str">
        <v>PR04601</v>
      </c>
      <c r="B91" t="str">
        <v>Yedukondalu</v>
      </c>
      <c r="C91">
        <v>0</v>
      </c>
      <c r="D91" t="str">
        <v>Panditula</v>
      </c>
      <c r="E91" t="str">
        <v>Missing</v>
      </c>
      <c r="F91" t="str">
        <v>Support</v>
      </c>
      <c r="G91">
        <v>104802.63</v>
      </c>
      <c r="H91" t="str">
        <v>Above 100K</v>
      </c>
      <c r="I91" s="19">
        <v>44502</v>
      </c>
      <c r="J91">
        <v>1</v>
      </c>
      <c r="K91" t="str">
        <v>Permanent</v>
      </c>
      <c r="L91" t="str">
        <v>Hyderabad, India</v>
      </c>
      <c r="M91">
        <v>4.7699999999999996</v>
      </c>
      <c r="N91" t="str">
        <v>Full Time</v>
      </c>
    </row>
    <row r="92" spans="1:14" x14ac:dyDescent="0.35">
      <c r="A92" t="str">
        <v>VT00578</v>
      </c>
      <c r="B92" t="str">
        <v>Magnum</v>
      </c>
      <c r="C92">
        <v>0</v>
      </c>
      <c r="D92" t="str">
        <v>Locksley</v>
      </c>
      <c r="E92" t="str">
        <v>Female</v>
      </c>
      <c r="F92" t="str">
        <v>Services</v>
      </c>
      <c r="G92">
        <v>42314.39</v>
      </c>
      <c r="H92" t="str">
        <v>Under 50K</v>
      </c>
      <c r="I92" s="19">
        <v>44487</v>
      </c>
      <c r="J92">
        <v>1</v>
      </c>
      <c r="K92" t="str">
        <v>Fixed Term</v>
      </c>
      <c r="L92" t="str">
        <v>Remote</v>
      </c>
      <c r="M92">
        <v>4.8099999999999996</v>
      </c>
      <c r="N92" t="str">
        <v>Full Time</v>
      </c>
    </row>
    <row r="93" spans="1:14" x14ac:dyDescent="0.35">
      <c r="A93" t="str">
        <v>PR04473</v>
      </c>
      <c r="B93" t="str">
        <v>Wyn</v>
      </c>
      <c r="C93">
        <v>0</v>
      </c>
      <c r="D93" t="str">
        <v>Treadger</v>
      </c>
      <c r="E93" t="str">
        <v>Female</v>
      </c>
      <c r="F93" t="str">
        <v>Business Development</v>
      </c>
      <c r="G93">
        <v>69192.850000000006</v>
      </c>
      <c r="H93" t="str">
        <v>50K-100K</v>
      </c>
      <c r="I93" s="19">
        <v>44305</v>
      </c>
      <c r="J93">
        <v>1</v>
      </c>
      <c r="K93" t="str">
        <v>Permanent</v>
      </c>
      <c r="L93" t="str">
        <v>Columbus, USA</v>
      </c>
      <c r="M93">
        <v>5.31</v>
      </c>
      <c r="N93" t="str">
        <v>Full Time</v>
      </c>
    </row>
    <row r="94" spans="1:14" x14ac:dyDescent="0.35">
      <c r="A94" t="str">
        <v>PR00893</v>
      </c>
      <c r="B94" t="str">
        <v>Vasavi</v>
      </c>
      <c r="C94">
        <v>0</v>
      </c>
      <c r="D94" t="str">
        <v>Veeravasarapu</v>
      </c>
      <c r="E94" t="str">
        <v>Male</v>
      </c>
      <c r="F94" t="str">
        <v>Human Resources</v>
      </c>
      <c r="G94">
        <v>50310.09</v>
      </c>
      <c r="H94" t="str">
        <v>50K-100K</v>
      </c>
      <c r="I94" s="19">
        <v>44285</v>
      </c>
      <c r="J94">
        <v>0.4</v>
      </c>
      <c r="K94" t="str">
        <v>Permanent</v>
      </c>
      <c r="L94" t="str">
        <v>Hyderabad, India</v>
      </c>
      <c r="M94">
        <v>5.37</v>
      </c>
      <c r="N94" t="str">
        <v>Part Time</v>
      </c>
    </row>
    <row r="95" spans="1:14" x14ac:dyDescent="0.35">
      <c r="A95" t="str">
        <v>PR00882</v>
      </c>
      <c r="B95" t="str">
        <v>Jill</v>
      </c>
      <c r="C95">
        <v>0</v>
      </c>
      <c r="D95" t="str">
        <v>Shipsey</v>
      </c>
      <c r="E95" t="str">
        <v>Male</v>
      </c>
      <c r="F95" t="str">
        <v>Accounting</v>
      </c>
      <c r="G95">
        <v>52963.65</v>
      </c>
      <c r="H95" t="str">
        <v>50K-100K</v>
      </c>
      <c r="I95" s="19">
        <v>44288</v>
      </c>
      <c r="J95">
        <v>0.3</v>
      </c>
      <c r="K95" t="str">
        <v>Permanent</v>
      </c>
      <c r="L95" t="str">
        <v>Columbus, USA</v>
      </c>
      <c r="M95">
        <v>5.36</v>
      </c>
      <c r="N95" t="str">
        <v>Part Time</v>
      </c>
    </row>
    <row r="96" spans="1:14" x14ac:dyDescent="0.35">
      <c r="A96" t="str">
        <v>PR03445</v>
      </c>
      <c r="B96" t="str">
        <v>Myrle</v>
      </c>
      <c r="C96">
        <v>0</v>
      </c>
      <c r="D96" t="str">
        <v>Prandoni</v>
      </c>
      <c r="E96" t="str">
        <v>Male</v>
      </c>
      <c r="F96" t="str">
        <v>Sales</v>
      </c>
      <c r="G96">
        <v>62195.47</v>
      </c>
      <c r="H96" t="str">
        <v>50K-100K</v>
      </c>
      <c r="I96" s="19">
        <v>44434</v>
      </c>
      <c r="J96">
        <v>1</v>
      </c>
      <c r="K96" t="str">
        <v>Permanent</v>
      </c>
      <c r="L96" t="str">
        <v>Remote</v>
      </c>
      <c r="M96">
        <v>4.96</v>
      </c>
      <c r="N96" t="str">
        <v>Full Time</v>
      </c>
    </row>
    <row r="97" spans="1:14" x14ac:dyDescent="0.35">
      <c r="A97" t="str">
        <v>TN00890</v>
      </c>
      <c r="B97" t="str">
        <v>Mayur</v>
      </c>
      <c r="C97">
        <v>0</v>
      </c>
      <c r="D97" t="str">
        <v>Kousika</v>
      </c>
      <c r="E97" t="str">
        <v>Female</v>
      </c>
      <c r="F97" t="str">
        <v>Training</v>
      </c>
      <c r="G97">
        <v>71570.990000000005</v>
      </c>
      <c r="H97" t="str">
        <v>50K-100K</v>
      </c>
      <c r="I97" s="19">
        <v>44249</v>
      </c>
      <c r="J97">
        <v>0.5</v>
      </c>
      <c r="K97" t="str">
        <v>Permanent</v>
      </c>
      <c r="L97" t="str">
        <v>Hyderabad, India</v>
      </c>
      <c r="M97">
        <v>5.47</v>
      </c>
      <c r="N97" t="str">
        <v>Part Time</v>
      </c>
    </row>
    <row r="98" spans="1:14" x14ac:dyDescent="0.35">
      <c r="A98" t="str">
        <v>SQ01395</v>
      </c>
      <c r="B98" t="str">
        <v>Dennison</v>
      </c>
      <c r="C98">
        <v>0</v>
      </c>
      <c r="D98" t="str">
        <v>Crosswaite</v>
      </c>
      <c r="E98" t="str">
        <v>Male</v>
      </c>
      <c r="F98" t="str">
        <v>Legal</v>
      </c>
      <c r="G98">
        <v>90697.67</v>
      </c>
      <c r="H98" t="str">
        <v>50K-100K</v>
      </c>
      <c r="I98" s="19">
        <v>44221</v>
      </c>
      <c r="J98">
        <v>0.8</v>
      </c>
      <c r="K98" t="str">
        <v>Permanent</v>
      </c>
      <c r="L98" t="str">
        <v>Seattle, USA</v>
      </c>
      <c r="M98">
        <v>5.54</v>
      </c>
      <c r="N98" t="str">
        <v>Part Time</v>
      </c>
    </row>
    <row r="99" spans="1:14" x14ac:dyDescent="0.35">
      <c r="A99" t="str">
        <v>VT04627</v>
      </c>
      <c r="B99" t="str">
        <v>Yvette</v>
      </c>
      <c r="C99">
        <v>0</v>
      </c>
      <c r="D99" t="str">
        <v>Bett</v>
      </c>
      <c r="E99" t="str">
        <v>Male</v>
      </c>
      <c r="F99" t="str">
        <v>Human Resources</v>
      </c>
      <c r="G99">
        <v>76320.44</v>
      </c>
      <c r="H99" t="str">
        <v>50K-100K</v>
      </c>
      <c r="I99" s="19">
        <v>44383</v>
      </c>
      <c r="J99">
        <v>0.8</v>
      </c>
      <c r="K99" t="str">
        <v>Temporary</v>
      </c>
      <c r="L99" t="str">
        <v>Remote</v>
      </c>
      <c r="M99">
        <v>5.0999999999999996</v>
      </c>
      <c r="N99" t="str">
        <v>Part Time</v>
      </c>
    </row>
    <row r="100" spans="1:14" x14ac:dyDescent="0.35">
      <c r="A100" t="str">
        <v>VT03537</v>
      </c>
      <c r="B100" t="str">
        <v>Renaldo</v>
      </c>
      <c r="C100">
        <v>0</v>
      </c>
      <c r="D100" t="str">
        <v>Thomassin</v>
      </c>
      <c r="E100" t="str">
        <v>Male</v>
      </c>
      <c r="F100" t="str">
        <v>Business Development</v>
      </c>
      <c r="G100">
        <v>73360.38</v>
      </c>
      <c r="H100" t="str">
        <v>50K-100K</v>
      </c>
      <c r="I100" s="19">
        <v>43972</v>
      </c>
      <c r="J100">
        <v>1</v>
      </c>
      <c r="K100" t="str">
        <v>Temporary</v>
      </c>
      <c r="L100" t="str">
        <v>Remote</v>
      </c>
      <c r="M100">
        <v>6.22</v>
      </c>
      <c r="N100" t="str">
        <v>Full Time</v>
      </c>
    </row>
    <row r="101" spans="1:14" x14ac:dyDescent="0.35">
      <c r="A101" t="str">
        <v>TN04246</v>
      </c>
      <c r="B101" t="str">
        <v>Shaylyn</v>
      </c>
      <c r="C101">
        <v>0</v>
      </c>
      <c r="D101" t="str">
        <v>Ransbury</v>
      </c>
      <c r="E101" t="str">
        <v>Female</v>
      </c>
      <c r="F101" t="str">
        <v>Support</v>
      </c>
      <c r="G101">
        <v>100371.31</v>
      </c>
      <c r="H101" t="str">
        <v>Above 100K</v>
      </c>
      <c r="I101" s="19">
        <v>44067</v>
      </c>
      <c r="J101">
        <v>0.8</v>
      </c>
      <c r="K101" t="str">
        <v>Fixed Term</v>
      </c>
      <c r="L101" t="str">
        <v>Auckland, New Zealand</v>
      </c>
      <c r="M101">
        <v>5.96</v>
      </c>
      <c r="N101" t="str">
        <v>Part Time</v>
      </c>
    </row>
    <row r="102" spans="1:14" x14ac:dyDescent="0.35">
      <c r="A102" t="str">
        <v>VT02801</v>
      </c>
      <c r="B102" t="str">
        <v>Shellysheldon</v>
      </c>
      <c r="C102">
        <v>0</v>
      </c>
      <c r="D102" t="str">
        <v>Mahady</v>
      </c>
      <c r="E102" t="str">
        <v>Male</v>
      </c>
      <c r="F102" t="str">
        <v>Training</v>
      </c>
      <c r="G102">
        <v>114691.03</v>
      </c>
      <c r="H102" t="str">
        <v>Above 100K</v>
      </c>
      <c r="I102" s="19">
        <v>44039</v>
      </c>
      <c r="J102">
        <v>1</v>
      </c>
      <c r="K102" t="str">
        <v>Temporary</v>
      </c>
      <c r="L102" t="str">
        <v>Wellington, New Zealand</v>
      </c>
      <c r="M102">
        <v>6.04</v>
      </c>
      <c r="N102" t="str">
        <v>Full Time</v>
      </c>
    </row>
    <row r="103" spans="1:14" x14ac:dyDescent="0.35">
      <c r="A103" t="str">
        <v>SQ01177</v>
      </c>
      <c r="B103" t="str">
        <v>Nazeer</v>
      </c>
      <c r="C103" t="str">
        <v>Basha</v>
      </c>
      <c r="D103" t="str">
        <v>Mustafa</v>
      </c>
      <c r="E103" t="str">
        <v>Male</v>
      </c>
      <c r="F103" t="str">
        <v>Human Resources</v>
      </c>
      <c r="G103">
        <v>86556.96</v>
      </c>
      <c r="H103" t="str">
        <v>50K-100K</v>
      </c>
      <c r="I103" s="19">
        <v>44104</v>
      </c>
      <c r="J103">
        <v>1</v>
      </c>
      <c r="K103" t="str">
        <v>Permanent</v>
      </c>
      <c r="L103" t="str">
        <v>Hyderabad, India</v>
      </c>
      <c r="M103">
        <v>5.86</v>
      </c>
      <c r="N103" t="str">
        <v>Full Time</v>
      </c>
    </row>
    <row r="104" spans="1:14" x14ac:dyDescent="0.35">
      <c r="A104" t="str">
        <v>TN01876</v>
      </c>
      <c r="B104" t="str">
        <v>Aileen</v>
      </c>
      <c r="C104">
        <v>0</v>
      </c>
      <c r="D104" t="str">
        <v>McCritchie</v>
      </c>
      <c r="E104" t="str">
        <v>Male</v>
      </c>
      <c r="F104" t="str">
        <v>Business Development</v>
      </c>
      <c r="G104">
        <v>80169.42</v>
      </c>
      <c r="H104" t="str">
        <v>50K-100K</v>
      </c>
      <c r="I104" s="19">
        <v>44053</v>
      </c>
      <c r="J104">
        <v>1</v>
      </c>
      <c r="K104" t="str">
        <v>Permanent</v>
      </c>
      <c r="L104" t="str">
        <v>Auckland, New Zealand</v>
      </c>
      <c r="M104">
        <v>6</v>
      </c>
      <c r="N104" t="str">
        <v>Full Time</v>
      </c>
    </row>
    <row r="105" spans="1:14" x14ac:dyDescent="0.35">
      <c r="A105" t="str">
        <v>TN00227</v>
      </c>
      <c r="B105" t="str">
        <v>Raghuveer</v>
      </c>
      <c r="C105">
        <v>0</v>
      </c>
      <c r="D105" t="str">
        <v>Yettugunna</v>
      </c>
      <c r="E105" t="str">
        <v>Female</v>
      </c>
      <c r="F105" t="str">
        <v>Support</v>
      </c>
      <c r="G105">
        <v>63555.73</v>
      </c>
      <c r="H105" t="str">
        <v>50K-100K</v>
      </c>
      <c r="I105" s="19">
        <v>44159</v>
      </c>
      <c r="J105">
        <v>1</v>
      </c>
      <c r="K105" t="str">
        <v>Permanent</v>
      </c>
      <c r="L105" t="str">
        <v>Chennai, India</v>
      </c>
      <c r="M105">
        <v>5.71</v>
      </c>
      <c r="N105" t="str">
        <v>Full Time</v>
      </c>
    </row>
    <row r="106" spans="1:14" x14ac:dyDescent="0.35">
      <c r="A106" t="str">
        <v>PR02208</v>
      </c>
      <c r="B106" t="str">
        <v>Gowri</v>
      </c>
      <c r="C106" t="str">
        <v>Sankar</v>
      </c>
      <c r="D106" t="str">
        <v>Chakrala</v>
      </c>
      <c r="E106" t="str">
        <v>Female</v>
      </c>
      <c r="F106" t="str">
        <v>Training</v>
      </c>
      <c r="G106">
        <v>102934.09</v>
      </c>
      <c r="H106" t="str">
        <v>Above 100K</v>
      </c>
      <c r="I106" s="19">
        <v>44315</v>
      </c>
      <c r="J106">
        <v>1</v>
      </c>
      <c r="K106" t="str">
        <v>Permanent</v>
      </c>
      <c r="L106" t="str">
        <v>Hyderabad, India</v>
      </c>
      <c r="M106">
        <v>5.28</v>
      </c>
      <c r="N106" t="str">
        <v>Full Time</v>
      </c>
    </row>
    <row r="107" spans="1:14" x14ac:dyDescent="0.35">
      <c r="A107" t="str">
        <v>PR03844</v>
      </c>
      <c r="B107" t="str">
        <v>Brose</v>
      </c>
      <c r="C107">
        <v>0</v>
      </c>
      <c r="D107" t="str">
        <v>MacCorkell</v>
      </c>
      <c r="E107" t="str">
        <v>Female</v>
      </c>
      <c r="F107" t="str">
        <v>Human Resources</v>
      </c>
      <c r="G107">
        <v>35943.620000000003</v>
      </c>
      <c r="H107" t="str">
        <v>Under 50K</v>
      </c>
      <c r="I107" s="19">
        <v>44078</v>
      </c>
      <c r="J107">
        <v>1</v>
      </c>
      <c r="K107" t="str">
        <v>Permanent</v>
      </c>
      <c r="L107" t="str">
        <v>Columbus, USA</v>
      </c>
      <c r="M107">
        <v>5.93</v>
      </c>
      <c r="N107" t="str">
        <v>Full Time</v>
      </c>
    </row>
    <row r="108" spans="1:14" x14ac:dyDescent="0.35">
      <c r="A108" t="str">
        <v>VT04093</v>
      </c>
      <c r="B108" t="str">
        <v>Prasanna</v>
      </c>
      <c r="C108" t="str">
        <v>Lakshmi</v>
      </c>
      <c r="D108" t="str">
        <v>Payasam</v>
      </c>
      <c r="E108" t="str">
        <v>Female</v>
      </c>
      <c r="F108" t="str">
        <v>Training</v>
      </c>
      <c r="G108">
        <v>116767.63</v>
      </c>
      <c r="H108" t="str">
        <v>Above 100K</v>
      </c>
      <c r="I108" s="19">
        <v>43949</v>
      </c>
      <c r="J108">
        <v>0.4</v>
      </c>
      <c r="K108" t="str">
        <v>Temporary</v>
      </c>
      <c r="L108" t="str">
        <v>Chennai, India</v>
      </c>
      <c r="M108">
        <v>6.29</v>
      </c>
      <c r="N108" t="str">
        <v>Part Time</v>
      </c>
    </row>
    <row r="109" spans="1:14" x14ac:dyDescent="0.35">
      <c r="A109" t="str">
        <v>TN03032</v>
      </c>
      <c r="B109" t="str">
        <v>Jaipal</v>
      </c>
      <c r="C109">
        <v>0</v>
      </c>
      <c r="D109" t="str">
        <v>Potanapudi</v>
      </c>
      <c r="E109" t="str">
        <v>Female</v>
      </c>
      <c r="F109" t="str">
        <v>Research and Development</v>
      </c>
      <c r="G109">
        <v>39700.82</v>
      </c>
      <c r="H109" t="str">
        <v>Under 50K</v>
      </c>
      <c r="I109" s="19">
        <v>44203</v>
      </c>
      <c r="J109">
        <v>0.8</v>
      </c>
      <c r="K109" t="str">
        <v>Permanent</v>
      </c>
      <c r="L109" t="str">
        <v>Chennai, India</v>
      </c>
      <c r="M109">
        <v>5.59</v>
      </c>
      <c r="N109" t="str">
        <v>Part Time</v>
      </c>
    </row>
    <row r="110" spans="1:14" x14ac:dyDescent="0.35">
      <c r="A110" t="str">
        <v>SQ00914</v>
      </c>
      <c r="B110" t="str">
        <v>Duran</v>
      </c>
      <c r="C110">
        <v>0</v>
      </c>
      <c r="D110" t="str">
        <v>Appala</v>
      </c>
      <c r="E110" t="str">
        <v>Female</v>
      </c>
      <c r="F110" t="str">
        <v>Product Management</v>
      </c>
      <c r="G110">
        <v>38438.239999999998</v>
      </c>
      <c r="H110" t="str">
        <v>Under 50K</v>
      </c>
      <c r="I110" s="19">
        <v>43962</v>
      </c>
      <c r="J110">
        <v>1</v>
      </c>
      <c r="K110" t="str">
        <v>Permanent</v>
      </c>
      <c r="L110" t="str">
        <v>Chennai, India</v>
      </c>
      <c r="M110">
        <v>6.25</v>
      </c>
      <c r="N110" t="str">
        <v>Full Time</v>
      </c>
    </row>
    <row r="111" spans="1:14" x14ac:dyDescent="0.35">
      <c r="A111" t="str">
        <v>SQ02525</v>
      </c>
      <c r="B111" t="str">
        <v>Mickie</v>
      </c>
      <c r="C111">
        <v>0</v>
      </c>
      <c r="D111" t="str">
        <v>Dagwell</v>
      </c>
      <c r="E111" t="str">
        <v>Male</v>
      </c>
      <c r="F111" t="str">
        <v>Engineering</v>
      </c>
      <c r="G111">
        <v>50855.53</v>
      </c>
      <c r="H111" t="str">
        <v>50K-100K</v>
      </c>
      <c r="I111" s="19">
        <v>44221</v>
      </c>
      <c r="J111">
        <v>1</v>
      </c>
      <c r="K111" t="str">
        <v>Permanent</v>
      </c>
      <c r="L111" t="str">
        <v>Wellington, New Zealand</v>
      </c>
      <c r="M111">
        <v>5.54</v>
      </c>
      <c r="N111" t="str">
        <v>Full Time</v>
      </c>
    </row>
    <row r="112" spans="1:14" x14ac:dyDescent="0.35">
      <c r="A112" t="str">
        <v>VT01249</v>
      </c>
      <c r="B112" t="str">
        <v>Brendan</v>
      </c>
      <c r="C112">
        <v>0</v>
      </c>
      <c r="D112" t="str">
        <v>Edgeller</v>
      </c>
      <c r="E112" t="str">
        <v>Female</v>
      </c>
      <c r="F112" t="str">
        <v>Legal</v>
      </c>
      <c r="G112">
        <v>31042.51</v>
      </c>
      <c r="H112" t="str">
        <v>Under 50K</v>
      </c>
      <c r="I112" s="19">
        <v>44473</v>
      </c>
      <c r="J112">
        <v>0.3</v>
      </c>
      <c r="K112" t="str">
        <v>Fixed Term</v>
      </c>
      <c r="L112" t="str">
        <v>Remote</v>
      </c>
      <c r="M112">
        <v>4.8499999999999996</v>
      </c>
      <c r="N112" t="str">
        <v>Part Time</v>
      </c>
    </row>
    <row r="113" spans="1:14" x14ac:dyDescent="0.35">
      <c r="A113" t="str">
        <v>VT02260</v>
      </c>
      <c r="B113" t="str">
        <v>Rhiamon</v>
      </c>
      <c r="C113">
        <v>0</v>
      </c>
      <c r="D113" t="str">
        <v>Mollison</v>
      </c>
      <c r="E113" t="str">
        <v>Female</v>
      </c>
      <c r="F113" t="str">
        <v>Research and Development</v>
      </c>
      <c r="G113">
        <v>59434.18</v>
      </c>
      <c r="H113" t="str">
        <v>50K-100K</v>
      </c>
      <c r="I113" s="19">
        <v>43931</v>
      </c>
      <c r="J113">
        <v>1</v>
      </c>
      <c r="K113" t="str">
        <v>Temporary</v>
      </c>
      <c r="L113" t="str">
        <v>Seattle, USA</v>
      </c>
      <c r="M113">
        <v>6.34</v>
      </c>
      <c r="N113" t="str">
        <v>Full Time</v>
      </c>
    </row>
    <row r="114" spans="1:14" x14ac:dyDescent="0.35">
      <c r="A114" t="str">
        <v>VT03421</v>
      </c>
      <c r="B114" t="str">
        <v>Alic</v>
      </c>
      <c r="C114">
        <v>0</v>
      </c>
      <c r="D114" t="str">
        <v>Bagg</v>
      </c>
      <c r="E114" t="str">
        <v>Male</v>
      </c>
      <c r="F114" t="str">
        <v>Legal</v>
      </c>
      <c r="G114">
        <v>113747.56</v>
      </c>
      <c r="H114" t="str">
        <v>Above 100K</v>
      </c>
      <c r="I114" s="19">
        <v>44270</v>
      </c>
      <c r="J114">
        <v>0.7</v>
      </c>
      <c r="K114" t="str">
        <v>Temporary</v>
      </c>
      <c r="L114" t="str">
        <v>Columbus, USA</v>
      </c>
      <c r="M114">
        <v>5.41</v>
      </c>
      <c r="N114" t="str">
        <v>Part Time</v>
      </c>
    </row>
    <row r="115" spans="1:14" x14ac:dyDescent="0.35">
      <c r="A115" t="str">
        <v>VT02118</v>
      </c>
      <c r="B115" t="str">
        <v>Oorjit</v>
      </c>
      <c r="C115">
        <v>0</v>
      </c>
      <c r="D115" t="str">
        <v>Nandanavanam</v>
      </c>
      <c r="E115" t="str">
        <v>Female</v>
      </c>
      <c r="F115" t="str">
        <v>Engineering</v>
      </c>
      <c r="G115">
        <v>51165.37</v>
      </c>
      <c r="H115" t="str">
        <v>50K-100K</v>
      </c>
      <c r="I115" s="19">
        <v>44237</v>
      </c>
      <c r="J115">
        <v>1</v>
      </c>
      <c r="K115" t="str">
        <v>Fixed Term</v>
      </c>
      <c r="L115" t="str">
        <v>Hyderabad, India</v>
      </c>
      <c r="M115">
        <v>5.5</v>
      </c>
      <c r="N115" t="str">
        <v>Full Time</v>
      </c>
    </row>
    <row r="116" spans="1:14" x14ac:dyDescent="0.35">
      <c r="A116" t="str">
        <v>PR03980</v>
      </c>
      <c r="B116" t="str">
        <v>Kath</v>
      </c>
      <c r="C116">
        <v>0</v>
      </c>
      <c r="D116" t="str">
        <v>Bletsoe</v>
      </c>
      <c r="E116" t="str">
        <v>Male</v>
      </c>
      <c r="F116" t="str">
        <v>Marketing</v>
      </c>
      <c r="G116">
        <v>65699.02</v>
      </c>
      <c r="H116" t="str">
        <v>50K-100K</v>
      </c>
      <c r="I116" s="19">
        <v>43951</v>
      </c>
      <c r="J116">
        <v>1</v>
      </c>
      <c r="K116" t="str">
        <v>Permanent</v>
      </c>
      <c r="L116" t="str">
        <v>Columbus, USA</v>
      </c>
      <c r="M116">
        <v>6.28</v>
      </c>
      <c r="N116" t="str">
        <v>Full Time</v>
      </c>
    </row>
    <row r="117" spans="1:14" x14ac:dyDescent="0.35">
      <c r="A117" t="str">
        <v>VT03993</v>
      </c>
      <c r="B117" t="str">
        <v>Dulce</v>
      </c>
      <c r="C117">
        <v>0</v>
      </c>
      <c r="D117" t="str">
        <v>Colbeck</v>
      </c>
      <c r="E117" t="str">
        <v>Male</v>
      </c>
      <c r="F117" t="str">
        <v>Human Resources</v>
      </c>
      <c r="G117">
        <v>83396.5</v>
      </c>
      <c r="H117" t="str">
        <v>50K-100K</v>
      </c>
      <c r="I117" s="19">
        <v>44285</v>
      </c>
      <c r="J117">
        <v>1</v>
      </c>
      <c r="K117" t="str">
        <v>Temporary</v>
      </c>
      <c r="L117" t="str">
        <v>Auckland, New Zealand</v>
      </c>
      <c r="M117">
        <v>5.37</v>
      </c>
      <c r="N117" t="str">
        <v>Full Time</v>
      </c>
    </row>
    <row r="118" spans="1:14" x14ac:dyDescent="0.35">
      <c r="A118" t="str">
        <v>VT02663</v>
      </c>
      <c r="B118" t="str">
        <v>Sravanthi</v>
      </c>
      <c r="C118">
        <v>0</v>
      </c>
      <c r="D118" t="str">
        <v>Chalaki</v>
      </c>
      <c r="E118" t="str">
        <v>Male</v>
      </c>
      <c r="F118" t="str">
        <v>Legal</v>
      </c>
      <c r="G118">
        <v>28481.16</v>
      </c>
      <c r="H118" t="str">
        <v>Under 50K</v>
      </c>
      <c r="I118" s="19">
        <v>44228</v>
      </c>
      <c r="J118">
        <v>1</v>
      </c>
      <c r="K118" t="str">
        <v>Temporary</v>
      </c>
      <c r="L118" t="str">
        <v>Chennai, India</v>
      </c>
      <c r="M118">
        <v>5.52</v>
      </c>
      <c r="N118" t="str">
        <v>Full Time</v>
      </c>
    </row>
    <row r="119" spans="1:14" x14ac:dyDescent="0.35">
      <c r="A119" t="str">
        <v>PR03034</v>
      </c>
      <c r="B119" t="str">
        <v>Sreenivasa</v>
      </c>
      <c r="C119" t="str">
        <v>Naik</v>
      </c>
      <c r="D119" t="str">
        <v>Gudiwada</v>
      </c>
      <c r="E119" t="str">
        <v>Male</v>
      </c>
      <c r="F119" t="str">
        <v>Sales</v>
      </c>
      <c r="G119">
        <v>32192.15</v>
      </c>
      <c r="H119" t="str">
        <v>Under 50K</v>
      </c>
      <c r="I119" s="19">
        <v>44473</v>
      </c>
      <c r="J119">
        <v>1</v>
      </c>
      <c r="K119" t="str">
        <v>Permanent</v>
      </c>
      <c r="L119" t="str">
        <v>Hyderabad, India</v>
      </c>
      <c r="M119">
        <v>4.8499999999999996</v>
      </c>
      <c r="N119" t="str">
        <v>Full Time</v>
      </c>
    </row>
    <row r="120" spans="1:14" x14ac:dyDescent="0.35">
      <c r="A120" t="str">
        <v>PR00916</v>
      </c>
      <c r="B120" t="str">
        <v>Inger</v>
      </c>
      <c r="C120">
        <v>0</v>
      </c>
      <c r="D120" t="str">
        <v>Chapelhow</v>
      </c>
      <c r="E120" t="str">
        <v>Female</v>
      </c>
      <c r="F120" t="str">
        <v>Research and Development</v>
      </c>
      <c r="G120">
        <v>84309.95</v>
      </c>
      <c r="H120" t="str">
        <v>50K-100K</v>
      </c>
      <c r="I120" s="19">
        <v>44501</v>
      </c>
      <c r="J120">
        <v>1</v>
      </c>
      <c r="K120" t="str">
        <v>Permanent</v>
      </c>
      <c r="L120" t="str">
        <v>Remote</v>
      </c>
      <c r="M120">
        <v>4.78</v>
      </c>
      <c r="N120" t="str">
        <v>Full Time</v>
      </c>
    </row>
    <row r="121" spans="1:14" x14ac:dyDescent="0.35">
      <c r="A121" t="str">
        <v>PR01211</v>
      </c>
      <c r="B121" t="str">
        <v>Enoch</v>
      </c>
      <c r="C121">
        <v>0</v>
      </c>
      <c r="D121" t="str">
        <v>Dowrey</v>
      </c>
      <c r="E121" t="str">
        <v>Male</v>
      </c>
      <c r="F121" t="str">
        <v>Accounting</v>
      </c>
      <c r="G121">
        <v>91645.04</v>
      </c>
      <c r="H121" t="str">
        <v>50K-100K</v>
      </c>
      <c r="I121" s="19">
        <v>44223</v>
      </c>
      <c r="J121">
        <v>1</v>
      </c>
      <c r="K121" t="str">
        <v>Permanent</v>
      </c>
      <c r="L121" t="str">
        <v>Auckland, New Zealand</v>
      </c>
      <c r="M121">
        <v>5.54</v>
      </c>
      <c r="N121" t="str">
        <v>Full Time</v>
      </c>
    </row>
    <row r="122" spans="1:14" x14ac:dyDescent="0.35">
      <c r="A122" t="str">
        <v>TN01876</v>
      </c>
      <c r="B122" t="str">
        <v>Aileen</v>
      </c>
      <c r="C122">
        <v>0</v>
      </c>
      <c r="D122" t="str">
        <v>McCritchie</v>
      </c>
      <c r="E122" t="str">
        <v>Male</v>
      </c>
      <c r="F122" t="str">
        <v>Business Development</v>
      </c>
      <c r="G122">
        <v>80169.42</v>
      </c>
      <c r="H122" t="str">
        <v>50K-100K</v>
      </c>
      <c r="I122" s="19">
        <v>44053</v>
      </c>
      <c r="J122">
        <v>1</v>
      </c>
      <c r="K122" t="str">
        <v>Permanent</v>
      </c>
      <c r="L122" t="str">
        <v>Auckland, New Zealand</v>
      </c>
      <c r="M122">
        <v>6</v>
      </c>
      <c r="N122" t="str">
        <v>Full Time</v>
      </c>
    </row>
    <row r="123" spans="1:14" x14ac:dyDescent="0.35">
      <c r="A123" t="str">
        <v>VT04984</v>
      </c>
      <c r="B123" t="str">
        <v>Dell</v>
      </c>
      <c r="C123">
        <v>0</v>
      </c>
      <c r="D123" t="str">
        <v>Molloy</v>
      </c>
      <c r="E123" t="str">
        <v>Male</v>
      </c>
      <c r="F123" t="str">
        <v>Engineering</v>
      </c>
      <c r="G123">
        <v>47362.62</v>
      </c>
      <c r="H123" t="str">
        <v>Under 50K</v>
      </c>
      <c r="I123" s="19">
        <v>43973</v>
      </c>
      <c r="J123">
        <v>1</v>
      </c>
      <c r="K123" t="str">
        <v>Temporary</v>
      </c>
      <c r="L123" t="str">
        <v>Remote</v>
      </c>
      <c r="M123">
        <v>6.22</v>
      </c>
      <c r="N123" t="str">
        <v>Full Time</v>
      </c>
    </row>
    <row r="124" spans="1:14" x14ac:dyDescent="0.35">
      <c r="A124" t="str">
        <v>SQ03546</v>
      </c>
      <c r="B124" t="str">
        <v>Amlankusum</v>
      </c>
      <c r="C124">
        <v>0</v>
      </c>
      <c r="D124" t="str">
        <v>Rajabhushan</v>
      </c>
      <c r="E124" t="str">
        <v>Female</v>
      </c>
      <c r="F124" t="str">
        <v>Legal</v>
      </c>
      <c r="G124">
        <v>75733.740000000005</v>
      </c>
      <c r="H124" t="str">
        <v>50K-100K</v>
      </c>
      <c r="I124" s="19">
        <v>44382</v>
      </c>
      <c r="J124">
        <v>1</v>
      </c>
      <c r="K124" t="str">
        <v>Permanent</v>
      </c>
      <c r="L124" t="str">
        <v>Hyderabad, India</v>
      </c>
      <c r="M124">
        <v>5.0999999999999996</v>
      </c>
      <c r="N124" t="str">
        <v>Full Time</v>
      </c>
    </row>
    <row r="125" spans="1:14" x14ac:dyDescent="0.35">
      <c r="A125" t="str">
        <v>SQ00450</v>
      </c>
      <c r="B125" t="str">
        <v>Louise</v>
      </c>
      <c r="C125">
        <v>0</v>
      </c>
      <c r="D125" t="str">
        <v>Lamming</v>
      </c>
      <c r="E125" t="str">
        <v>Female</v>
      </c>
      <c r="F125" t="str">
        <v>Sales</v>
      </c>
      <c r="G125">
        <v>41934.71</v>
      </c>
      <c r="H125" t="str">
        <v>Under 50K</v>
      </c>
      <c r="I125" s="19">
        <v>43943</v>
      </c>
      <c r="J125">
        <v>1</v>
      </c>
      <c r="K125" t="str">
        <v>Permanent</v>
      </c>
      <c r="L125" t="str">
        <v>Remote</v>
      </c>
      <c r="M125">
        <v>6.3</v>
      </c>
      <c r="N125" t="str">
        <v>Full Time</v>
      </c>
    </row>
    <row r="126" spans="1:14" x14ac:dyDescent="0.35">
      <c r="A126" t="str">
        <v>PR03804</v>
      </c>
      <c r="B126" t="str">
        <v>Pratigya</v>
      </c>
      <c r="C126">
        <v>0</v>
      </c>
      <c r="D126" t="str">
        <v>Rema</v>
      </c>
      <c r="E126" t="str">
        <v>Male</v>
      </c>
      <c r="F126" t="str">
        <v>Legal</v>
      </c>
      <c r="G126">
        <v>66572.58</v>
      </c>
      <c r="H126" t="str">
        <v>50K-100K</v>
      </c>
      <c r="I126" s="19">
        <v>44193</v>
      </c>
      <c r="J126">
        <v>1</v>
      </c>
      <c r="K126" t="str">
        <v>Permanent</v>
      </c>
      <c r="L126" t="str">
        <v>Chennai, India</v>
      </c>
      <c r="M126">
        <v>5.62</v>
      </c>
      <c r="N126" t="str">
        <v>Full Time</v>
      </c>
    </row>
    <row r="127" spans="1:14" x14ac:dyDescent="0.35">
      <c r="A127" t="str">
        <v>PR02010</v>
      </c>
      <c r="B127" t="str">
        <v>Prerana</v>
      </c>
      <c r="C127">
        <v>0</v>
      </c>
      <c r="D127" t="str">
        <v>Nishita</v>
      </c>
      <c r="E127" t="str">
        <v>Male</v>
      </c>
      <c r="F127" t="str">
        <v>Product Management</v>
      </c>
      <c r="G127">
        <v>115191.38</v>
      </c>
      <c r="H127" t="str">
        <v>Above 100K</v>
      </c>
      <c r="I127" s="19">
        <v>44004</v>
      </c>
      <c r="J127">
        <v>1</v>
      </c>
      <c r="K127" t="str">
        <v>Permanent</v>
      </c>
      <c r="L127" t="str">
        <v>Hyderabad, India</v>
      </c>
      <c r="M127">
        <v>6.14</v>
      </c>
      <c r="N127" t="str">
        <v>Full Time</v>
      </c>
    </row>
    <row r="128" spans="1:14" x14ac:dyDescent="0.35">
      <c r="A128" t="str">
        <v>SQ00498</v>
      </c>
      <c r="B128" t="str">
        <v>Amery</v>
      </c>
      <c r="C128">
        <v>0</v>
      </c>
      <c r="D128" t="str">
        <v>Ofer</v>
      </c>
      <c r="E128" t="str">
        <v>Female</v>
      </c>
      <c r="F128" t="str">
        <v>Legal</v>
      </c>
      <c r="G128">
        <v>111049.84</v>
      </c>
      <c r="H128" t="str">
        <v>Above 100K</v>
      </c>
      <c r="I128" s="19">
        <v>44393</v>
      </c>
      <c r="J128">
        <v>1</v>
      </c>
      <c r="K128" t="str">
        <v>Permanent</v>
      </c>
      <c r="L128" t="str">
        <v>Wellington, New Zealand</v>
      </c>
      <c r="M128">
        <v>5.07</v>
      </c>
      <c r="N128" t="str">
        <v>Full Time</v>
      </c>
    </row>
    <row r="129" spans="1:14" x14ac:dyDescent="0.35">
      <c r="A129" t="str">
        <v>PR02113</v>
      </c>
      <c r="B129" t="str">
        <v>Beverie</v>
      </c>
      <c r="C129">
        <v>0</v>
      </c>
      <c r="D129" t="str">
        <v>Moffet</v>
      </c>
      <c r="E129" t="str">
        <v>Female</v>
      </c>
      <c r="F129" t="str">
        <v>Support</v>
      </c>
      <c r="G129">
        <v>75974.990000000005</v>
      </c>
      <c r="H129" t="str">
        <v>50K-100K</v>
      </c>
      <c r="I129" s="19">
        <v>44172</v>
      </c>
      <c r="J129">
        <v>1</v>
      </c>
      <c r="K129" t="str">
        <v>Permanent</v>
      </c>
      <c r="L129" t="str">
        <v>Remote</v>
      </c>
      <c r="M129">
        <v>5.68</v>
      </c>
      <c r="N129" t="str">
        <v>Full Time</v>
      </c>
    </row>
    <row r="130" spans="1:14" x14ac:dyDescent="0.35">
      <c r="A130" t="str">
        <v>PR00210</v>
      </c>
      <c r="B130" t="str">
        <v>Marquita</v>
      </c>
      <c r="C130">
        <v>0</v>
      </c>
      <c r="D130" t="str">
        <v>Liquorish</v>
      </c>
      <c r="E130" t="str">
        <v>Female</v>
      </c>
      <c r="F130" t="str">
        <v>Legal</v>
      </c>
      <c r="G130">
        <v>0</v>
      </c>
      <c r="H130" t="str">
        <v>Under 50K</v>
      </c>
      <c r="I130" s="19">
        <v>44011</v>
      </c>
      <c r="J130">
        <v>1</v>
      </c>
      <c r="K130" t="str">
        <v>Permanent</v>
      </c>
      <c r="L130" t="str">
        <v>Wellington, New Zealand</v>
      </c>
      <c r="M130">
        <v>6.12</v>
      </c>
      <c r="N130" t="str">
        <v>Full Time</v>
      </c>
    </row>
    <row r="131" spans="1:14" x14ac:dyDescent="0.35">
      <c r="A131" t="str">
        <v>VT03500</v>
      </c>
      <c r="B131" t="str">
        <v>Shiuli</v>
      </c>
      <c r="C131">
        <v>0</v>
      </c>
      <c r="D131" t="str">
        <v>Sapna</v>
      </c>
      <c r="E131" t="str">
        <v>Male</v>
      </c>
      <c r="F131" t="str">
        <v>Support</v>
      </c>
      <c r="G131">
        <v>37062.1</v>
      </c>
      <c r="H131" t="str">
        <v>Under 50K</v>
      </c>
      <c r="I131" s="19">
        <v>44357</v>
      </c>
      <c r="J131">
        <v>1</v>
      </c>
      <c r="K131" t="str">
        <v>Temporary</v>
      </c>
      <c r="L131" t="str">
        <v>Chennai, India</v>
      </c>
      <c r="M131">
        <v>5.17</v>
      </c>
      <c r="N131" t="str">
        <v>Full Time</v>
      </c>
    </row>
    <row r="132" spans="1:14" x14ac:dyDescent="0.35">
      <c r="A132" t="str">
        <v>SQ02051</v>
      </c>
      <c r="B132" t="str">
        <v>Agrata</v>
      </c>
      <c r="C132">
        <v>0</v>
      </c>
      <c r="D132" t="str">
        <v>Rajarama</v>
      </c>
      <c r="E132" t="str">
        <v>Male</v>
      </c>
      <c r="F132" t="str">
        <v>Legal</v>
      </c>
      <c r="G132">
        <v>0</v>
      </c>
      <c r="H132" t="str">
        <v>Under 50K</v>
      </c>
      <c r="I132" s="19">
        <v>44462</v>
      </c>
      <c r="J132">
        <v>1</v>
      </c>
      <c r="K132" t="str">
        <v>Permanent</v>
      </c>
      <c r="L132" t="str">
        <v>Chennai, India</v>
      </c>
      <c r="M132">
        <v>4.88</v>
      </c>
      <c r="N132" t="str">
        <v>Full Time</v>
      </c>
    </row>
    <row r="133" spans="1:14" x14ac:dyDescent="0.35">
      <c r="A133" t="str">
        <v>VT04028</v>
      </c>
      <c r="B133" t="str">
        <v>Michale</v>
      </c>
      <c r="C133">
        <v>0</v>
      </c>
      <c r="D133" t="str">
        <v>Rolf</v>
      </c>
      <c r="E133" t="str">
        <v>Male</v>
      </c>
      <c r="F133" t="str">
        <v>Services</v>
      </c>
      <c r="G133">
        <v>111815.49</v>
      </c>
      <c r="H133" t="str">
        <v>Above 100K</v>
      </c>
      <c r="I133" s="19">
        <v>43895</v>
      </c>
      <c r="J133">
        <v>0.7</v>
      </c>
      <c r="K133" t="str">
        <v>Temporary</v>
      </c>
      <c r="L133" t="str">
        <v>Remote</v>
      </c>
      <c r="M133">
        <v>6.44</v>
      </c>
      <c r="N133" t="str">
        <v>Part Time</v>
      </c>
    </row>
    <row r="134" spans="1:14" x14ac:dyDescent="0.35">
      <c r="A134" t="str">
        <v>VT04028</v>
      </c>
      <c r="B134" t="str">
        <v>Michale</v>
      </c>
      <c r="C134">
        <v>0</v>
      </c>
      <c r="D134" t="str">
        <v>Rolf</v>
      </c>
      <c r="E134" t="str">
        <v>Male</v>
      </c>
      <c r="F134" t="str">
        <v>Services</v>
      </c>
      <c r="G134">
        <v>111815.49</v>
      </c>
      <c r="H134" t="str">
        <v>Above 100K</v>
      </c>
      <c r="I134" s="19">
        <v>43895</v>
      </c>
      <c r="J134">
        <v>0.7</v>
      </c>
      <c r="K134" t="str">
        <v>Temporary</v>
      </c>
      <c r="L134" t="str">
        <v>Remote</v>
      </c>
      <c r="M134">
        <v>6.44</v>
      </c>
      <c r="N134" t="str">
        <v>Part Time</v>
      </c>
    </row>
    <row r="135" spans="1:14" x14ac:dyDescent="0.35">
      <c r="A135" t="str">
        <v>TN01632</v>
      </c>
      <c r="B135" t="str">
        <v>Katya</v>
      </c>
      <c r="C135">
        <v>0</v>
      </c>
      <c r="D135" t="str">
        <v>Hundy</v>
      </c>
      <c r="E135" t="str">
        <v>Male</v>
      </c>
      <c r="F135" t="str">
        <v>Business Development</v>
      </c>
      <c r="G135">
        <v>88511.17</v>
      </c>
      <c r="H135" t="str">
        <v>50K-100K</v>
      </c>
      <c r="I135" s="19">
        <v>43950</v>
      </c>
      <c r="J135">
        <v>1</v>
      </c>
      <c r="K135" t="str">
        <v>Permanent</v>
      </c>
      <c r="L135" t="str">
        <v>Columbus, USA</v>
      </c>
      <c r="M135">
        <v>6.28</v>
      </c>
      <c r="N135" t="str">
        <v>Full Time</v>
      </c>
    </row>
    <row r="136" spans="1:14" x14ac:dyDescent="0.35">
      <c r="A136" t="str">
        <v>SQ03626</v>
      </c>
      <c r="B136" t="str">
        <v>Krishnakanta</v>
      </c>
      <c r="C136">
        <v>0</v>
      </c>
      <c r="D136" t="str">
        <v>Vellanki</v>
      </c>
      <c r="E136" t="str">
        <v>Female</v>
      </c>
      <c r="F136" t="str">
        <v>Training</v>
      </c>
      <c r="G136">
        <v>95677.9</v>
      </c>
      <c r="H136" t="str">
        <v>50K-100K</v>
      </c>
      <c r="I136" s="19">
        <v>44396</v>
      </c>
      <c r="J136">
        <v>0.3</v>
      </c>
      <c r="K136" t="str">
        <v>Permanent</v>
      </c>
      <c r="L136" t="str">
        <v>Chennai, India</v>
      </c>
      <c r="M136">
        <v>5.0599999999999996</v>
      </c>
      <c r="N136" t="str">
        <v>Part Time</v>
      </c>
    </row>
    <row r="137" spans="1:14" x14ac:dyDescent="0.35">
      <c r="A137" t="str">
        <v>TN01340</v>
      </c>
      <c r="B137" t="str">
        <v>Granny</v>
      </c>
      <c r="C137">
        <v>0</v>
      </c>
      <c r="D137" t="str">
        <v>Spencelayh</v>
      </c>
      <c r="E137" t="str">
        <v>Male</v>
      </c>
      <c r="F137" t="str">
        <v>Legal</v>
      </c>
      <c r="G137">
        <v>99460.78</v>
      </c>
      <c r="H137" t="str">
        <v>50K-100K</v>
      </c>
      <c r="I137" s="19">
        <v>43956</v>
      </c>
      <c r="J137">
        <v>1</v>
      </c>
      <c r="K137" t="str">
        <v>Permanent</v>
      </c>
      <c r="L137" t="str">
        <v>Remote</v>
      </c>
      <c r="M137">
        <v>6.27</v>
      </c>
      <c r="N137" t="str">
        <v>Full Time</v>
      </c>
    </row>
    <row r="138" spans="1:14" x14ac:dyDescent="0.35">
      <c r="A138" t="str">
        <v>SQ01998</v>
      </c>
      <c r="B138" t="str">
        <v>Vanmala</v>
      </c>
      <c r="C138">
        <v>0</v>
      </c>
      <c r="D138" t="str">
        <v>Shriharsha</v>
      </c>
      <c r="E138" t="str">
        <v>Male</v>
      </c>
      <c r="F138" t="str">
        <v>Product Management</v>
      </c>
      <c r="G138">
        <v>40445.29</v>
      </c>
      <c r="H138" t="str">
        <v>Under 50K</v>
      </c>
      <c r="I138" s="19">
        <v>44393</v>
      </c>
      <c r="J138">
        <v>1</v>
      </c>
      <c r="K138" t="str">
        <v>Permanent</v>
      </c>
      <c r="L138" t="str">
        <v>Chennai, India</v>
      </c>
      <c r="M138">
        <v>5.07</v>
      </c>
      <c r="N138" t="str">
        <v>Full Time</v>
      </c>
    </row>
    <row r="139" spans="1:14" x14ac:dyDescent="0.35">
      <c r="A139" t="str">
        <v>PR04446</v>
      </c>
      <c r="B139" t="str">
        <v>Sameer</v>
      </c>
      <c r="C139" t="str">
        <v>Shashank</v>
      </c>
      <c r="D139" t="str">
        <v>Sapra</v>
      </c>
      <c r="E139" t="str">
        <v>Female</v>
      </c>
      <c r="F139" t="str">
        <v>Research and Development</v>
      </c>
      <c r="G139">
        <v>92336.08</v>
      </c>
      <c r="H139" t="str">
        <v>50K-100K</v>
      </c>
      <c r="I139" s="19">
        <v>44431</v>
      </c>
      <c r="J139">
        <v>1</v>
      </c>
      <c r="K139" t="str">
        <v>Permanent</v>
      </c>
      <c r="L139" t="str">
        <v>Hyderabad, India</v>
      </c>
      <c r="M139">
        <v>4.97</v>
      </c>
      <c r="N139" t="str">
        <v>Full Time</v>
      </c>
    </row>
    <row r="140" spans="1:14" x14ac:dyDescent="0.35">
      <c r="A140" t="str">
        <v>SQ01283</v>
      </c>
      <c r="B140" t="str">
        <v>Barr</v>
      </c>
      <c r="C140">
        <v>0</v>
      </c>
      <c r="D140" t="str">
        <v>Faughny</v>
      </c>
      <c r="E140" t="str">
        <v>Female</v>
      </c>
      <c r="F140" t="str">
        <v>Marketing</v>
      </c>
      <c r="G140">
        <v>68008.55</v>
      </c>
      <c r="H140" t="str">
        <v>50K-100K</v>
      </c>
      <c r="I140" s="19">
        <v>44062</v>
      </c>
      <c r="J140">
        <v>1</v>
      </c>
      <c r="K140" t="str">
        <v>Permanent</v>
      </c>
      <c r="L140" t="str">
        <v>Auckland, New Zealand</v>
      </c>
      <c r="M140">
        <v>5.98</v>
      </c>
      <c r="N140" t="str">
        <v>Full Time</v>
      </c>
    </row>
    <row r="141" spans="1:14" x14ac:dyDescent="0.35">
      <c r="A141" t="str">
        <v>SQ01026</v>
      </c>
      <c r="B141" t="str">
        <v>Anumati</v>
      </c>
      <c r="C141" t="str">
        <v>Shyamari</v>
      </c>
      <c r="D141" t="str">
        <v>Meherhomji</v>
      </c>
      <c r="E141" t="str">
        <v>Male</v>
      </c>
      <c r="F141" t="str">
        <v>Product Management</v>
      </c>
      <c r="G141">
        <v>74924.649999999994</v>
      </c>
      <c r="H141" t="str">
        <v>50K-100K</v>
      </c>
      <c r="I141" s="19">
        <v>44239</v>
      </c>
      <c r="J141">
        <v>1</v>
      </c>
      <c r="K141" t="str">
        <v>Permanent</v>
      </c>
      <c r="L141" t="str">
        <v>Hyderabad, India</v>
      </c>
      <c r="M141">
        <v>5.49</v>
      </c>
      <c r="N141" t="str">
        <v>Full Time</v>
      </c>
    </row>
    <row r="142" spans="1:14" x14ac:dyDescent="0.35">
      <c r="A142" t="str">
        <v>SQ00022</v>
      </c>
      <c r="B142" t="str">
        <v>Carlin</v>
      </c>
      <c r="C142">
        <v>0</v>
      </c>
      <c r="D142" t="str">
        <v>Demke</v>
      </c>
      <c r="E142" t="str">
        <v>Male</v>
      </c>
      <c r="F142" t="str">
        <v>Business Development</v>
      </c>
      <c r="G142">
        <v>110042.37</v>
      </c>
      <c r="H142" t="str">
        <v>Above 100K</v>
      </c>
      <c r="I142" s="19">
        <v>43914</v>
      </c>
      <c r="J142">
        <v>1</v>
      </c>
      <c r="K142" t="str">
        <v>Permanent</v>
      </c>
      <c r="L142" t="str">
        <v>Columbus, USA</v>
      </c>
      <c r="M142">
        <v>6.38</v>
      </c>
      <c r="N142" t="str">
        <v>Full Time</v>
      </c>
    </row>
    <row r="143" spans="1:14" x14ac:dyDescent="0.35">
      <c r="A143" t="str">
        <v>VT03704</v>
      </c>
      <c r="B143" t="str">
        <v>Egor</v>
      </c>
      <c r="C143">
        <v>0</v>
      </c>
      <c r="D143" t="str">
        <v>Minto</v>
      </c>
      <c r="E143" t="str">
        <v>Missing</v>
      </c>
      <c r="F143" t="str">
        <v>Legal</v>
      </c>
      <c r="G143">
        <v>63447.07</v>
      </c>
      <c r="H143" t="str">
        <v>50K-100K</v>
      </c>
      <c r="I143" s="19">
        <v>44148</v>
      </c>
      <c r="J143">
        <v>1</v>
      </c>
      <c r="K143" t="str">
        <v>Temporary</v>
      </c>
      <c r="L143" t="str">
        <v>Wellington, New Zealand</v>
      </c>
      <c r="M143">
        <v>5.74</v>
      </c>
      <c r="N143" t="str">
        <v>Full Time</v>
      </c>
    </row>
    <row r="144" spans="1:14" x14ac:dyDescent="0.35">
      <c r="A144" t="str">
        <v>TN01256</v>
      </c>
      <c r="B144" t="str">
        <v>Shattesh</v>
      </c>
      <c r="C144">
        <v>0</v>
      </c>
      <c r="D144" t="str">
        <v>Utpat</v>
      </c>
      <c r="E144" t="str">
        <v>Male</v>
      </c>
      <c r="F144" t="str">
        <v>Legal</v>
      </c>
      <c r="G144">
        <v>28481.16</v>
      </c>
      <c r="H144" t="str">
        <v>Under 50K</v>
      </c>
      <c r="I144" s="19">
        <v>43916</v>
      </c>
      <c r="J144">
        <v>1</v>
      </c>
      <c r="K144" t="str">
        <v>Permanent</v>
      </c>
      <c r="L144" t="str">
        <v>Hyderabad, India</v>
      </c>
      <c r="M144">
        <v>6.38</v>
      </c>
      <c r="N144" t="str">
        <v>Full Time</v>
      </c>
    </row>
    <row r="145" spans="1:14" x14ac:dyDescent="0.35">
      <c r="A145" t="str">
        <v>TN04660</v>
      </c>
      <c r="B145" t="str">
        <v>Thedrick</v>
      </c>
      <c r="C145">
        <v>0</v>
      </c>
      <c r="D145" t="str">
        <v>Bothwell</v>
      </c>
      <c r="E145" t="str">
        <v>Male</v>
      </c>
      <c r="F145" t="str">
        <v>Business Development</v>
      </c>
      <c r="G145">
        <v>69764.100000000006</v>
      </c>
      <c r="H145" t="str">
        <v>50K-100K</v>
      </c>
      <c r="I145" s="19">
        <v>44195</v>
      </c>
      <c r="J145">
        <v>1</v>
      </c>
      <c r="K145" t="str">
        <v>Fixed Term</v>
      </c>
      <c r="L145" t="str">
        <v>Seattle, USA</v>
      </c>
      <c r="M145">
        <v>5.61</v>
      </c>
      <c r="N145" t="str">
        <v>Full Time</v>
      </c>
    </row>
    <row r="146" spans="1:14" x14ac:dyDescent="0.35">
      <c r="A146" t="str">
        <v>VT00596</v>
      </c>
      <c r="B146" t="str">
        <v>Letisha</v>
      </c>
      <c r="C146">
        <v>0</v>
      </c>
      <c r="D146" t="str">
        <v>Carrett</v>
      </c>
      <c r="E146" t="str">
        <v>Female</v>
      </c>
      <c r="F146" t="str">
        <v>Sales</v>
      </c>
      <c r="G146">
        <v>84598.88</v>
      </c>
      <c r="H146" t="str">
        <v>50K-100K</v>
      </c>
      <c r="I146" s="19">
        <v>44116</v>
      </c>
      <c r="J146">
        <v>1</v>
      </c>
      <c r="K146" t="str">
        <v>Fixed Term</v>
      </c>
      <c r="L146" t="str">
        <v>Seattle, USA</v>
      </c>
      <c r="M146">
        <v>5.83</v>
      </c>
      <c r="N146" t="str">
        <v>Full Time</v>
      </c>
    </row>
    <row r="147" spans="1:14" x14ac:dyDescent="0.35">
      <c r="A147" t="str">
        <v>VT03552</v>
      </c>
      <c r="B147" t="str">
        <v>Kamalakshi</v>
      </c>
      <c r="C147">
        <v>0</v>
      </c>
      <c r="D147" t="str">
        <v>Mukundan</v>
      </c>
      <c r="E147" t="str">
        <v>Male</v>
      </c>
      <c r="F147" t="str">
        <v>Engineering</v>
      </c>
      <c r="G147">
        <v>36536.26</v>
      </c>
      <c r="H147" t="str">
        <v>Under 50K</v>
      </c>
      <c r="I147" s="19">
        <v>44358</v>
      </c>
      <c r="J147">
        <v>1</v>
      </c>
      <c r="K147" t="str">
        <v>Temporary</v>
      </c>
      <c r="L147" t="str">
        <v>Hyderabad, India</v>
      </c>
      <c r="M147">
        <v>5.17</v>
      </c>
      <c r="N147" t="str">
        <v>Full Time</v>
      </c>
    </row>
    <row r="148" spans="1:14" x14ac:dyDescent="0.35">
      <c r="A148" t="str">
        <v>SQ00914</v>
      </c>
      <c r="B148" t="str">
        <v>Karuna</v>
      </c>
      <c r="C148">
        <v>0</v>
      </c>
      <c r="D148" t="str">
        <v>Pashupathy</v>
      </c>
      <c r="E148" t="str">
        <v>Female</v>
      </c>
      <c r="F148" t="str">
        <v>Product Management</v>
      </c>
      <c r="G148">
        <v>38438.239999999998</v>
      </c>
      <c r="H148" t="str">
        <v>Under 50K</v>
      </c>
      <c r="I148" s="19">
        <v>43962</v>
      </c>
      <c r="J148">
        <v>1</v>
      </c>
      <c r="K148" t="str">
        <v>Permanent</v>
      </c>
      <c r="L148" t="str">
        <v>Chennai, India</v>
      </c>
      <c r="M148">
        <v>6.25</v>
      </c>
      <c r="N148" t="str">
        <v>Full Time</v>
      </c>
    </row>
    <row r="149" spans="1:14" x14ac:dyDescent="0.35">
      <c r="A149" t="str">
        <v>TN02674</v>
      </c>
      <c r="B149" t="str">
        <v>Antonetta</v>
      </c>
      <c r="C149">
        <v>0</v>
      </c>
      <c r="D149" t="str">
        <v>Coggeshall</v>
      </c>
      <c r="E149" t="str">
        <v>Male</v>
      </c>
      <c r="F149" t="str">
        <v>Sales</v>
      </c>
      <c r="G149">
        <v>96753.78</v>
      </c>
      <c r="H149" t="str">
        <v>50K-100K</v>
      </c>
      <c r="I149" s="19">
        <v>44494</v>
      </c>
      <c r="J149">
        <v>1</v>
      </c>
      <c r="K149" t="str">
        <v>Permanent</v>
      </c>
      <c r="L149" t="str">
        <v>Auckland, New Zealand</v>
      </c>
      <c r="M149">
        <v>4.79</v>
      </c>
      <c r="N149" t="str">
        <v>Full Time</v>
      </c>
    </row>
    <row r="150" spans="1:14" x14ac:dyDescent="0.35">
      <c r="A150" t="str">
        <v>PR03886</v>
      </c>
      <c r="B150" t="str">
        <v>Edd</v>
      </c>
      <c r="C150">
        <v>0</v>
      </c>
      <c r="D150" t="str">
        <v>MacKnockiter</v>
      </c>
      <c r="E150" t="str">
        <v>Male</v>
      </c>
      <c r="F150" t="str">
        <v>Accounting</v>
      </c>
      <c r="G150">
        <v>119022.49</v>
      </c>
      <c r="H150" t="str">
        <v>Above 100K</v>
      </c>
      <c r="I150" s="19">
        <v>44431</v>
      </c>
      <c r="J150">
        <v>1</v>
      </c>
      <c r="K150" t="str">
        <v>Permanent</v>
      </c>
      <c r="L150" t="str">
        <v>Auckland, New Zealand</v>
      </c>
      <c r="M150">
        <v>4.97</v>
      </c>
      <c r="N150" t="str">
        <v>Full Time</v>
      </c>
    </row>
    <row r="151" spans="1:14" x14ac:dyDescent="0.35">
      <c r="A151" t="str">
        <v>PR00746</v>
      </c>
      <c r="B151" t="str">
        <v>Hogan</v>
      </c>
      <c r="C151">
        <v>0</v>
      </c>
      <c r="D151" t="str">
        <v>Iles</v>
      </c>
      <c r="E151" t="str">
        <v>Female</v>
      </c>
      <c r="F151" t="str">
        <v>Accounting</v>
      </c>
      <c r="G151">
        <v>114177.23</v>
      </c>
      <c r="H151" t="str">
        <v>Above 100K</v>
      </c>
      <c r="I151" s="19">
        <v>43908</v>
      </c>
      <c r="J151">
        <v>1</v>
      </c>
      <c r="K151" t="str">
        <v>Permanent</v>
      </c>
      <c r="L151" t="str">
        <v>Wellington, New Zealand</v>
      </c>
      <c r="M151">
        <v>6.4</v>
      </c>
      <c r="N151" t="str">
        <v>Full Time</v>
      </c>
    </row>
    <row r="152" spans="1:14" x14ac:dyDescent="0.35">
      <c r="A152" t="str">
        <v>SQ03387</v>
      </c>
      <c r="B152" t="str">
        <v>Robinia</v>
      </c>
      <c r="C152">
        <v>0</v>
      </c>
      <c r="D152" t="str">
        <v>Scholling</v>
      </c>
      <c r="E152" t="str">
        <v>Female</v>
      </c>
      <c r="F152" t="str">
        <v>Human Resources</v>
      </c>
      <c r="G152">
        <v>100731.95</v>
      </c>
      <c r="H152" t="str">
        <v>Above 100K</v>
      </c>
      <c r="I152" s="19">
        <v>43936</v>
      </c>
      <c r="J152">
        <v>1</v>
      </c>
      <c r="K152" t="str">
        <v>Permanent</v>
      </c>
      <c r="L152" t="str">
        <v>Auckland, New Zealand</v>
      </c>
      <c r="M152">
        <v>6.32</v>
      </c>
      <c r="N152" t="str">
        <v>Full Time</v>
      </c>
    </row>
    <row r="153" spans="1:14" x14ac:dyDescent="0.35">
      <c r="A153" t="str">
        <v>SQ03733</v>
      </c>
      <c r="B153" t="str">
        <v>Revkah</v>
      </c>
      <c r="C153">
        <v>0</v>
      </c>
      <c r="D153" t="str">
        <v>Antonacci</v>
      </c>
      <c r="E153" t="str">
        <v>Male</v>
      </c>
      <c r="F153" t="str">
        <v>Engineering</v>
      </c>
      <c r="G153">
        <v>109143.17</v>
      </c>
      <c r="H153" t="str">
        <v>Above 100K</v>
      </c>
      <c r="I153" s="19">
        <v>43945</v>
      </c>
      <c r="J153">
        <v>1</v>
      </c>
      <c r="K153" t="str">
        <v>Permanent</v>
      </c>
      <c r="L153" t="str">
        <v>Wellington, New Zealand</v>
      </c>
      <c r="M153">
        <v>6.3</v>
      </c>
      <c r="N153" t="str">
        <v>Full Time</v>
      </c>
    </row>
    <row r="154" spans="1:14" x14ac:dyDescent="0.35">
      <c r="A154" t="str">
        <v>VT04467</v>
      </c>
      <c r="B154" t="str">
        <v>Amal</v>
      </c>
      <c r="C154">
        <v>0</v>
      </c>
      <c r="D154" t="str">
        <v>Nimesh</v>
      </c>
      <c r="E154" t="str">
        <v>Female</v>
      </c>
      <c r="F154" t="str">
        <v>Marketing</v>
      </c>
      <c r="G154">
        <v>70755.5</v>
      </c>
      <c r="H154" t="str">
        <v>50K-100K</v>
      </c>
      <c r="I154" s="19">
        <v>44090</v>
      </c>
      <c r="J154">
        <v>0.8</v>
      </c>
      <c r="K154" t="str">
        <v>Temporary</v>
      </c>
      <c r="L154" t="str">
        <v>Hyderabad, India</v>
      </c>
      <c r="M154">
        <v>5.9</v>
      </c>
      <c r="N154" t="str">
        <v>Part Time</v>
      </c>
    </row>
    <row r="155" spans="1:14" x14ac:dyDescent="0.35">
      <c r="A155" t="str">
        <v>VT03537</v>
      </c>
      <c r="B155" t="str">
        <v>Renaldo</v>
      </c>
      <c r="C155">
        <v>0</v>
      </c>
      <c r="D155" t="str">
        <v>Thomassin</v>
      </c>
      <c r="E155" t="str">
        <v>Male</v>
      </c>
      <c r="F155" t="str">
        <v>Business Development</v>
      </c>
      <c r="G155">
        <v>73360.38</v>
      </c>
      <c r="H155" t="str">
        <v>50K-100K</v>
      </c>
      <c r="I155" s="19">
        <v>43972</v>
      </c>
      <c r="J155">
        <v>1</v>
      </c>
      <c r="K155" t="str">
        <v>Temporary</v>
      </c>
      <c r="L155" t="str">
        <v>Remote</v>
      </c>
      <c r="M155">
        <v>6.22</v>
      </c>
      <c r="N155" t="str">
        <v>Full Time</v>
      </c>
    </row>
    <row r="156" spans="1:14" x14ac:dyDescent="0.35">
      <c r="A156" t="str">
        <v>PR01269</v>
      </c>
      <c r="B156" t="str">
        <v>Eleonore</v>
      </c>
      <c r="C156">
        <v>0</v>
      </c>
      <c r="D156" t="str">
        <v>Airdrie</v>
      </c>
      <c r="E156" t="str">
        <v>Female</v>
      </c>
      <c r="F156" t="str">
        <v>Engineering</v>
      </c>
      <c r="G156">
        <v>97105.19</v>
      </c>
      <c r="H156" t="str">
        <v>50K-100K</v>
      </c>
      <c r="I156" s="19">
        <v>44425</v>
      </c>
      <c r="J156">
        <v>1</v>
      </c>
      <c r="K156" t="str">
        <v>Permanent</v>
      </c>
      <c r="L156" t="str">
        <v>Columbus, USA</v>
      </c>
      <c r="M156">
        <v>4.9800000000000004</v>
      </c>
      <c r="N156" t="str">
        <v>Full Time</v>
      </c>
    </row>
    <row r="157" spans="1:14" x14ac:dyDescent="0.35">
      <c r="A157" t="str">
        <v>TN00579</v>
      </c>
      <c r="B157" t="str">
        <v>Rafaelita</v>
      </c>
      <c r="C157">
        <v>0</v>
      </c>
      <c r="D157" t="str">
        <v>Blaksland</v>
      </c>
      <c r="E157" t="str">
        <v>Female</v>
      </c>
      <c r="F157" t="str">
        <v>Services</v>
      </c>
      <c r="G157">
        <v>109163.39</v>
      </c>
      <c r="H157" t="str">
        <v>Above 100K</v>
      </c>
      <c r="I157" s="19">
        <v>44019</v>
      </c>
      <c r="J157">
        <v>0.8</v>
      </c>
      <c r="K157" t="str">
        <v>Permanent</v>
      </c>
      <c r="L157" t="str">
        <v>Seattle, USA</v>
      </c>
      <c r="M157">
        <v>6.1</v>
      </c>
      <c r="N157" t="str">
        <v>Part Time</v>
      </c>
    </row>
    <row r="158" spans="1:14" x14ac:dyDescent="0.35">
      <c r="A158" t="str">
        <v>SQ02174</v>
      </c>
      <c r="B158" t="str">
        <v>Sidoney</v>
      </c>
      <c r="C158">
        <v>0</v>
      </c>
      <c r="D158" t="str">
        <v>Yitzhok</v>
      </c>
      <c r="E158" t="str">
        <v>Female</v>
      </c>
      <c r="F158" t="str">
        <v>Engineering</v>
      </c>
      <c r="G158">
        <v>118442.54</v>
      </c>
      <c r="H158" t="str">
        <v>Above 100K</v>
      </c>
      <c r="I158" s="19">
        <v>44193</v>
      </c>
      <c r="J158">
        <v>1</v>
      </c>
      <c r="K158" t="str">
        <v>Permanent</v>
      </c>
      <c r="L158" t="str">
        <v>Auckland, New Zealand</v>
      </c>
      <c r="M158">
        <v>5.62</v>
      </c>
      <c r="N158" t="str">
        <v>Full Time</v>
      </c>
    </row>
    <row r="159" spans="1:14" x14ac:dyDescent="0.35">
      <c r="A159" t="str">
        <v>VT00596</v>
      </c>
      <c r="B159" t="str">
        <v>Letisha</v>
      </c>
      <c r="C159">
        <v>0</v>
      </c>
      <c r="D159" t="str">
        <v>Carrett</v>
      </c>
      <c r="E159" t="str">
        <v>Female</v>
      </c>
      <c r="F159" t="str">
        <v>Sales</v>
      </c>
      <c r="G159">
        <v>84598.88</v>
      </c>
      <c r="H159" t="str">
        <v>50K-100K</v>
      </c>
      <c r="I159" s="19">
        <v>44116</v>
      </c>
      <c r="J159">
        <v>1</v>
      </c>
      <c r="K159" t="str">
        <v>Fixed Term</v>
      </c>
      <c r="L159" t="str">
        <v>Seattle, USA</v>
      </c>
      <c r="M159">
        <v>5.83</v>
      </c>
      <c r="N159" t="str">
        <v>Full Time</v>
      </c>
    </row>
    <row r="160" spans="1:14" x14ac:dyDescent="0.35">
      <c r="A160" t="str">
        <v>TN01601</v>
      </c>
      <c r="B160" t="str">
        <v>Melva</v>
      </c>
      <c r="C160">
        <v>0</v>
      </c>
      <c r="D160" t="str">
        <v>Jickells</v>
      </c>
      <c r="E160" t="str">
        <v>Female</v>
      </c>
      <c r="F160" t="str">
        <v>Product Management</v>
      </c>
      <c r="G160">
        <v>68795.48</v>
      </c>
      <c r="H160" t="str">
        <v>50K-100K</v>
      </c>
      <c r="I160" s="19">
        <v>44277</v>
      </c>
      <c r="J160">
        <v>0.2</v>
      </c>
      <c r="K160" t="str">
        <v>Permanent</v>
      </c>
      <c r="L160" t="str">
        <v>Remote</v>
      </c>
      <c r="M160">
        <v>5.39</v>
      </c>
      <c r="N160" t="str">
        <v>Part Time</v>
      </c>
    </row>
    <row r="161" spans="1:14" x14ac:dyDescent="0.35">
      <c r="A161" t="str">
        <v>VT01246</v>
      </c>
      <c r="B161" t="str">
        <v>Zach</v>
      </c>
      <c r="C161">
        <v>0</v>
      </c>
      <c r="D161" t="str">
        <v>Polon</v>
      </c>
      <c r="E161" t="str">
        <v>Male</v>
      </c>
      <c r="F161" t="str">
        <v>Marketing</v>
      </c>
      <c r="G161">
        <v>53535.62</v>
      </c>
      <c r="H161" t="str">
        <v>50K-100K</v>
      </c>
      <c r="I161" s="19">
        <v>44110</v>
      </c>
      <c r="J161">
        <v>0.5</v>
      </c>
      <c r="K161" t="str">
        <v>Fixed Term</v>
      </c>
      <c r="L161" t="str">
        <v>Seattle, USA</v>
      </c>
      <c r="M161">
        <v>5.85</v>
      </c>
      <c r="N161" t="str">
        <v>Part Time</v>
      </c>
    </row>
    <row r="162" spans="1:14" x14ac:dyDescent="0.35">
      <c r="A162" t="str">
        <v>TN04166</v>
      </c>
      <c r="B162" t="str">
        <v>Tadio</v>
      </c>
      <c r="C162">
        <v>0</v>
      </c>
      <c r="D162" t="str">
        <v>Dowdle</v>
      </c>
      <c r="E162" t="str">
        <v>Female</v>
      </c>
      <c r="F162" t="str">
        <v>Product Management</v>
      </c>
      <c r="G162">
        <v>91929.69</v>
      </c>
      <c r="H162" t="str">
        <v>50K-100K</v>
      </c>
      <c r="I162" s="19">
        <v>44085</v>
      </c>
      <c r="J162">
        <v>1</v>
      </c>
      <c r="K162" t="str">
        <v>Fixed Term</v>
      </c>
      <c r="L162" t="str">
        <v>Remote</v>
      </c>
      <c r="M162">
        <v>5.92</v>
      </c>
      <c r="N162" t="str">
        <v>Full Time</v>
      </c>
    </row>
    <row r="163" spans="1:14" x14ac:dyDescent="0.35">
      <c r="A163" t="str">
        <v>PR00770</v>
      </c>
      <c r="B163" t="str">
        <v>Beryl</v>
      </c>
      <c r="C163">
        <v>0</v>
      </c>
      <c r="D163" t="str">
        <v>Burnsyde</v>
      </c>
      <c r="E163" t="str">
        <v>Male</v>
      </c>
      <c r="F163" t="str">
        <v>Legal</v>
      </c>
      <c r="G163">
        <v>29774.76</v>
      </c>
      <c r="H163" t="str">
        <v>Under 50K</v>
      </c>
      <c r="I163" s="19">
        <v>44105</v>
      </c>
      <c r="J163">
        <v>1</v>
      </c>
      <c r="K163" t="str">
        <v>Permanent</v>
      </c>
      <c r="L163" t="str">
        <v>Wellington, New Zealand</v>
      </c>
      <c r="M163">
        <v>5.86</v>
      </c>
      <c r="N163" t="str">
        <v>Full Time</v>
      </c>
    </row>
    <row r="164" spans="1:14" x14ac:dyDescent="0.35">
      <c r="A164" t="str">
        <v>VT01762</v>
      </c>
      <c r="B164" t="str">
        <v>Geena</v>
      </c>
      <c r="C164">
        <v>0</v>
      </c>
      <c r="D164" t="str">
        <v>Raghavanpillai</v>
      </c>
      <c r="E164" t="str">
        <v>Male</v>
      </c>
      <c r="F164" t="str">
        <v>Accounting</v>
      </c>
      <c r="G164">
        <v>102515.81</v>
      </c>
      <c r="H164" t="str">
        <v>Above 100K</v>
      </c>
      <c r="I164" s="19">
        <v>43902</v>
      </c>
      <c r="J164">
        <v>1</v>
      </c>
      <c r="K164" t="str">
        <v>Fixed Term</v>
      </c>
      <c r="L164" t="str">
        <v>Chennai, India</v>
      </c>
      <c r="M164">
        <v>6.42</v>
      </c>
      <c r="N164" t="str">
        <v>Full Time</v>
      </c>
    </row>
    <row r="165" spans="1:14" x14ac:dyDescent="0.35">
      <c r="A165" t="str">
        <v>TN01601</v>
      </c>
      <c r="B165" t="str">
        <v>Melva</v>
      </c>
      <c r="C165">
        <v>0</v>
      </c>
      <c r="D165" t="str">
        <v>Jickells</v>
      </c>
      <c r="E165" t="str">
        <v>Female</v>
      </c>
      <c r="F165" t="str">
        <v>Product Management</v>
      </c>
      <c r="G165">
        <v>68795.48</v>
      </c>
      <c r="H165" t="str">
        <v>50K-100K</v>
      </c>
      <c r="I165" s="19">
        <v>44277</v>
      </c>
      <c r="J165">
        <v>0.2</v>
      </c>
      <c r="K165" t="str">
        <v>Permanent</v>
      </c>
      <c r="L165" t="str">
        <v>Remote</v>
      </c>
      <c r="M165">
        <v>5.39</v>
      </c>
      <c r="N165" t="str">
        <v>Part Time</v>
      </c>
    </row>
    <row r="166" spans="1:14" x14ac:dyDescent="0.35">
      <c r="A166" t="str">
        <v>SQ00187</v>
      </c>
      <c r="B166" t="str">
        <v>Rupak</v>
      </c>
      <c r="C166">
        <v>0</v>
      </c>
      <c r="D166" t="str">
        <v>Mehra</v>
      </c>
      <c r="E166" t="str">
        <v>Female</v>
      </c>
      <c r="F166" t="str">
        <v>Services</v>
      </c>
      <c r="G166">
        <v>71229.42</v>
      </c>
      <c r="H166" t="str">
        <v>50K-100K</v>
      </c>
      <c r="I166" s="19">
        <v>44166</v>
      </c>
      <c r="J166">
        <v>1</v>
      </c>
      <c r="K166" t="str">
        <v>Permanent</v>
      </c>
      <c r="L166" t="str">
        <v>Hyderabad, India</v>
      </c>
      <c r="M166">
        <v>5.69</v>
      </c>
      <c r="N166" t="str">
        <v>Full Time</v>
      </c>
    </row>
    <row r="167" spans="1:14" x14ac:dyDescent="0.35">
      <c r="A167" t="str">
        <v>PR01383</v>
      </c>
      <c r="B167" t="str">
        <v>Addi</v>
      </c>
      <c r="C167">
        <v>0</v>
      </c>
      <c r="D167" t="str">
        <v>Studdeard</v>
      </c>
      <c r="E167" t="str">
        <v>Female</v>
      </c>
      <c r="F167" t="str">
        <v>Product Management</v>
      </c>
      <c r="G167">
        <v>72502.61</v>
      </c>
      <c r="H167" t="str">
        <v>50K-100K</v>
      </c>
      <c r="I167" s="19">
        <v>44235</v>
      </c>
      <c r="J167">
        <v>1</v>
      </c>
      <c r="K167" t="str">
        <v>Permanent</v>
      </c>
      <c r="L167" t="str">
        <v>Wellington, New Zealand</v>
      </c>
      <c r="M167">
        <v>5.5</v>
      </c>
      <c r="N167" t="str">
        <v>Full Time</v>
      </c>
    </row>
    <row r="168" spans="1:14" x14ac:dyDescent="0.35">
      <c r="A168" t="str">
        <v>TN00258</v>
      </c>
      <c r="B168" t="str">
        <v>Joyce</v>
      </c>
      <c r="C168">
        <v>0</v>
      </c>
      <c r="D168" t="str">
        <v>Leyband</v>
      </c>
      <c r="E168" t="str">
        <v>Female</v>
      </c>
      <c r="F168" t="str">
        <v>Product Management</v>
      </c>
      <c r="G168">
        <v>68197.899999999994</v>
      </c>
      <c r="H168" t="str">
        <v>50K-100K</v>
      </c>
      <c r="I168" s="19">
        <v>44119</v>
      </c>
      <c r="J168">
        <v>1</v>
      </c>
      <c r="K168" t="str">
        <v>Permanent</v>
      </c>
      <c r="L168" t="str">
        <v>Auckland, New Zealand</v>
      </c>
      <c r="M168">
        <v>5.82</v>
      </c>
      <c r="N168" t="str">
        <v>Full Time</v>
      </c>
    </row>
    <row r="169" spans="1:14" x14ac:dyDescent="0.35">
      <c r="A169" t="str">
        <v>TN01256</v>
      </c>
      <c r="B169" t="str">
        <v>Sawini</v>
      </c>
      <c r="C169">
        <v>0</v>
      </c>
      <c r="D169" t="str">
        <v>Chandan</v>
      </c>
      <c r="E169" t="str">
        <v>Male</v>
      </c>
      <c r="F169" t="str">
        <v>Legal</v>
      </c>
      <c r="G169">
        <v>28481.16</v>
      </c>
      <c r="H169" t="str">
        <v>Under 50K</v>
      </c>
      <c r="I169" s="19">
        <v>43916</v>
      </c>
      <c r="J169">
        <v>1</v>
      </c>
      <c r="K169" t="str">
        <v>Permanent</v>
      </c>
      <c r="L169" t="str">
        <v>Hyderabad, India</v>
      </c>
      <c r="M169">
        <v>6.38</v>
      </c>
      <c r="N169" t="str">
        <v>Full Time</v>
      </c>
    </row>
    <row r="170" spans="1:14" x14ac:dyDescent="0.35">
      <c r="A170" t="str">
        <v>VT04093</v>
      </c>
      <c r="B170" t="str">
        <v>Baruna</v>
      </c>
      <c r="C170">
        <v>0</v>
      </c>
      <c r="D170" t="str">
        <v>Ogale</v>
      </c>
      <c r="E170" t="str">
        <v>Female</v>
      </c>
      <c r="F170" t="str">
        <v>Training</v>
      </c>
      <c r="G170">
        <v>116767.63</v>
      </c>
      <c r="H170" t="str">
        <v>Above 100K</v>
      </c>
      <c r="I170" s="19">
        <v>43949</v>
      </c>
      <c r="J170">
        <v>0.4</v>
      </c>
      <c r="K170" t="str">
        <v>Temporary</v>
      </c>
      <c r="L170" t="str">
        <v>Chennai, India</v>
      </c>
      <c r="M170">
        <v>6.29</v>
      </c>
      <c r="N170" t="str">
        <v>Part Time</v>
      </c>
    </row>
    <row r="171" spans="1:14" x14ac:dyDescent="0.35">
      <c r="A171" t="str">
        <v>TN01566</v>
      </c>
      <c r="B171" t="str">
        <v>Fonzie</v>
      </c>
      <c r="C171">
        <v>0</v>
      </c>
      <c r="D171" t="str">
        <v>O'Shea</v>
      </c>
      <c r="E171" t="str">
        <v>Male</v>
      </c>
      <c r="F171" t="str">
        <v>Product Management</v>
      </c>
      <c r="G171">
        <v>80360.41</v>
      </c>
      <c r="H171" t="str">
        <v>50K-100K</v>
      </c>
      <c r="I171" s="19">
        <v>44167</v>
      </c>
      <c r="J171">
        <v>1</v>
      </c>
      <c r="K171" t="str">
        <v>Permanent</v>
      </c>
      <c r="L171" t="str">
        <v>Remote</v>
      </c>
      <c r="M171">
        <v>5.69</v>
      </c>
      <c r="N171" t="str">
        <v>Full Time</v>
      </c>
    </row>
    <row r="172" spans="1:14" x14ac:dyDescent="0.35">
      <c r="A172" t="str">
        <v>PR00007</v>
      </c>
      <c r="B172" t="str">
        <v>Torrance</v>
      </c>
      <c r="C172">
        <v>0</v>
      </c>
      <c r="D172" t="str">
        <v>Collier</v>
      </c>
      <c r="E172" t="str">
        <v>Female</v>
      </c>
      <c r="F172" t="str">
        <v>Training</v>
      </c>
      <c r="G172">
        <v>96135.75</v>
      </c>
      <c r="H172" t="str">
        <v>50K-100K</v>
      </c>
      <c r="I172" s="19">
        <v>44025</v>
      </c>
      <c r="J172">
        <v>0.3</v>
      </c>
      <c r="K172" t="str">
        <v>Permanent</v>
      </c>
      <c r="L172" t="str">
        <v>Wellington, New Zealand</v>
      </c>
      <c r="M172">
        <v>6.08</v>
      </c>
      <c r="N172" t="str">
        <v>Part Time</v>
      </c>
    </row>
    <row r="173" spans="1:14" x14ac:dyDescent="0.35">
      <c r="A173" t="str">
        <v>SQ03491</v>
      </c>
      <c r="B173" t="str">
        <v>Freda</v>
      </c>
      <c r="C173">
        <v>0</v>
      </c>
      <c r="D173" t="str">
        <v>Legan</v>
      </c>
      <c r="E173" t="str">
        <v>Female</v>
      </c>
      <c r="F173" t="str">
        <v>Sales</v>
      </c>
      <c r="G173">
        <v>102129.37</v>
      </c>
      <c r="H173" t="str">
        <v>Above 100K</v>
      </c>
      <c r="I173" s="19">
        <v>44396</v>
      </c>
      <c r="J173">
        <v>1</v>
      </c>
      <c r="K173" t="str">
        <v>Permanent</v>
      </c>
      <c r="L173" t="str">
        <v>Columbus, USA</v>
      </c>
      <c r="M173">
        <v>5.0599999999999996</v>
      </c>
      <c r="N173" t="str">
        <v>Full Time</v>
      </c>
    </row>
    <row r="174" spans="1:14" x14ac:dyDescent="0.35">
      <c r="A174" t="str">
        <v>VT00194</v>
      </c>
      <c r="B174" t="str">
        <v>Violante</v>
      </c>
      <c r="C174">
        <v>0</v>
      </c>
      <c r="D174" t="str">
        <v>Courtonne</v>
      </c>
      <c r="E174" t="str">
        <v>Female</v>
      </c>
      <c r="F174" t="str">
        <v>Product Management</v>
      </c>
      <c r="G174">
        <v>49625.64</v>
      </c>
      <c r="H174" t="str">
        <v>Under 50K</v>
      </c>
      <c r="I174" s="19">
        <v>44384</v>
      </c>
      <c r="J174">
        <v>0.5</v>
      </c>
      <c r="K174" t="str">
        <v>Fixed Term</v>
      </c>
      <c r="L174" t="str">
        <v>Remote</v>
      </c>
      <c r="M174">
        <v>5.0999999999999996</v>
      </c>
      <c r="N174" t="str">
        <v>Part Time</v>
      </c>
    </row>
    <row r="175" spans="1:14" x14ac:dyDescent="0.35">
      <c r="A175" t="str">
        <v>PR03137</v>
      </c>
      <c r="B175" t="str">
        <v>Jagajeet</v>
      </c>
      <c r="C175">
        <v>0</v>
      </c>
      <c r="D175" t="str">
        <v>Viraj</v>
      </c>
      <c r="E175" t="str">
        <v>Male</v>
      </c>
      <c r="F175" t="str">
        <v>Support</v>
      </c>
      <c r="G175">
        <v>36714.379999999997</v>
      </c>
      <c r="H175" t="str">
        <v>Under 50K</v>
      </c>
      <c r="I175" s="19">
        <v>44175</v>
      </c>
      <c r="J175">
        <v>1</v>
      </c>
      <c r="K175" t="str">
        <v>Permanent</v>
      </c>
      <c r="L175" t="str">
        <v>Chennai, India</v>
      </c>
      <c r="M175">
        <v>5.67</v>
      </c>
      <c r="N175" t="str">
        <v>Full Time</v>
      </c>
    </row>
    <row r="176" spans="1:14" x14ac:dyDescent="0.35">
      <c r="A176" t="str">
        <v>PR00246</v>
      </c>
      <c r="B176" t="str">
        <v>Husein</v>
      </c>
      <c r="C176">
        <v>0</v>
      </c>
      <c r="D176" t="str">
        <v>Augar</v>
      </c>
      <c r="E176" t="str">
        <v>Female</v>
      </c>
      <c r="F176" t="str">
        <v>Marketing</v>
      </c>
      <c r="G176">
        <v>67905.8</v>
      </c>
      <c r="H176" t="str">
        <v>50K-100K</v>
      </c>
      <c r="I176" s="19">
        <v>44194</v>
      </c>
      <c r="J176">
        <v>1</v>
      </c>
      <c r="K176" t="str">
        <v>Permanent</v>
      </c>
      <c r="L176" t="str">
        <v>Remote</v>
      </c>
      <c r="M176">
        <v>5.62</v>
      </c>
      <c r="N176" t="str">
        <v>Full Time</v>
      </c>
    </row>
    <row r="177" spans="1:14" x14ac:dyDescent="0.35">
      <c r="A177" t="str">
        <v>VT04350</v>
      </c>
      <c r="B177" t="str">
        <v>Kulbhushan</v>
      </c>
      <c r="C177">
        <v>0</v>
      </c>
      <c r="D177" t="str">
        <v>Moorthy</v>
      </c>
      <c r="E177" t="str">
        <v>Male</v>
      </c>
      <c r="F177" t="str">
        <v>Business Development</v>
      </c>
      <c r="G177">
        <v>106400.02</v>
      </c>
      <c r="H177" t="str">
        <v>Above 100K</v>
      </c>
      <c r="I177" s="19">
        <v>44021</v>
      </c>
      <c r="J177">
        <v>1</v>
      </c>
      <c r="K177" t="str">
        <v>Temporary</v>
      </c>
      <c r="L177" t="str">
        <v>Chennai, India</v>
      </c>
      <c r="M177">
        <v>6.09</v>
      </c>
      <c r="N177" t="str">
        <v>Full Time</v>
      </c>
    </row>
    <row r="178" spans="1:14" x14ac:dyDescent="0.35">
      <c r="A178" t="str">
        <v>TN02674</v>
      </c>
      <c r="B178" t="str">
        <v>Antonetta</v>
      </c>
      <c r="C178">
        <v>0</v>
      </c>
      <c r="D178" t="str">
        <v>Coggeshall</v>
      </c>
      <c r="E178" t="str">
        <v>Male</v>
      </c>
      <c r="F178" t="str">
        <v>Sales</v>
      </c>
      <c r="G178">
        <v>96753.78</v>
      </c>
      <c r="H178" t="str">
        <v>50K-100K</v>
      </c>
      <c r="I178" s="19">
        <v>44494</v>
      </c>
      <c r="J178">
        <v>1</v>
      </c>
      <c r="K178" t="str">
        <v>Permanent</v>
      </c>
      <c r="L178" t="str">
        <v>Auckland, New Zealand</v>
      </c>
      <c r="M178">
        <v>4.79</v>
      </c>
      <c r="N178" t="str">
        <v>Full Time</v>
      </c>
    </row>
    <row r="179" spans="1:14" x14ac:dyDescent="0.35">
      <c r="A179" t="str">
        <v>SQ00286</v>
      </c>
      <c r="B179" t="str">
        <v>Ilesh</v>
      </c>
      <c r="C179">
        <v>0</v>
      </c>
      <c r="D179" t="str">
        <v>Dasgupta</v>
      </c>
      <c r="E179" t="str">
        <v>Female</v>
      </c>
      <c r="F179" t="str">
        <v>Legal</v>
      </c>
      <c r="G179">
        <v>61213.01</v>
      </c>
      <c r="H179" t="str">
        <v>50K-100K</v>
      </c>
      <c r="I179" s="19">
        <v>44365</v>
      </c>
      <c r="J179">
        <v>1</v>
      </c>
      <c r="K179" t="str">
        <v>Permanent</v>
      </c>
      <c r="L179" t="str">
        <v>Chennai, India</v>
      </c>
      <c r="M179">
        <v>5.15</v>
      </c>
      <c r="N179" t="str">
        <v>Full Time</v>
      </c>
    </row>
    <row r="180" spans="1:14" x14ac:dyDescent="0.35">
      <c r="A180" t="str">
        <v>SQ03112</v>
      </c>
      <c r="B180" t="str">
        <v>Kantimoy</v>
      </c>
      <c r="C180">
        <v>0</v>
      </c>
      <c r="D180" t="str">
        <v>Pritish</v>
      </c>
      <c r="E180" t="str">
        <v>Male</v>
      </c>
      <c r="F180" t="str">
        <v>Product Management</v>
      </c>
      <c r="G180">
        <v>77743.149999999994</v>
      </c>
      <c r="H180" t="str">
        <v>50K-100K</v>
      </c>
      <c r="I180" s="19">
        <v>43920</v>
      </c>
      <c r="J180">
        <v>1</v>
      </c>
      <c r="K180" t="str">
        <v>Permanent</v>
      </c>
      <c r="L180" t="str">
        <v>Chennai, India</v>
      </c>
      <c r="M180">
        <v>6.37</v>
      </c>
      <c r="N180" t="str">
        <v>Full Time</v>
      </c>
    </row>
    <row r="181" spans="1:14" x14ac:dyDescent="0.35">
      <c r="A181" t="str">
        <v>VT04350</v>
      </c>
      <c r="B181" t="str">
        <v>Lalit</v>
      </c>
      <c r="C181">
        <v>0</v>
      </c>
      <c r="D181" t="str">
        <v>Kothari</v>
      </c>
      <c r="E181" t="str">
        <v>Male</v>
      </c>
      <c r="F181" t="str">
        <v>Business Development</v>
      </c>
      <c r="G181">
        <v>106400.02</v>
      </c>
      <c r="H181" t="str">
        <v>Above 100K</v>
      </c>
      <c r="I181" s="19">
        <v>44021</v>
      </c>
      <c r="J181">
        <v>1</v>
      </c>
      <c r="K181" t="str">
        <v>Temporary</v>
      </c>
      <c r="L181" t="str">
        <v>Chennai, India</v>
      </c>
      <c r="M181">
        <v>6.09</v>
      </c>
      <c r="N181" t="str">
        <v>Full Time</v>
      </c>
    </row>
    <row r="182" spans="1:14" x14ac:dyDescent="0.35">
      <c r="A182" t="str">
        <v>SQ01998</v>
      </c>
      <c r="B182" t="str">
        <v>Sahas</v>
      </c>
      <c r="C182" t="str">
        <v>Sanabhi</v>
      </c>
      <c r="D182" t="str">
        <v>Shrikant</v>
      </c>
      <c r="E182" t="str">
        <v>Male</v>
      </c>
      <c r="F182" t="str">
        <v>Product Management</v>
      </c>
      <c r="G182">
        <v>40445.29</v>
      </c>
      <c r="H182" t="str">
        <v>Under 50K</v>
      </c>
      <c r="I182" s="19">
        <v>44393</v>
      </c>
      <c r="J182">
        <v>1</v>
      </c>
      <c r="K182" t="str">
        <v>Permanent</v>
      </c>
      <c r="L182" t="str">
        <v>Chennai, India</v>
      </c>
      <c r="M182">
        <v>5.07</v>
      </c>
      <c r="N182" t="str">
        <v>Full Time</v>
      </c>
    </row>
    <row r="183" spans="1:14" x14ac:dyDescent="0.35">
      <c r="A183" t="str">
        <v>SQ04934</v>
      </c>
      <c r="B183" t="str">
        <v>Pedro</v>
      </c>
      <c r="C183" t="str">
        <v>St.</v>
      </c>
      <c r="D183" t="str">
        <v>Hill</v>
      </c>
      <c r="E183" t="str">
        <v>Male</v>
      </c>
      <c r="F183" t="str">
        <v>Engineering</v>
      </c>
      <c r="G183">
        <v>0</v>
      </c>
      <c r="H183" t="str">
        <v>Under 50K</v>
      </c>
      <c r="I183" s="19">
        <v>44207</v>
      </c>
      <c r="J183">
        <v>0.7</v>
      </c>
      <c r="K183" t="str">
        <v>Permanent</v>
      </c>
      <c r="L183" t="str">
        <v>Seattle, USA</v>
      </c>
      <c r="M183">
        <v>5.58</v>
      </c>
      <c r="N183" t="str">
        <v>Part Time</v>
      </c>
    </row>
    <row r="184" spans="1:14" x14ac:dyDescent="0.35">
      <c r="A184" t="str">
        <v>SQ02624</v>
      </c>
      <c r="B184" t="str">
        <v>Gwenneth</v>
      </c>
      <c r="C184">
        <v>0</v>
      </c>
      <c r="D184" t="str">
        <v>Fealey</v>
      </c>
      <c r="E184" t="str">
        <v>Female</v>
      </c>
      <c r="F184" t="str">
        <v>Engineering</v>
      </c>
      <c r="G184">
        <v>114772.32</v>
      </c>
      <c r="H184" t="str">
        <v>Above 100K</v>
      </c>
      <c r="I184" s="19">
        <v>44251</v>
      </c>
      <c r="J184">
        <v>1</v>
      </c>
      <c r="K184" t="str">
        <v>Permanent</v>
      </c>
      <c r="L184" t="str">
        <v>Columbus, USA</v>
      </c>
      <c r="M184">
        <v>5.46</v>
      </c>
      <c r="N184" t="str">
        <v>Full Time</v>
      </c>
    </row>
    <row r="185" spans="1:14" x14ac:dyDescent="0.35">
      <c r="A185" t="str">
        <v>SQ02565</v>
      </c>
      <c r="B185" t="str">
        <v>Konstantin</v>
      </c>
      <c r="C185">
        <v>0</v>
      </c>
      <c r="D185" t="str">
        <v>Timblett</v>
      </c>
      <c r="E185" t="str">
        <v>Female</v>
      </c>
      <c r="F185" t="str">
        <v>Training</v>
      </c>
      <c r="G185">
        <v>56253.81</v>
      </c>
      <c r="H185" t="str">
        <v>50K-100K</v>
      </c>
      <c r="I185" s="19">
        <v>44421</v>
      </c>
      <c r="J185">
        <v>1</v>
      </c>
      <c r="K185" t="str">
        <v>Permanent</v>
      </c>
      <c r="L185" t="str">
        <v>Auckland, New Zealand</v>
      </c>
      <c r="M185">
        <v>4.99</v>
      </c>
      <c r="N185" t="str">
        <v>Full Time</v>
      </c>
    </row>
    <row r="186" spans="1:14" x14ac:dyDescent="0.35">
      <c r="A186" t="str">
        <v>TN04265</v>
      </c>
      <c r="B186" t="str">
        <v>Rushil</v>
      </c>
      <c r="C186">
        <v>0</v>
      </c>
      <c r="D186" t="str">
        <v>Kripa</v>
      </c>
      <c r="E186" t="str">
        <v>Female</v>
      </c>
      <c r="F186" t="str">
        <v>Training</v>
      </c>
      <c r="G186">
        <v>93964.3</v>
      </c>
      <c r="H186" t="str">
        <v>50K-100K</v>
      </c>
      <c r="I186" s="19">
        <v>44454</v>
      </c>
      <c r="J186">
        <v>0.4</v>
      </c>
      <c r="K186" t="str">
        <v>Fixed Term</v>
      </c>
      <c r="L186" t="str">
        <v>Hyderabad, India</v>
      </c>
      <c r="M186">
        <v>4.9000000000000004</v>
      </c>
      <c r="N186" t="str">
        <v>Part Time</v>
      </c>
    </row>
    <row r="187" spans="1:14" x14ac:dyDescent="0.35">
      <c r="A187" t="str">
        <v>TN02204</v>
      </c>
      <c r="B187" t="str">
        <v>Aldrich</v>
      </c>
      <c r="C187">
        <v>0</v>
      </c>
      <c r="D187" t="str">
        <v>Glenny</v>
      </c>
      <c r="E187" t="str">
        <v>Male</v>
      </c>
      <c r="F187" t="str">
        <v>Business Development</v>
      </c>
      <c r="G187">
        <v>90884.32</v>
      </c>
      <c r="H187" t="str">
        <v>50K-100K</v>
      </c>
      <c r="I187" s="19">
        <v>44039</v>
      </c>
      <c r="J187">
        <v>0.5</v>
      </c>
      <c r="K187" t="str">
        <v>Permanent</v>
      </c>
      <c r="L187" t="str">
        <v>Columbus, USA</v>
      </c>
      <c r="M187">
        <v>6.04</v>
      </c>
      <c r="N187" t="str">
        <v>Part Time</v>
      </c>
    </row>
    <row r="188" spans="1:14" x14ac:dyDescent="0.35">
      <c r="A188" t="str">
        <v>PR01306</v>
      </c>
      <c r="B188" t="str">
        <v>Patti</v>
      </c>
      <c r="C188">
        <v>0</v>
      </c>
      <c r="D188" t="str">
        <v>Dradey</v>
      </c>
      <c r="E188" t="str">
        <v>Male</v>
      </c>
      <c r="F188" t="str">
        <v>Services</v>
      </c>
      <c r="G188">
        <v>84742.86</v>
      </c>
      <c r="H188" t="str">
        <v>50K-100K</v>
      </c>
      <c r="I188" s="19">
        <v>44098</v>
      </c>
      <c r="J188">
        <v>1</v>
      </c>
      <c r="K188" t="str">
        <v>Permanent</v>
      </c>
      <c r="L188" t="str">
        <v>Auckland, New Zealand</v>
      </c>
      <c r="M188">
        <v>5.88</v>
      </c>
      <c r="N188" t="str">
        <v>Full Time</v>
      </c>
    </row>
    <row r="189" spans="1:14" x14ac:dyDescent="0.35">
      <c r="A189" t="str">
        <v>VT03771</v>
      </c>
      <c r="B189" t="str">
        <v>Marjie</v>
      </c>
      <c r="C189">
        <v>0</v>
      </c>
      <c r="D189" t="str">
        <v>Bamford</v>
      </c>
      <c r="E189" t="str">
        <v>Male</v>
      </c>
      <c r="F189" t="str">
        <v>Sales</v>
      </c>
      <c r="G189">
        <v>80772.92</v>
      </c>
      <c r="H189" t="str">
        <v>50K-100K</v>
      </c>
      <c r="I189" s="19">
        <v>44137</v>
      </c>
      <c r="J189">
        <v>1</v>
      </c>
      <c r="K189" t="str">
        <v>Temporary</v>
      </c>
      <c r="L189" t="str">
        <v>Remote</v>
      </c>
      <c r="M189">
        <v>5.77</v>
      </c>
      <c r="N189" t="str">
        <v>Full Time</v>
      </c>
    </row>
    <row r="190" spans="1:14" x14ac:dyDescent="0.35">
      <c r="A190" t="str">
        <v>VT03421</v>
      </c>
      <c r="B190" t="str">
        <v>Alic</v>
      </c>
      <c r="C190">
        <v>0</v>
      </c>
      <c r="D190" t="str">
        <v>Bagg</v>
      </c>
      <c r="E190" t="str">
        <v>Male</v>
      </c>
      <c r="F190" t="str">
        <v>Legal</v>
      </c>
      <c r="G190">
        <v>113747.56</v>
      </c>
      <c r="H190" t="str">
        <v>Above 100K</v>
      </c>
      <c r="I190" s="19">
        <v>44270</v>
      </c>
      <c r="J190">
        <v>0.7</v>
      </c>
      <c r="K190" t="str">
        <v>Temporary</v>
      </c>
      <c r="L190" t="str">
        <v>Columbus, USA</v>
      </c>
      <c r="M190">
        <v>5.41</v>
      </c>
      <c r="N190" t="str">
        <v>Part Time</v>
      </c>
    </row>
    <row r="191" spans="1:14" x14ac:dyDescent="0.35">
      <c r="A191" t="str">
        <v>VT00534</v>
      </c>
      <c r="B191" t="str">
        <v>Roselle</v>
      </c>
      <c r="C191">
        <v>0</v>
      </c>
      <c r="D191" t="str">
        <v>Wandrach</v>
      </c>
      <c r="E191" t="str">
        <v>Male</v>
      </c>
      <c r="F191" t="str">
        <v>Sales</v>
      </c>
      <c r="G191">
        <v>91314.75</v>
      </c>
      <c r="H191" t="str">
        <v>50K-100K</v>
      </c>
      <c r="I191" s="19">
        <v>43931</v>
      </c>
      <c r="J191">
        <v>1</v>
      </c>
      <c r="K191" t="str">
        <v>Fixed Term</v>
      </c>
      <c r="L191" t="str">
        <v>Seattle, USA</v>
      </c>
      <c r="M191">
        <v>6.34</v>
      </c>
      <c r="N191" t="str">
        <v>Full Time</v>
      </c>
    </row>
    <row r="192" spans="1:14" x14ac:dyDescent="0.35">
      <c r="A192" t="str">
        <v>PR03804</v>
      </c>
      <c r="B192" t="str">
        <v>Sartaj</v>
      </c>
      <c r="C192">
        <v>0</v>
      </c>
      <c r="D192" t="str">
        <v>Probal</v>
      </c>
      <c r="E192" t="str">
        <v>Male</v>
      </c>
      <c r="F192" t="str">
        <v>Legal</v>
      </c>
      <c r="G192">
        <v>66572.58</v>
      </c>
      <c r="H192" t="str">
        <v>50K-100K</v>
      </c>
      <c r="I192" s="19">
        <v>44193</v>
      </c>
      <c r="J192">
        <v>1</v>
      </c>
      <c r="K192" t="str">
        <v>Permanent</v>
      </c>
      <c r="L192" t="str">
        <v>Chennai, India</v>
      </c>
      <c r="M192">
        <v>5.62</v>
      </c>
      <c r="N192" t="str">
        <v>Full Time</v>
      </c>
    </row>
    <row r="193" spans="1:15" x14ac:dyDescent="0.35">
      <c r="A193" t="str">
        <v>TN02988</v>
      </c>
      <c r="B193" t="str">
        <v>Mahindra</v>
      </c>
      <c r="C193">
        <v>0</v>
      </c>
      <c r="D193" t="str">
        <v>Sreedharan</v>
      </c>
      <c r="E193" t="str">
        <v>Male</v>
      </c>
      <c r="F193" t="str">
        <v>Engineering</v>
      </c>
      <c r="G193">
        <v>92943.89</v>
      </c>
      <c r="H193" t="str">
        <v>50K-100K</v>
      </c>
      <c r="I193" s="19">
        <v>44510</v>
      </c>
      <c r="J193">
        <v>1</v>
      </c>
      <c r="K193" t="str">
        <v>Permanent</v>
      </c>
      <c r="L193" t="str">
        <v>Hyderabad, India</v>
      </c>
      <c r="M193">
        <v>4.75</v>
      </c>
      <c r="N193" t="str">
        <v>Full Time</v>
      </c>
    </row>
    <row r="194" spans="1:15" x14ac:dyDescent="0.35">
      <c r="A194" t="str">
        <v>TN03032</v>
      </c>
      <c r="B194" t="str">
        <v>Fullara</v>
      </c>
      <c r="C194" t="str">
        <v>Sushanti</v>
      </c>
      <c r="D194" t="str">
        <v>Mokate</v>
      </c>
      <c r="E194" t="str">
        <v>Female</v>
      </c>
      <c r="F194" t="str">
        <v>Research and Development</v>
      </c>
      <c r="G194">
        <v>39700.82</v>
      </c>
      <c r="H194" t="str">
        <v>Under 50K</v>
      </c>
      <c r="I194" s="19">
        <v>44203</v>
      </c>
      <c r="J194">
        <v>0.8</v>
      </c>
      <c r="K194" t="str">
        <v>Permanent</v>
      </c>
      <c r="L194" t="str">
        <v>Chennai, India</v>
      </c>
      <c r="M194">
        <v>5.59</v>
      </c>
      <c r="N194" t="str">
        <v>Part Time</v>
      </c>
    </row>
    <row r="195" spans="1:15" x14ac:dyDescent="0.35">
      <c r="A195" t="str">
        <v>SQ03625</v>
      </c>
      <c r="B195" t="str">
        <v>Fidela</v>
      </c>
      <c r="C195">
        <v>0</v>
      </c>
      <c r="D195" t="str">
        <v>Artis</v>
      </c>
      <c r="E195" t="str">
        <v>Female</v>
      </c>
      <c r="F195" t="str">
        <v>Sales</v>
      </c>
      <c r="G195">
        <v>78020.39</v>
      </c>
      <c r="H195" t="str">
        <v>50K-100K</v>
      </c>
      <c r="I195" s="19">
        <v>43899</v>
      </c>
      <c r="J195">
        <v>1</v>
      </c>
      <c r="K195" t="str">
        <v>Permanent</v>
      </c>
      <c r="L195" t="str">
        <v>Remote</v>
      </c>
      <c r="M195">
        <v>6.42</v>
      </c>
      <c r="N195" t="str">
        <v>Full Time</v>
      </c>
    </row>
    <row r="197" spans="1:15" x14ac:dyDescent="0.35">
      <c r="A197" t="s">
        <v>972</v>
      </c>
    </row>
    <row r="198" spans="1:15" x14ac:dyDescent="0.35">
      <c r="A198" t="str" cm="1">
        <f t="array" ref="A198:N198">Employee_Processed_Data[#Headers]</f>
        <v>Emp ID</v>
      </c>
      <c r="B198" t="str">
        <v>First Name</v>
      </c>
      <c r="C198" t="str">
        <v>Middle Name</v>
      </c>
      <c r="D198" t="str">
        <v>Last Name</v>
      </c>
      <c r="E198" t="str">
        <v>Gender</v>
      </c>
      <c r="F198" t="str">
        <v>Department</v>
      </c>
      <c r="G198" t="str">
        <v>Salary</v>
      </c>
      <c r="H198" t="str">
        <v>Salary Bins</v>
      </c>
      <c r="I198" s="19" t="str">
        <v>Start Date</v>
      </c>
      <c r="J198" t="str">
        <v>FTE</v>
      </c>
      <c r="K198" t="str">
        <v>Employee type</v>
      </c>
      <c r="L198" t="str">
        <v>Work location</v>
      </c>
      <c r="M198" t="str">
        <v>Tenure</v>
      </c>
      <c r="N198" t="str">
        <v>Work Type</v>
      </c>
      <c r="O198" t="s">
        <v>2021</v>
      </c>
    </row>
    <row r="199" spans="1:15" x14ac:dyDescent="0.35">
      <c r="A199" t="str" cm="1">
        <f t="array" ref="A199:N261">_xlfn._xlws.FILTER(Employee_Processed_Data[],(Employee_Processed_Data[Gender]="Female")*(WEEKDAY(Employee_Processed_Data[Start Date],2)=1))</f>
        <v>PR04686</v>
      </c>
      <c r="B199" t="str">
        <v>Oona</v>
      </c>
      <c r="C199">
        <v>0</v>
      </c>
      <c r="D199" t="str">
        <v>Donan</v>
      </c>
      <c r="E199" t="str">
        <v>Female</v>
      </c>
      <c r="F199" t="str">
        <v>Business Development</v>
      </c>
      <c r="G199">
        <v>98000</v>
      </c>
      <c r="H199" t="str">
        <v>50K-100K</v>
      </c>
      <c r="I199" s="19">
        <v>43710</v>
      </c>
      <c r="J199">
        <v>0.9</v>
      </c>
      <c r="K199" t="str">
        <v>Permanent</v>
      </c>
      <c r="L199" t="str">
        <v>Seattle, USA</v>
      </c>
      <c r="M199">
        <v>6.94</v>
      </c>
      <c r="N199" t="str">
        <v>Part Time</v>
      </c>
      <c r="O199" t="str" cm="1">
        <f t="array" ref="O199:O261">TEXT(I199:I261,"dddd")</f>
        <v>Monday</v>
      </c>
    </row>
    <row r="200" spans="1:15" x14ac:dyDescent="0.35">
      <c r="A200" t="str">
        <v>VT01803</v>
      </c>
      <c r="B200" t="str">
        <v>Freddy</v>
      </c>
      <c r="C200">
        <v>0</v>
      </c>
      <c r="D200" t="str">
        <v>Linford</v>
      </c>
      <c r="E200" t="str">
        <v>Female</v>
      </c>
      <c r="F200" t="str">
        <v>Training</v>
      </c>
      <c r="G200">
        <v>93128.34</v>
      </c>
      <c r="H200" t="str">
        <v>50K-100K</v>
      </c>
      <c r="I200" s="19">
        <v>43164</v>
      </c>
      <c r="J200">
        <v>1</v>
      </c>
      <c r="K200" t="str">
        <v>Fixed Term</v>
      </c>
      <c r="L200" t="str">
        <v>Seattle, USA</v>
      </c>
      <c r="M200">
        <v>8.44</v>
      </c>
      <c r="N200" t="str">
        <v>Full Time</v>
      </c>
      <c r="O200" t="str">
        <v>Monday</v>
      </c>
    </row>
    <row r="201" spans="1:15" x14ac:dyDescent="0.35">
      <c r="A201" t="str">
        <v>TN02749</v>
      </c>
      <c r="B201" t="str">
        <v>Parasuramudu</v>
      </c>
      <c r="C201">
        <v>0</v>
      </c>
      <c r="D201" t="str">
        <v>Jamakayala</v>
      </c>
      <c r="E201" t="str">
        <v>Female</v>
      </c>
      <c r="F201" t="str">
        <v>Training</v>
      </c>
      <c r="G201">
        <v>57002.02</v>
      </c>
      <c r="H201" t="str">
        <v>50K-100K</v>
      </c>
      <c r="I201" s="19">
        <v>43192</v>
      </c>
      <c r="J201">
        <v>0.7</v>
      </c>
      <c r="K201" t="str">
        <v>Permanent</v>
      </c>
      <c r="L201" t="str">
        <v>Hyderabad, India</v>
      </c>
      <c r="M201">
        <v>8.36</v>
      </c>
      <c r="N201" t="str">
        <v>Part Time</v>
      </c>
      <c r="O201" t="str">
        <v>Monday</v>
      </c>
    </row>
    <row r="202" spans="1:15" x14ac:dyDescent="0.35">
      <c r="A202" t="str">
        <v>VT00578</v>
      </c>
      <c r="B202" t="str">
        <v>Magnum</v>
      </c>
      <c r="C202">
        <v>0</v>
      </c>
      <c r="D202" t="str">
        <v>Locksley</v>
      </c>
      <c r="E202" t="str">
        <v>Female</v>
      </c>
      <c r="F202" t="str">
        <v>Services</v>
      </c>
      <c r="G202">
        <v>42314.39</v>
      </c>
      <c r="H202" t="str">
        <v>Under 50K</v>
      </c>
      <c r="I202" s="19">
        <v>44487</v>
      </c>
      <c r="J202">
        <v>1</v>
      </c>
      <c r="K202" t="str">
        <v>Fixed Term</v>
      </c>
      <c r="L202" t="str">
        <v>Remote</v>
      </c>
      <c r="M202">
        <v>4.8099999999999996</v>
      </c>
      <c r="N202" t="str">
        <v>Full Time</v>
      </c>
      <c r="O202" t="str">
        <v>Monday</v>
      </c>
    </row>
    <row r="203" spans="1:15" x14ac:dyDescent="0.35">
      <c r="A203" t="str">
        <v>TN01281</v>
      </c>
      <c r="B203" t="str">
        <v>Cletus</v>
      </c>
      <c r="C203">
        <v>0</v>
      </c>
      <c r="D203" t="str">
        <v>McGarahan</v>
      </c>
      <c r="E203" t="str">
        <v>Female</v>
      </c>
      <c r="F203" t="str">
        <v>Engineering</v>
      </c>
      <c r="G203">
        <v>114425.19</v>
      </c>
      <c r="H203" t="str">
        <v>Above 100K</v>
      </c>
      <c r="I203" s="19">
        <v>43857</v>
      </c>
      <c r="J203">
        <v>1</v>
      </c>
      <c r="K203" t="str">
        <v>Permanent</v>
      </c>
      <c r="L203" t="str">
        <v>Wellington, New Zealand</v>
      </c>
      <c r="M203">
        <v>6.54</v>
      </c>
      <c r="N203" t="str">
        <v>Full Time</v>
      </c>
      <c r="O203" t="str">
        <v>Monday</v>
      </c>
    </row>
    <row r="204" spans="1:15" x14ac:dyDescent="0.35">
      <c r="A204" t="str">
        <v>PR04473</v>
      </c>
      <c r="B204" t="str">
        <v>Wyn</v>
      </c>
      <c r="C204">
        <v>0</v>
      </c>
      <c r="D204" t="str">
        <v>Treadger</v>
      </c>
      <c r="E204" t="str">
        <v>Female</v>
      </c>
      <c r="F204" t="str">
        <v>Business Development</v>
      </c>
      <c r="G204">
        <v>69192.850000000006</v>
      </c>
      <c r="H204" t="str">
        <v>50K-100K</v>
      </c>
      <c r="I204" s="19">
        <v>44305</v>
      </c>
      <c r="J204">
        <v>1</v>
      </c>
      <c r="K204" t="str">
        <v>Permanent</v>
      </c>
      <c r="L204" t="str">
        <v>Columbus, USA</v>
      </c>
      <c r="M204">
        <v>5.31</v>
      </c>
      <c r="N204" t="str">
        <v>Full Time</v>
      </c>
      <c r="O204" t="str">
        <v>Monday</v>
      </c>
    </row>
    <row r="205" spans="1:15" x14ac:dyDescent="0.35">
      <c r="A205" t="str">
        <v>TN00890</v>
      </c>
      <c r="B205" t="str">
        <v>Mayur</v>
      </c>
      <c r="C205">
        <v>0</v>
      </c>
      <c r="D205" t="str">
        <v>Kousika</v>
      </c>
      <c r="E205" t="str">
        <v>Female</v>
      </c>
      <c r="F205" t="str">
        <v>Training</v>
      </c>
      <c r="G205">
        <v>71570.990000000005</v>
      </c>
      <c r="H205" t="str">
        <v>50K-100K</v>
      </c>
      <c r="I205" s="19">
        <v>44249</v>
      </c>
      <c r="J205">
        <v>0.5</v>
      </c>
      <c r="K205" t="str">
        <v>Permanent</v>
      </c>
      <c r="L205" t="str">
        <v>Hyderabad, India</v>
      </c>
      <c r="M205">
        <v>5.47</v>
      </c>
      <c r="N205" t="str">
        <v>Part Time</v>
      </c>
      <c r="O205" t="str">
        <v>Monday</v>
      </c>
    </row>
    <row r="206" spans="1:15" x14ac:dyDescent="0.35">
      <c r="A206" t="str">
        <v>PR02603</v>
      </c>
      <c r="B206" t="str">
        <v>Dinanath</v>
      </c>
      <c r="C206">
        <v>0</v>
      </c>
      <c r="D206" t="str">
        <v>Simhambhatla</v>
      </c>
      <c r="E206" t="str">
        <v>Female</v>
      </c>
      <c r="F206" t="str">
        <v>Human Resources</v>
      </c>
      <c r="G206">
        <v>61994.76</v>
      </c>
      <c r="H206" t="str">
        <v>50K-100K</v>
      </c>
      <c r="I206" s="19">
        <v>43794</v>
      </c>
      <c r="J206">
        <v>0.3</v>
      </c>
      <c r="K206" t="str">
        <v>Permanent</v>
      </c>
      <c r="L206" t="str">
        <v>Hyderabad, India</v>
      </c>
      <c r="M206">
        <v>6.71</v>
      </c>
      <c r="N206" t="str">
        <v>Part Time</v>
      </c>
      <c r="O206" t="str">
        <v>Monday</v>
      </c>
    </row>
    <row r="207" spans="1:15" x14ac:dyDescent="0.35">
      <c r="A207" t="str">
        <v>PR03158</v>
      </c>
      <c r="B207" t="str">
        <v>Danica</v>
      </c>
      <c r="C207">
        <v>0</v>
      </c>
      <c r="D207" t="str">
        <v>Nayshe</v>
      </c>
      <c r="E207" t="str">
        <v>Female</v>
      </c>
      <c r="F207" t="str">
        <v>Services</v>
      </c>
      <c r="G207">
        <v>89690.38</v>
      </c>
      <c r="H207" t="str">
        <v>50K-100K</v>
      </c>
      <c r="I207" s="19">
        <v>43206</v>
      </c>
      <c r="J207">
        <v>1</v>
      </c>
      <c r="K207" t="str">
        <v>Permanent</v>
      </c>
      <c r="L207" t="str">
        <v>Wellington, New Zealand</v>
      </c>
      <c r="M207">
        <v>8.32</v>
      </c>
      <c r="N207" t="str">
        <v>Full Time</v>
      </c>
      <c r="O207" t="str">
        <v>Monday</v>
      </c>
    </row>
    <row r="208" spans="1:15" x14ac:dyDescent="0.35">
      <c r="A208" t="str">
        <v>TN04246</v>
      </c>
      <c r="B208" t="str">
        <v>Shaylyn</v>
      </c>
      <c r="C208">
        <v>0</v>
      </c>
      <c r="D208" t="str">
        <v>Ransbury</v>
      </c>
      <c r="E208" t="str">
        <v>Female</v>
      </c>
      <c r="F208" t="str">
        <v>Support</v>
      </c>
      <c r="G208">
        <v>100371.31</v>
      </c>
      <c r="H208" t="str">
        <v>Above 100K</v>
      </c>
      <c r="I208" s="19">
        <v>44067</v>
      </c>
      <c r="J208">
        <v>0.8</v>
      </c>
      <c r="K208" t="str">
        <v>Fixed Term</v>
      </c>
      <c r="L208" t="str">
        <v>Auckland, New Zealand</v>
      </c>
      <c r="M208">
        <v>5.96</v>
      </c>
      <c r="N208" t="str">
        <v>Part Time</v>
      </c>
      <c r="O208" t="str">
        <v>Monday</v>
      </c>
    </row>
    <row r="209" spans="1:15" x14ac:dyDescent="0.35">
      <c r="A209" t="str">
        <v>VT03988</v>
      </c>
      <c r="B209" t="str">
        <v>Venkat</v>
      </c>
      <c r="C209">
        <v>0</v>
      </c>
      <c r="D209" t="str">
        <v>Kodi</v>
      </c>
      <c r="E209" t="str">
        <v>Female</v>
      </c>
      <c r="F209" t="str">
        <v>Support</v>
      </c>
      <c r="G209">
        <v>58935.92</v>
      </c>
      <c r="H209" t="str">
        <v>50K-100K</v>
      </c>
      <c r="I209" s="19">
        <v>43717</v>
      </c>
      <c r="J209">
        <v>1</v>
      </c>
      <c r="K209" t="str">
        <v>Temporary</v>
      </c>
      <c r="L209" t="str">
        <v>Hyderabad, India</v>
      </c>
      <c r="M209">
        <v>6.92</v>
      </c>
      <c r="N209" t="str">
        <v>Full Time</v>
      </c>
      <c r="O209" t="str">
        <v>Monday</v>
      </c>
    </row>
    <row r="210" spans="1:15" x14ac:dyDescent="0.35">
      <c r="A210" t="str">
        <v>SQ01402</v>
      </c>
      <c r="B210" t="str">
        <v>Sahaj</v>
      </c>
      <c r="C210">
        <v>0</v>
      </c>
      <c r="D210" t="str">
        <v>Jonnalagadda</v>
      </c>
      <c r="E210" t="str">
        <v>Female</v>
      </c>
      <c r="F210" t="str">
        <v>Engineering</v>
      </c>
      <c r="G210">
        <v>44403.77</v>
      </c>
      <c r="H210" t="str">
        <v>Under 50K</v>
      </c>
      <c r="I210" s="19">
        <v>43416</v>
      </c>
      <c r="J210">
        <v>1</v>
      </c>
      <c r="K210" t="str">
        <v>Permanent</v>
      </c>
      <c r="L210" t="str">
        <v>Hyderabad, India</v>
      </c>
      <c r="M210">
        <v>7.75</v>
      </c>
      <c r="N210" t="str">
        <v>Full Time</v>
      </c>
      <c r="O210" t="str">
        <v>Monday</v>
      </c>
    </row>
    <row r="211" spans="1:15" x14ac:dyDescent="0.35">
      <c r="A211" t="str">
        <v>SQ00914</v>
      </c>
      <c r="B211" t="str">
        <v>Duran</v>
      </c>
      <c r="C211">
        <v>0</v>
      </c>
      <c r="D211" t="str">
        <v>Appala</v>
      </c>
      <c r="E211" t="str">
        <v>Female</v>
      </c>
      <c r="F211" t="str">
        <v>Product Management</v>
      </c>
      <c r="G211">
        <v>38438.239999999998</v>
      </c>
      <c r="H211" t="str">
        <v>Under 50K</v>
      </c>
      <c r="I211" s="19">
        <v>43962</v>
      </c>
      <c r="J211">
        <v>1</v>
      </c>
      <c r="K211" t="str">
        <v>Permanent</v>
      </c>
      <c r="L211" t="str">
        <v>Chennai, India</v>
      </c>
      <c r="M211">
        <v>6.25</v>
      </c>
      <c r="N211" t="str">
        <v>Full Time</v>
      </c>
      <c r="O211" t="str">
        <v>Monday</v>
      </c>
    </row>
    <row r="212" spans="1:15" x14ac:dyDescent="0.35">
      <c r="A212" t="str">
        <v>VT01249</v>
      </c>
      <c r="B212" t="str">
        <v>Brendan</v>
      </c>
      <c r="C212">
        <v>0</v>
      </c>
      <c r="D212" t="str">
        <v>Edgeller</v>
      </c>
      <c r="E212" t="str">
        <v>Female</v>
      </c>
      <c r="F212" t="str">
        <v>Legal</v>
      </c>
      <c r="G212">
        <v>31042.51</v>
      </c>
      <c r="H212" t="str">
        <v>Under 50K</v>
      </c>
      <c r="I212" s="19">
        <v>44473</v>
      </c>
      <c r="J212">
        <v>0.3</v>
      </c>
      <c r="K212" t="str">
        <v>Fixed Term</v>
      </c>
      <c r="L212" t="str">
        <v>Remote</v>
      </c>
      <c r="M212">
        <v>4.8499999999999996</v>
      </c>
      <c r="N212" t="str">
        <v>Part Time</v>
      </c>
      <c r="O212" t="str">
        <v>Monday</v>
      </c>
    </row>
    <row r="213" spans="1:15" x14ac:dyDescent="0.35">
      <c r="A213" t="str">
        <v>PR00576</v>
      </c>
      <c r="B213" t="str">
        <v>Lalitchandra</v>
      </c>
      <c r="C213">
        <v>0</v>
      </c>
      <c r="D213" t="str">
        <v>Vadali</v>
      </c>
      <c r="E213" t="str">
        <v>Female</v>
      </c>
      <c r="F213" t="str">
        <v>Legal</v>
      </c>
      <c r="G213">
        <v>63705.4</v>
      </c>
      <c r="H213" t="str">
        <v>50K-100K</v>
      </c>
      <c r="I213" s="19">
        <v>43682</v>
      </c>
      <c r="J213">
        <v>1</v>
      </c>
      <c r="K213" t="str">
        <v>Permanent</v>
      </c>
      <c r="L213" t="str">
        <v>Hyderabad, India</v>
      </c>
      <c r="M213">
        <v>7.02</v>
      </c>
      <c r="N213" t="str">
        <v>Full Time</v>
      </c>
      <c r="O213" t="str">
        <v>Monday</v>
      </c>
    </row>
    <row r="214" spans="1:15" x14ac:dyDescent="0.35">
      <c r="A214" t="str">
        <v>TN02883</v>
      </c>
      <c r="B214" t="str">
        <v>John</v>
      </c>
      <c r="C214">
        <v>0</v>
      </c>
      <c r="D214" t="str">
        <v>Joseph</v>
      </c>
      <c r="E214" t="str">
        <v>Female</v>
      </c>
      <c r="F214" t="str">
        <v>Sales</v>
      </c>
      <c r="G214">
        <v>84762.76</v>
      </c>
      <c r="H214" t="str">
        <v>50K-100K</v>
      </c>
      <c r="I214" s="19">
        <v>43332</v>
      </c>
      <c r="J214">
        <v>1</v>
      </c>
      <c r="K214" t="str">
        <v>Permanent</v>
      </c>
      <c r="L214" t="str">
        <v>Hyderabad, India</v>
      </c>
      <c r="M214">
        <v>7.98</v>
      </c>
      <c r="N214" t="str">
        <v>Full Time</v>
      </c>
      <c r="O214" t="str">
        <v>Monday</v>
      </c>
    </row>
    <row r="215" spans="1:15" x14ac:dyDescent="0.35">
      <c r="A215" t="str">
        <v>SQ03350</v>
      </c>
      <c r="B215" t="str">
        <v>Felice</v>
      </c>
      <c r="C215">
        <v>0</v>
      </c>
      <c r="D215" t="str">
        <v>McMurty</v>
      </c>
      <c r="E215" t="str">
        <v>Female</v>
      </c>
      <c r="F215" t="str">
        <v>Product Management</v>
      </c>
      <c r="G215">
        <v>66865.490000000005</v>
      </c>
      <c r="H215" t="str">
        <v>50K-100K</v>
      </c>
      <c r="I215" s="19">
        <v>43514</v>
      </c>
      <c r="J215">
        <v>1</v>
      </c>
      <c r="K215" t="str">
        <v>Permanent</v>
      </c>
      <c r="L215" t="str">
        <v>Seattle, USA</v>
      </c>
      <c r="M215">
        <v>7.48</v>
      </c>
      <c r="N215" t="str">
        <v>Full Time</v>
      </c>
      <c r="O215" t="str">
        <v>Monday</v>
      </c>
    </row>
    <row r="216" spans="1:15" x14ac:dyDescent="0.35">
      <c r="A216" t="str">
        <v>PR04380</v>
      </c>
      <c r="B216" t="str">
        <v>Van</v>
      </c>
      <c r="C216">
        <v>0</v>
      </c>
      <c r="D216" t="str">
        <v>Tuxwell</v>
      </c>
      <c r="E216" t="str">
        <v>Female</v>
      </c>
      <c r="F216" t="str">
        <v>Business Development</v>
      </c>
      <c r="G216">
        <v>80695.740000000005</v>
      </c>
      <c r="H216" t="str">
        <v>50K-100K</v>
      </c>
      <c r="I216" s="19">
        <v>43787</v>
      </c>
      <c r="J216">
        <v>0.8</v>
      </c>
      <c r="K216" t="str">
        <v>Permanent</v>
      </c>
      <c r="L216" t="str">
        <v>Columbus, USA</v>
      </c>
      <c r="M216">
        <v>6.73</v>
      </c>
      <c r="N216" t="str">
        <v>Part Time</v>
      </c>
      <c r="O216" t="str">
        <v>Monday</v>
      </c>
    </row>
    <row r="217" spans="1:15" x14ac:dyDescent="0.35">
      <c r="A217" t="str">
        <v>TN00182</v>
      </c>
      <c r="B217" t="str">
        <v>Camilla</v>
      </c>
      <c r="C217">
        <v>0</v>
      </c>
      <c r="D217" t="str">
        <v>Castle</v>
      </c>
      <c r="E217" t="str">
        <v>Female</v>
      </c>
      <c r="F217" t="str">
        <v>Product Management</v>
      </c>
      <c r="G217">
        <v>75475.929999999993</v>
      </c>
      <c r="H217" t="str">
        <v>50K-100K</v>
      </c>
      <c r="I217" s="19">
        <v>43794</v>
      </c>
      <c r="J217">
        <v>1</v>
      </c>
      <c r="K217" t="str">
        <v>Permanent</v>
      </c>
      <c r="L217" t="str">
        <v>Remote</v>
      </c>
      <c r="M217">
        <v>6.71</v>
      </c>
      <c r="N217" t="str">
        <v>Full Time</v>
      </c>
      <c r="O217" t="str">
        <v>Monday</v>
      </c>
    </row>
    <row r="218" spans="1:15" x14ac:dyDescent="0.35">
      <c r="A218" t="str">
        <v>PR00916</v>
      </c>
      <c r="B218" t="str">
        <v>Inger</v>
      </c>
      <c r="C218">
        <v>0</v>
      </c>
      <c r="D218" t="str">
        <v>Chapelhow</v>
      </c>
      <c r="E218" t="str">
        <v>Female</v>
      </c>
      <c r="F218" t="str">
        <v>Research and Development</v>
      </c>
      <c r="G218">
        <v>84309.95</v>
      </c>
      <c r="H218" t="str">
        <v>50K-100K</v>
      </c>
      <c r="I218" s="19">
        <v>44501</v>
      </c>
      <c r="J218">
        <v>1</v>
      </c>
      <c r="K218" t="str">
        <v>Permanent</v>
      </c>
      <c r="L218" t="str">
        <v>Remote</v>
      </c>
      <c r="M218">
        <v>4.78</v>
      </c>
      <c r="N218" t="str">
        <v>Full Time</v>
      </c>
      <c r="O218" t="str">
        <v>Monday</v>
      </c>
    </row>
    <row r="219" spans="1:15" x14ac:dyDescent="0.35">
      <c r="A219" t="str">
        <v>TN04740</v>
      </c>
      <c r="B219" t="str">
        <v>Tristam</v>
      </c>
      <c r="C219">
        <v>0</v>
      </c>
      <c r="D219" t="str">
        <v>Cuming</v>
      </c>
      <c r="E219" t="str">
        <v>Female</v>
      </c>
      <c r="F219" t="str">
        <v>Support</v>
      </c>
      <c r="G219">
        <v>104038.9</v>
      </c>
      <c r="H219" t="str">
        <v>Above 100K</v>
      </c>
      <c r="I219" s="19">
        <v>43815</v>
      </c>
      <c r="J219">
        <v>1</v>
      </c>
      <c r="K219" t="str">
        <v>Fixed Term</v>
      </c>
      <c r="L219" t="str">
        <v>Remote</v>
      </c>
      <c r="M219">
        <v>6.65</v>
      </c>
      <c r="N219" t="str">
        <v>Full Time</v>
      </c>
      <c r="O219" t="str">
        <v>Monday</v>
      </c>
    </row>
    <row r="220" spans="1:15" x14ac:dyDescent="0.35">
      <c r="A220" t="str">
        <v>TN03575</v>
      </c>
      <c r="B220" t="str">
        <v>Janina</v>
      </c>
      <c r="C220">
        <v>0</v>
      </c>
      <c r="D220" t="str">
        <v>Wolverson</v>
      </c>
      <c r="E220" t="str">
        <v>Female</v>
      </c>
      <c r="F220" t="str">
        <v>Research and Development</v>
      </c>
      <c r="G220">
        <v>99683.67</v>
      </c>
      <c r="H220" t="str">
        <v>50K-100K</v>
      </c>
      <c r="I220" s="19">
        <v>43500</v>
      </c>
      <c r="J220">
        <v>1</v>
      </c>
      <c r="K220" t="str">
        <v>Fixed Term</v>
      </c>
      <c r="L220" t="str">
        <v>Seattle, USA</v>
      </c>
      <c r="M220">
        <v>7.52</v>
      </c>
      <c r="N220" t="str">
        <v>Full Time</v>
      </c>
      <c r="O220" t="str">
        <v>Monday</v>
      </c>
    </row>
    <row r="221" spans="1:15" x14ac:dyDescent="0.35">
      <c r="A221" t="str">
        <v>PR00095</v>
      </c>
      <c r="B221" t="str">
        <v>Devrat</v>
      </c>
      <c r="C221">
        <v>0</v>
      </c>
      <c r="D221" t="str">
        <v>Damarsingh</v>
      </c>
      <c r="E221" t="str">
        <v>Female</v>
      </c>
      <c r="F221" t="str">
        <v>Business Development</v>
      </c>
      <c r="G221">
        <v>70649.460000000006</v>
      </c>
      <c r="H221" t="str">
        <v>50K-100K</v>
      </c>
      <c r="I221" s="19">
        <v>43843</v>
      </c>
      <c r="J221">
        <v>1</v>
      </c>
      <c r="K221" t="str">
        <v>Permanent</v>
      </c>
      <c r="L221" t="str">
        <v>Hyderabad, India</v>
      </c>
      <c r="M221">
        <v>6.58</v>
      </c>
      <c r="N221" t="str">
        <v>Full Time</v>
      </c>
      <c r="O221" t="str">
        <v>Monday</v>
      </c>
    </row>
    <row r="222" spans="1:15" x14ac:dyDescent="0.35">
      <c r="A222" t="str">
        <v>SQ03546</v>
      </c>
      <c r="B222" t="str">
        <v>Amlankusum</v>
      </c>
      <c r="C222">
        <v>0</v>
      </c>
      <c r="D222" t="str">
        <v>Rajabhushan</v>
      </c>
      <c r="E222" t="str">
        <v>Female</v>
      </c>
      <c r="F222" t="str">
        <v>Legal</v>
      </c>
      <c r="G222">
        <v>75733.740000000005</v>
      </c>
      <c r="H222" t="str">
        <v>50K-100K</v>
      </c>
      <c r="I222" s="19">
        <v>44382</v>
      </c>
      <c r="J222">
        <v>1</v>
      </c>
      <c r="K222" t="str">
        <v>Permanent</v>
      </c>
      <c r="L222" t="str">
        <v>Hyderabad, India</v>
      </c>
      <c r="M222">
        <v>5.0999999999999996</v>
      </c>
      <c r="N222" t="str">
        <v>Full Time</v>
      </c>
      <c r="O222" t="str">
        <v>Monday</v>
      </c>
    </row>
    <row r="223" spans="1:15" x14ac:dyDescent="0.35">
      <c r="A223" t="str">
        <v>VT02374</v>
      </c>
      <c r="B223" t="str">
        <v>Delphine</v>
      </c>
      <c r="C223">
        <v>0</v>
      </c>
      <c r="D223" t="str">
        <v>Jewis</v>
      </c>
      <c r="E223" t="str">
        <v>Female</v>
      </c>
      <c r="F223" t="str">
        <v>Accounting</v>
      </c>
      <c r="G223">
        <v>71823.56</v>
      </c>
      <c r="H223" t="str">
        <v>50K-100K</v>
      </c>
      <c r="I223" s="19">
        <v>43374</v>
      </c>
      <c r="J223">
        <v>0.3</v>
      </c>
      <c r="K223" t="str">
        <v>Temporary</v>
      </c>
      <c r="L223" t="str">
        <v>Remote</v>
      </c>
      <c r="M223">
        <v>7.86</v>
      </c>
      <c r="N223" t="str">
        <v>Part Time</v>
      </c>
      <c r="O223" t="str">
        <v>Monday</v>
      </c>
    </row>
    <row r="224" spans="1:15" x14ac:dyDescent="0.35">
      <c r="A224" t="str">
        <v>PR02113</v>
      </c>
      <c r="B224" t="str">
        <v>Beverie</v>
      </c>
      <c r="C224">
        <v>0</v>
      </c>
      <c r="D224" t="str">
        <v>Moffet</v>
      </c>
      <c r="E224" t="str">
        <v>Female</v>
      </c>
      <c r="F224" t="str">
        <v>Support</v>
      </c>
      <c r="G224">
        <v>75974.990000000005</v>
      </c>
      <c r="H224" t="str">
        <v>50K-100K</v>
      </c>
      <c r="I224" s="19">
        <v>44172</v>
      </c>
      <c r="J224">
        <v>1</v>
      </c>
      <c r="K224" t="str">
        <v>Permanent</v>
      </c>
      <c r="L224" t="str">
        <v>Remote</v>
      </c>
      <c r="M224">
        <v>5.68</v>
      </c>
      <c r="N224" t="str">
        <v>Full Time</v>
      </c>
      <c r="O224" t="str">
        <v>Monday</v>
      </c>
    </row>
    <row r="225" spans="1:15" x14ac:dyDescent="0.35">
      <c r="A225" t="str">
        <v>PR00210</v>
      </c>
      <c r="B225" t="str">
        <v>Marquita</v>
      </c>
      <c r="C225">
        <v>0</v>
      </c>
      <c r="D225" t="str">
        <v>Liquorish</v>
      </c>
      <c r="E225" t="str">
        <v>Female</v>
      </c>
      <c r="F225" t="str">
        <v>Legal</v>
      </c>
      <c r="G225">
        <v>0</v>
      </c>
      <c r="H225" t="str">
        <v>Under 50K</v>
      </c>
      <c r="I225" s="19">
        <v>44011</v>
      </c>
      <c r="J225">
        <v>1</v>
      </c>
      <c r="K225" t="str">
        <v>Permanent</v>
      </c>
      <c r="L225" t="str">
        <v>Wellington, New Zealand</v>
      </c>
      <c r="M225">
        <v>6.12</v>
      </c>
      <c r="N225" t="str">
        <v>Full Time</v>
      </c>
      <c r="O225" t="str">
        <v>Monday</v>
      </c>
    </row>
    <row r="226" spans="1:15" x14ac:dyDescent="0.35">
      <c r="A226" t="str">
        <v>SQ03321</v>
      </c>
      <c r="B226" t="str">
        <v>Gradey</v>
      </c>
      <c r="C226">
        <v>0</v>
      </c>
      <c r="D226" t="str">
        <v>Litton</v>
      </c>
      <c r="E226" t="str">
        <v>Female</v>
      </c>
      <c r="F226" t="str">
        <v>Accounting</v>
      </c>
      <c r="G226">
        <v>68887.839999999997</v>
      </c>
      <c r="H226" t="str">
        <v>50K-100K</v>
      </c>
      <c r="I226" s="19">
        <v>43297</v>
      </c>
      <c r="J226">
        <v>1</v>
      </c>
      <c r="K226" t="str">
        <v>Permanent</v>
      </c>
      <c r="L226" t="str">
        <v>Remote</v>
      </c>
      <c r="M226">
        <v>8.07</v>
      </c>
      <c r="N226" t="str">
        <v>Full Time</v>
      </c>
      <c r="O226" t="str">
        <v>Monday</v>
      </c>
    </row>
    <row r="227" spans="1:15" x14ac:dyDescent="0.35">
      <c r="A227" t="str">
        <v>SQ00841</v>
      </c>
      <c r="B227" t="str">
        <v>Bhuvan</v>
      </c>
      <c r="C227">
        <v>0</v>
      </c>
      <c r="D227" t="str">
        <v>Pals</v>
      </c>
      <c r="E227" t="str">
        <v>Female</v>
      </c>
      <c r="F227" t="str">
        <v>Services</v>
      </c>
      <c r="G227">
        <v>89690.38</v>
      </c>
      <c r="H227" t="str">
        <v>50K-100K</v>
      </c>
      <c r="I227" s="19">
        <v>43213</v>
      </c>
      <c r="J227">
        <v>1</v>
      </c>
      <c r="K227" t="str">
        <v>Permanent</v>
      </c>
      <c r="L227" t="str">
        <v>Hyderabad, India</v>
      </c>
      <c r="M227">
        <v>8.3000000000000007</v>
      </c>
      <c r="N227" t="str">
        <v>Full Time</v>
      </c>
      <c r="O227" t="str">
        <v>Monday</v>
      </c>
    </row>
    <row r="228" spans="1:15" x14ac:dyDescent="0.35">
      <c r="A228" t="str">
        <v>VT03701</v>
      </c>
      <c r="B228" t="str">
        <v>Narois</v>
      </c>
      <c r="C228">
        <v>0</v>
      </c>
      <c r="D228" t="str">
        <v>Motiwala</v>
      </c>
      <c r="E228" t="str">
        <v>Female</v>
      </c>
      <c r="F228" t="str">
        <v>Product Management</v>
      </c>
      <c r="G228">
        <v>89829.33</v>
      </c>
      <c r="H228" t="str">
        <v>50K-100K</v>
      </c>
      <c r="I228" s="19">
        <v>43794</v>
      </c>
      <c r="J228">
        <v>1</v>
      </c>
      <c r="K228" t="str">
        <v>Temporary</v>
      </c>
      <c r="L228" t="str">
        <v>Chennai, India</v>
      </c>
      <c r="M228">
        <v>6.71</v>
      </c>
      <c r="N228" t="str">
        <v>Full Time</v>
      </c>
      <c r="O228" t="str">
        <v>Monday</v>
      </c>
    </row>
    <row r="229" spans="1:15" x14ac:dyDescent="0.35">
      <c r="A229" t="str">
        <v>VT02374</v>
      </c>
      <c r="B229" t="str">
        <v>Delphine</v>
      </c>
      <c r="C229">
        <v>0</v>
      </c>
      <c r="D229" t="str">
        <v>Jewis</v>
      </c>
      <c r="E229" t="str">
        <v>Female</v>
      </c>
      <c r="F229" t="str">
        <v>Accounting</v>
      </c>
      <c r="G229">
        <v>71823.56</v>
      </c>
      <c r="H229" t="str">
        <v>50K-100K</v>
      </c>
      <c r="I229" s="19">
        <v>43374</v>
      </c>
      <c r="J229">
        <v>0.3</v>
      </c>
      <c r="K229" t="str">
        <v>Temporary</v>
      </c>
      <c r="L229" t="str">
        <v>Remote</v>
      </c>
      <c r="M229">
        <v>7.86</v>
      </c>
      <c r="N229" t="str">
        <v>Part Time</v>
      </c>
      <c r="O229" t="str">
        <v>Monday</v>
      </c>
    </row>
    <row r="230" spans="1:15" x14ac:dyDescent="0.35">
      <c r="A230" t="str">
        <v>SQ03626</v>
      </c>
      <c r="B230" t="str">
        <v>Krishnakanta</v>
      </c>
      <c r="C230">
        <v>0</v>
      </c>
      <c r="D230" t="str">
        <v>Vellanki</v>
      </c>
      <c r="E230" t="str">
        <v>Female</v>
      </c>
      <c r="F230" t="str">
        <v>Training</v>
      </c>
      <c r="G230">
        <v>95677.9</v>
      </c>
      <c r="H230" t="str">
        <v>50K-100K</v>
      </c>
      <c r="I230" s="19">
        <v>44396</v>
      </c>
      <c r="J230">
        <v>0.3</v>
      </c>
      <c r="K230" t="str">
        <v>Permanent</v>
      </c>
      <c r="L230" t="str">
        <v>Chennai, India</v>
      </c>
      <c r="M230">
        <v>5.0599999999999996</v>
      </c>
      <c r="N230" t="str">
        <v>Part Time</v>
      </c>
      <c r="O230" t="str">
        <v>Monday</v>
      </c>
    </row>
    <row r="231" spans="1:15" x14ac:dyDescent="0.35">
      <c r="A231" t="str">
        <v>VT01610</v>
      </c>
      <c r="B231" t="str">
        <v>Dhruv</v>
      </c>
      <c r="C231">
        <v>0</v>
      </c>
      <c r="D231" t="str">
        <v>Manjunath</v>
      </c>
      <c r="E231" t="str">
        <v>Female</v>
      </c>
      <c r="F231" t="str">
        <v>Accounting</v>
      </c>
      <c r="G231">
        <v>76303.820000000007</v>
      </c>
      <c r="H231" t="str">
        <v>50K-100K</v>
      </c>
      <c r="I231" s="19">
        <v>43458</v>
      </c>
      <c r="J231">
        <v>1</v>
      </c>
      <c r="K231" t="str">
        <v>Fixed Term</v>
      </c>
      <c r="L231" t="str">
        <v>Hyderabad, India</v>
      </c>
      <c r="M231">
        <v>7.63</v>
      </c>
      <c r="N231" t="str">
        <v>Full Time</v>
      </c>
      <c r="O231" t="str">
        <v>Monday</v>
      </c>
    </row>
    <row r="232" spans="1:15" x14ac:dyDescent="0.35">
      <c r="A232" t="str">
        <v>PR04446</v>
      </c>
      <c r="B232" t="str">
        <v>Sameer</v>
      </c>
      <c r="C232" t="str">
        <v>Shashank</v>
      </c>
      <c r="D232" t="str">
        <v>Sapra</v>
      </c>
      <c r="E232" t="str">
        <v>Female</v>
      </c>
      <c r="F232" t="str">
        <v>Research and Development</v>
      </c>
      <c r="G232">
        <v>92336.08</v>
      </c>
      <c r="H232" t="str">
        <v>50K-100K</v>
      </c>
      <c r="I232" s="19">
        <v>44431</v>
      </c>
      <c r="J232">
        <v>1</v>
      </c>
      <c r="K232" t="str">
        <v>Permanent</v>
      </c>
      <c r="L232" t="str">
        <v>Hyderabad, India</v>
      </c>
      <c r="M232">
        <v>4.97</v>
      </c>
      <c r="N232" t="str">
        <v>Full Time</v>
      </c>
      <c r="O232" t="str">
        <v>Monday</v>
      </c>
    </row>
    <row r="233" spans="1:15" x14ac:dyDescent="0.35">
      <c r="A233" t="str">
        <v>SQ04960</v>
      </c>
      <c r="B233" t="str">
        <v>Shubhra</v>
      </c>
      <c r="C233">
        <v>0</v>
      </c>
      <c r="D233" t="str">
        <v>Potla</v>
      </c>
      <c r="E233" t="str">
        <v>Female</v>
      </c>
      <c r="F233" t="str">
        <v>Support</v>
      </c>
      <c r="G233">
        <v>71924.850000000006</v>
      </c>
      <c r="H233" t="str">
        <v>50K-100K</v>
      </c>
      <c r="I233" s="19">
        <v>43822</v>
      </c>
      <c r="J233">
        <v>1</v>
      </c>
      <c r="K233" t="str">
        <v>Permanent</v>
      </c>
      <c r="L233" t="str">
        <v>Chennai, India</v>
      </c>
      <c r="M233">
        <v>6.64</v>
      </c>
      <c r="N233" t="str">
        <v>Full Time</v>
      </c>
      <c r="O233" t="str">
        <v>Monday</v>
      </c>
    </row>
    <row r="234" spans="1:15" x14ac:dyDescent="0.35">
      <c r="A234" t="str">
        <v>VT02532</v>
      </c>
      <c r="B234" t="str">
        <v>Adey</v>
      </c>
      <c r="C234">
        <v>0</v>
      </c>
      <c r="D234" t="str">
        <v>Ryal</v>
      </c>
      <c r="E234" t="str">
        <v>Female</v>
      </c>
      <c r="F234" t="str">
        <v>Legal</v>
      </c>
      <c r="G234">
        <v>32496.880000000001</v>
      </c>
      <c r="H234" t="str">
        <v>Under 50K</v>
      </c>
      <c r="I234" s="19">
        <v>43234</v>
      </c>
      <c r="J234">
        <v>1</v>
      </c>
      <c r="K234" t="str">
        <v>Temporary</v>
      </c>
      <c r="L234" t="str">
        <v>Remote</v>
      </c>
      <c r="M234">
        <v>8.25</v>
      </c>
      <c r="N234" t="str">
        <v>Full Time</v>
      </c>
      <c r="O234" t="str">
        <v>Monday</v>
      </c>
    </row>
    <row r="235" spans="1:15" x14ac:dyDescent="0.35">
      <c r="A235" t="str">
        <v>VT04552</v>
      </c>
      <c r="B235" t="str">
        <v>Theresita</v>
      </c>
      <c r="C235">
        <v>0</v>
      </c>
      <c r="D235" t="str">
        <v>Chasmer</v>
      </c>
      <c r="E235" t="str">
        <v>Female</v>
      </c>
      <c r="F235" t="str">
        <v>Product Management</v>
      </c>
      <c r="G235">
        <v>106665.67</v>
      </c>
      <c r="H235" t="str">
        <v>Above 100K</v>
      </c>
      <c r="I235" s="19">
        <v>43311</v>
      </c>
      <c r="J235">
        <v>1</v>
      </c>
      <c r="K235" t="str">
        <v>Temporary</v>
      </c>
      <c r="L235" t="str">
        <v>Columbus, USA</v>
      </c>
      <c r="M235">
        <v>8.0399999999999991</v>
      </c>
      <c r="N235" t="str">
        <v>Full Time</v>
      </c>
      <c r="O235" t="str">
        <v>Monday</v>
      </c>
    </row>
    <row r="236" spans="1:15" x14ac:dyDescent="0.35">
      <c r="A236" t="str">
        <v>VT00596</v>
      </c>
      <c r="B236" t="str">
        <v>Letisha</v>
      </c>
      <c r="C236">
        <v>0</v>
      </c>
      <c r="D236" t="str">
        <v>Carrett</v>
      </c>
      <c r="E236" t="str">
        <v>Female</v>
      </c>
      <c r="F236" t="str">
        <v>Sales</v>
      </c>
      <c r="G236">
        <v>84598.88</v>
      </c>
      <c r="H236" t="str">
        <v>50K-100K</v>
      </c>
      <c r="I236" s="19">
        <v>44116</v>
      </c>
      <c r="J236">
        <v>1</v>
      </c>
      <c r="K236" t="str">
        <v>Fixed Term</v>
      </c>
      <c r="L236" t="str">
        <v>Seattle, USA</v>
      </c>
      <c r="M236">
        <v>5.83</v>
      </c>
      <c r="N236" t="str">
        <v>Full Time</v>
      </c>
      <c r="O236" t="str">
        <v>Monday</v>
      </c>
    </row>
    <row r="237" spans="1:15" x14ac:dyDescent="0.35">
      <c r="A237" t="str">
        <v>TN00083</v>
      </c>
      <c r="B237" t="str">
        <v>Chandana</v>
      </c>
      <c r="C237" t="str">
        <v>Sannidhi</v>
      </c>
      <c r="D237" t="str">
        <v>Surnilla</v>
      </c>
      <c r="E237" t="str">
        <v>Female</v>
      </c>
      <c r="F237" t="str">
        <v>Business Development</v>
      </c>
      <c r="G237">
        <v>61688.77</v>
      </c>
      <c r="H237" t="str">
        <v>50K-100K</v>
      </c>
      <c r="I237" s="19">
        <v>43346</v>
      </c>
      <c r="J237">
        <v>0.9</v>
      </c>
      <c r="K237" t="str">
        <v>Permanent</v>
      </c>
      <c r="L237" t="str">
        <v>Chennai, India</v>
      </c>
      <c r="M237">
        <v>7.94</v>
      </c>
      <c r="N237" t="str">
        <v>Part Time</v>
      </c>
      <c r="O237" t="str">
        <v>Monday</v>
      </c>
    </row>
    <row r="238" spans="1:15" x14ac:dyDescent="0.35">
      <c r="A238" t="str">
        <v>SQ00914</v>
      </c>
      <c r="B238" t="str">
        <v>Karuna</v>
      </c>
      <c r="C238">
        <v>0</v>
      </c>
      <c r="D238" t="str">
        <v>Pashupathy</v>
      </c>
      <c r="E238" t="str">
        <v>Female</v>
      </c>
      <c r="F238" t="str">
        <v>Product Management</v>
      </c>
      <c r="G238">
        <v>38438.239999999998</v>
      </c>
      <c r="H238" t="str">
        <v>Under 50K</v>
      </c>
      <c r="I238" s="19">
        <v>43962</v>
      </c>
      <c r="J238">
        <v>1</v>
      </c>
      <c r="K238" t="str">
        <v>Permanent</v>
      </c>
      <c r="L238" t="str">
        <v>Chennai, India</v>
      </c>
      <c r="M238">
        <v>6.25</v>
      </c>
      <c r="N238" t="str">
        <v>Full Time</v>
      </c>
      <c r="O238" t="str">
        <v>Monday</v>
      </c>
    </row>
    <row r="239" spans="1:15" x14ac:dyDescent="0.35">
      <c r="A239" t="str">
        <v>SQ03350</v>
      </c>
      <c r="B239" t="str">
        <v>Felice</v>
      </c>
      <c r="C239">
        <v>0</v>
      </c>
      <c r="D239" t="str">
        <v>McMurty</v>
      </c>
      <c r="E239" t="str">
        <v>Female</v>
      </c>
      <c r="F239" t="str">
        <v>Product Management</v>
      </c>
      <c r="G239">
        <v>66865.490000000005</v>
      </c>
      <c r="H239" t="str">
        <v>50K-100K</v>
      </c>
      <c r="I239" s="19">
        <v>43514</v>
      </c>
      <c r="J239">
        <v>1</v>
      </c>
      <c r="K239" t="str">
        <v>Permanent</v>
      </c>
      <c r="L239" t="str">
        <v>Seattle, USA</v>
      </c>
      <c r="M239">
        <v>7.48</v>
      </c>
      <c r="N239" t="str">
        <v>Full Time</v>
      </c>
      <c r="O239" t="str">
        <v>Monday</v>
      </c>
    </row>
    <row r="240" spans="1:15" x14ac:dyDescent="0.35">
      <c r="A240" t="str">
        <v>SQ00105</v>
      </c>
      <c r="B240" t="str">
        <v>Sarayu</v>
      </c>
      <c r="C240">
        <v>0</v>
      </c>
      <c r="D240" t="str">
        <v>Ragunathan</v>
      </c>
      <c r="E240" t="str">
        <v>Female</v>
      </c>
      <c r="F240" t="str">
        <v>Training</v>
      </c>
      <c r="G240">
        <v>86010.54</v>
      </c>
      <c r="H240" t="str">
        <v>50K-100K</v>
      </c>
      <c r="I240" s="19">
        <v>43164</v>
      </c>
      <c r="J240">
        <v>1</v>
      </c>
      <c r="K240" t="str">
        <v>Permanent</v>
      </c>
      <c r="L240" t="str">
        <v>Chennai, India</v>
      </c>
      <c r="M240">
        <v>8.44</v>
      </c>
      <c r="N240" t="str">
        <v>Full Time</v>
      </c>
      <c r="O240" t="str">
        <v>Monday</v>
      </c>
    </row>
    <row r="241" spans="1:15" x14ac:dyDescent="0.35">
      <c r="A241" t="str">
        <v>VT01610</v>
      </c>
      <c r="B241" t="str">
        <v>Kunja</v>
      </c>
      <c r="C241" t="str">
        <v>Prashanta</v>
      </c>
      <c r="D241" t="str">
        <v>Vibha</v>
      </c>
      <c r="E241" t="str">
        <v>Female</v>
      </c>
      <c r="F241" t="str">
        <v>Accounting</v>
      </c>
      <c r="G241">
        <v>76303.820000000007</v>
      </c>
      <c r="H241" t="str">
        <v>50K-100K</v>
      </c>
      <c r="I241" s="19">
        <v>43458</v>
      </c>
      <c r="J241">
        <v>1</v>
      </c>
      <c r="K241" t="str">
        <v>Fixed Term</v>
      </c>
      <c r="L241" t="str">
        <v>Hyderabad, India</v>
      </c>
      <c r="M241">
        <v>7.63</v>
      </c>
      <c r="N241" t="str">
        <v>Full Time</v>
      </c>
      <c r="O241" t="str">
        <v>Monday</v>
      </c>
    </row>
    <row r="242" spans="1:15" x14ac:dyDescent="0.35">
      <c r="A242" t="str">
        <v>PR02016</v>
      </c>
      <c r="B242" t="str">
        <v>Iris</v>
      </c>
      <c r="C242">
        <v>0</v>
      </c>
      <c r="D242" t="str">
        <v>Wagg</v>
      </c>
      <c r="E242" t="str">
        <v>Female</v>
      </c>
      <c r="F242" t="str">
        <v>Engineering</v>
      </c>
      <c r="G242">
        <v>58861.19</v>
      </c>
      <c r="H242" t="str">
        <v>50K-100K</v>
      </c>
      <c r="I242" s="19">
        <v>43654</v>
      </c>
      <c r="J242">
        <v>1</v>
      </c>
      <c r="K242" t="str">
        <v>Permanent</v>
      </c>
      <c r="L242" t="str">
        <v>Columbus, USA</v>
      </c>
      <c r="M242">
        <v>7.1</v>
      </c>
      <c r="N242" t="str">
        <v>Full Time</v>
      </c>
      <c r="O242" t="str">
        <v>Monday</v>
      </c>
    </row>
    <row r="243" spans="1:15" x14ac:dyDescent="0.35">
      <c r="A243" t="str">
        <v>VT04415</v>
      </c>
      <c r="B243" t="str">
        <v>Malory</v>
      </c>
      <c r="C243">
        <v>0</v>
      </c>
      <c r="D243" t="str">
        <v>Biles</v>
      </c>
      <c r="E243" t="str">
        <v>Female</v>
      </c>
      <c r="F243" t="str">
        <v>Training</v>
      </c>
      <c r="G243">
        <v>58744.17</v>
      </c>
      <c r="H243" t="str">
        <v>50K-100K</v>
      </c>
      <c r="I243" s="19">
        <v>43171</v>
      </c>
      <c r="J243">
        <v>1</v>
      </c>
      <c r="K243" t="str">
        <v>Temporary</v>
      </c>
      <c r="L243" t="str">
        <v>Columbus, USA</v>
      </c>
      <c r="M243">
        <v>8.42</v>
      </c>
      <c r="N243" t="str">
        <v>Full Time</v>
      </c>
      <c r="O243" t="str">
        <v>Monday</v>
      </c>
    </row>
    <row r="244" spans="1:15" x14ac:dyDescent="0.35">
      <c r="A244" t="str">
        <v>TN04067</v>
      </c>
      <c r="B244" t="str">
        <v>Lea</v>
      </c>
      <c r="C244">
        <v>0</v>
      </c>
      <c r="D244" t="str">
        <v>Chaplin</v>
      </c>
      <c r="E244" t="str">
        <v>Female</v>
      </c>
      <c r="F244" t="str">
        <v>Human Resources</v>
      </c>
      <c r="G244">
        <v>73488.679999999993</v>
      </c>
      <c r="H244" t="str">
        <v>50K-100K</v>
      </c>
      <c r="I244" s="19">
        <v>43570</v>
      </c>
      <c r="J244">
        <v>1</v>
      </c>
      <c r="K244" t="str">
        <v>Fixed Term</v>
      </c>
      <c r="L244" t="str">
        <v>Seattle, USA</v>
      </c>
      <c r="M244">
        <v>7.33</v>
      </c>
      <c r="N244" t="str">
        <v>Full Time</v>
      </c>
      <c r="O244" t="str">
        <v>Monday</v>
      </c>
    </row>
    <row r="245" spans="1:15" x14ac:dyDescent="0.35">
      <c r="A245" t="str">
        <v>TN04175</v>
      </c>
      <c r="B245" t="str">
        <v>Hinda</v>
      </c>
      <c r="C245">
        <v>0</v>
      </c>
      <c r="D245" t="str">
        <v>Label</v>
      </c>
      <c r="E245" t="str">
        <v>Female</v>
      </c>
      <c r="F245" t="str">
        <v>Human Resources</v>
      </c>
      <c r="G245">
        <v>92704.48</v>
      </c>
      <c r="H245" t="str">
        <v>50K-100K</v>
      </c>
      <c r="I245" s="19">
        <v>43430</v>
      </c>
      <c r="J245">
        <v>1</v>
      </c>
      <c r="K245" t="str">
        <v>Fixed Term</v>
      </c>
      <c r="L245" t="str">
        <v>Columbus, USA</v>
      </c>
      <c r="M245">
        <v>7.71</v>
      </c>
      <c r="N245" t="str">
        <v>Full Time</v>
      </c>
      <c r="O245" t="str">
        <v>Monday</v>
      </c>
    </row>
    <row r="246" spans="1:15" x14ac:dyDescent="0.35">
      <c r="A246" t="str">
        <v>SQ02174</v>
      </c>
      <c r="B246" t="str">
        <v>Sidoney</v>
      </c>
      <c r="C246">
        <v>0</v>
      </c>
      <c r="D246" t="str">
        <v>Yitzhok</v>
      </c>
      <c r="E246" t="str">
        <v>Female</v>
      </c>
      <c r="F246" t="str">
        <v>Engineering</v>
      </c>
      <c r="G246">
        <v>118442.54</v>
      </c>
      <c r="H246" t="str">
        <v>Above 100K</v>
      </c>
      <c r="I246" s="19">
        <v>44193</v>
      </c>
      <c r="J246">
        <v>1</v>
      </c>
      <c r="K246" t="str">
        <v>Permanent</v>
      </c>
      <c r="L246" t="str">
        <v>Auckland, New Zealand</v>
      </c>
      <c r="M246">
        <v>5.62</v>
      </c>
      <c r="N246" t="str">
        <v>Full Time</v>
      </c>
      <c r="O246" t="str">
        <v>Monday</v>
      </c>
    </row>
    <row r="247" spans="1:15" x14ac:dyDescent="0.35">
      <c r="A247" t="str">
        <v>VT00596</v>
      </c>
      <c r="B247" t="str">
        <v>Letisha</v>
      </c>
      <c r="C247">
        <v>0</v>
      </c>
      <c r="D247" t="str">
        <v>Carrett</v>
      </c>
      <c r="E247" t="str">
        <v>Female</v>
      </c>
      <c r="F247" t="str">
        <v>Sales</v>
      </c>
      <c r="G247">
        <v>84598.88</v>
      </c>
      <c r="H247" t="str">
        <v>50K-100K</v>
      </c>
      <c r="I247" s="19">
        <v>44116</v>
      </c>
      <c r="J247">
        <v>1</v>
      </c>
      <c r="K247" t="str">
        <v>Fixed Term</v>
      </c>
      <c r="L247" t="str">
        <v>Seattle, USA</v>
      </c>
      <c r="M247">
        <v>5.83</v>
      </c>
      <c r="N247" t="str">
        <v>Full Time</v>
      </c>
      <c r="O247" t="str">
        <v>Monday</v>
      </c>
    </row>
    <row r="248" spans="1:15" x14ac:dyDescent="0.35">
      <c r="A248" t="str">
        <v>TN01601</v>
      </c>
      <c r="B248" t="str">
        <v>Melva</v>
      </c>
      <c r="C248">
        <v>0</v>
      </c>
      <c r="D248" t="str">
        <v>Jickells</v>
      </c>
      <c r="E248" t="str">
        <v>Female</v>
      </c>
      <c r="F248" t="str">
        <v>Product Management</v>
      </c>
      <c r="G248">
        <v>68795.48</v>
      </c>
      <c r="H248" t="str">
        <v>50K-100K</v>
      </c>
      <c r="I248" s="19">
        <v>44277</v>
      </c>
      <c r="J248">
        <v>0.2</v>
      </c>
      <c r="K248" t="str">
        <v>Permanent</v>
      </c>
      <c r="L248" t="str">
        <v>Remote</v>
      </c>
      <c r="M248">
        <v>5.39</v>
      </c>
      <c r="N248" t="str">
        <v>Part Time</v>
      </c>
      <c r="O248" t="str">
        <v>Monday</v>
      </c>
    </row>
    <row r="249" spans="1:15" x14ac:dyDescent="0.35">
      <c r="A249" t="str">
        <v>SQ01730</v>
      </c>
      <c r="B249" t="str">
        <v>Austine</v>
      </c>
      <c r="C249">
        <v>0</v>
      </c>
      <c r="D249" t="str">
        <v>Littlewood</v>
      </c>
      <c r="E249" t="str">
        <v>Female</v>
      </c>
      <c r="F249" t="str">
        <v>Services</v>
      </c>
      <c r="G249">
        <v>32269.91</v>
      </c>
      <c r="H249" t="str">
        <v>Under 50K</v>
      </c>
      <c r="I249" s="19">
        <v>43346</v>
      </c>
      <c r="J249">
        <v>1</v>
      </c>
      <c r="K249" t="str">
        <v>Permanent</v>
      </c>
      <c r="L249" t="str">
        <v>Remote</v>
      </c>
      <c r="M249">
        <v>7.94</v>
      </c>
      <c r="N249" t="str">
        <v>Full Time</v>
      </c>
      <c r="O249" t="str">
        <v>Monday</v>
      </c>
    </row>
    <row r="250" spans="1:15" x14ac:dyDescent="0.35">
      <c r="A250" t="str">
        <v>PR02275</v>
      </c>
      <c r="B250" t="str">
        <v>Louise</v>
      </c>
      <c r="C250">
        <v>0</v>
      </c>
      <c r="D250" t="str">
        <v>Lamming</v>
      </c>
      <c r="E250" t="str">
        <v>Female</v>
      </c>
      <c r="F250" t="str">
        <v>Sales</v>
      </c>
      <c r="G250">
        <v>41934.71</v>
      </c>
      <c r="H250" t="str">
        <v>Under 50K</v>
      </c>
      <c r="I250" s="19">
        <v>43780</v>
      </c>
      <c r="J250">
        <v>1</v>
      </c>
      <c r="K250" t="str">
        <v>Permanent</v>
      </c>
      <c r="L250" t="str">
        <v>Remote</v>
      </c>
      <c r="M250">
        <v>6.75</v>
      </c>
      <c r="N250" t="str">
        <v>Full Time</v>
      </c>
      <c r="O250" t="str">
        <v>Monday</v>
      </c>
    </row>
    <row r="251" spans="1:15" x14ac:dyDescent="0.35">
      <c r="A251" t="str">
        <v>TN01601</v>
      </c>
      <c r="B251" t="str">
        <v>Melva</v>
      </c>
      <c r="C251">
        <v>0</v>
      </c>
      <c r="D251" t="str">
        <v>Jickells</v>
      </c>
      <c r="E251" t="str">
        <v>Female</v>
      </c>
      <c r="F251" t="str">
        <v>Product Management</v>
      </c>
      <c r="G251">
        <v>68795.48</v>
      </c>
      <c r="H251" t="str">
        <v>50K-100K</v>
      </c>
      <c r="I251" s="19">
        <v>44277</v>
      </c>
      <c r="J251">
        <v>0.2</v>
      </c>
      <c r="K251" t="str">
        <v>Permanent</v>
      </c>
      <c r="L251" t="str">
        <v>Remote</v>
      </c>
      <c r="M251">
        <v>5.39</v>
      </c>
      <c r="N251" t="str">
        <v>Part Time</v>
      </c>
      <c r="O251" t="str">
        <v>Monday</v>
      </c>
    </row>
    <row r="252" spans="1:15" x14ac:dyDescent="0.35">
      <c r="A252" t="str">
        <v>TN03575</v>
      </c>
      <c r="B252" t="str">
        <v>Janina</v>
      </c>
      <c r="C252">
        <v>0</v>
      </c>
      <c r="D252" t="str">
        <v>Wolverson</v>
      </c>
      <c r="E252" t="str">
        <v>Female</v>
      </c>
      <c r="F252" t="str">
        <v>Research and Development</v>
      </c>
      <c r="G252">
        <v>99683.67</v>
      </c>
      <c r="H252" t="str">
        <v>50K-100K</v>
      </c>
      <c r="I252" s="19">
        <v>43500</v>
      </c>
      <c r="J252">
        <v>1</v>
      </c>
      <c r="K252" t="str">
        <v>Fixed Term</v>
      </c>
      <c r="L252" t="str">
        <v>Seattle, USA</v>
      </c>
      <c r="M252">
        <v>7.52</v>
      </c>
      <c r="N252" t="str">
        <v>Full Time</v>
      </c>
      <c r="O252" t="str">
        <v>Monday</v>
      </c>
    </row>
    <row r="253" spans="1:15" x14ac:dyDescent="0.35">
      <c r="A253" t="str">
        <v>PR00113</v>
      </c>
      <c r="B253" t="str">
        <v>Van</v>
      </c>
      <c r="C253">
        <v>0</v>
      </c>
      <c r="D253" t="str">
        <v>Tuxwell</v>
      </c>
      <c r="E253" t="str">
        <v>Female</v>
      </c>
      <c r="F253" t="str">
        <v>Business Development</v>
      </c>
      <c r="G253">
        <v>80695.740000000005</v>
      </c>
      <c r="H253" t="str">
        <v>50K-100K</v>
      </c>
      <c r="I253" s="19">
        <v>43360</v>
      </c>
      <c r="J253">
        <v>1</v>
      </c>
      <c r="K253" t="str">
        <v>Permanent</v>
      </c>
      <c r="L253" t="str">
        <v>Columbus, USA</v>
      </c>
      <c r="M253">
        <v>7.9</v>
      </c>
      <c r="N253" t="str">
        <v>Full Time</v>
      </c>
      <c r="O253" t="str">
        <v>Monday</v>
      </c>
    </row>
    <row r="254" spans="1:15" x14ac:dyDescent="0.35">
      <c r="A254" t="str">
        <v>PR01383</v>
      </c>
      <c r="B254" t="str">
        <v>Addi</v>
      </c>
      <c r="C254">
        <v>0</v>
      </c>
      <c r="D254" t="str">
        <v>Studdeard</v>
      </c>
      <c r="E254" t="str">
        <v>Female</v>
      </c>
      <c r="F254" t="str">
        <v>Product Management</v>
      </c>
      <c r="G254">
        <v>72502.61</v>
      </c>
      <c r="H254" t="str">
        <v>50K-100K</v>
      </c>
      <c r="I254" s="19">
        <v>44235</v>
      </c>
      <c r="J254">
        <v>1</v>
      </c>
      <c r="K254" t="str">
        <v>Permanent</v>
      </c>
      <c r="L254" t="str">
        <v>Wellington, New Zealand</v>
      </c>
      <c r="M254">
        <v>5.5</v>
      </c>
      <c r="N254" t="str">
        <v>Full Time</v>
      </c>
      <c r="O254" t="str">
        <v>Monday</v>
      </c>
    </row>
    <row r="255" spans="1:15" x14ac:dyDescent="0.35">
      <c r="A255" t="str">
        <v>PR00007</v>
      </c>
      <c r="B255" t="str">
        <v>Torrance</v>
      </c>
      <c r="C255">
        <v>0</v>
      </c>
      <c r="D255" t="str">
        <v>Collier</v>
      </c>
      <c r="E255" t="str">
        <v>Female</v>
      </c>
      <c r="F255" t="str">
        <v>Training</v>
      </c>
      <c r="G255">
        <v>96135.75</v>
      </c>
      <c r="H255" t="str">
        <v>50K-100K</v>
      </c>
      <c r="I255" s="19">
        <v>44025</v>
      </c>
      <c r="J255">
        <v>0.3</v>
      </c>
      <c r="K255" t="str">
        <v>Permanent</v>
      </c>
      <c r="L255" t="str">
        <v>Wellington, New Zealand</v>
      </c>
      <c r="M255">
        <v>6.08</v>
      </c>
      <c r="N255" t="str">
        <v>Part Time</v>
      </c>
      <c r="O255" t="str">
        <v>Monday</v>
      </c>
    </row>
    <row r="256" spans="1:15" x14ac:dyDescent="0.35">
      <c r="A256" t="str">
        <v>SQ03491</v>
      </c>
      <c r="B256" t="str">
        <v>Freda</v>
      </c>
      <c r="C256">
        <v>0</v>
      </c>
      <c r="D256" t="str">
        <v>Legan</v>
      </c>
      <c r="E256" t="str">
        <v>Female</v>
      </c>
      <c r="F256" t="str">
        <v>Sales</v>
      </c>
      <c r="G256">
        <v>102129.37</v>
      </c>
      <c r="H256" t="str">
        <v>Above 100K</v>
      </c>
      <c r="I256" s="19">
        <v>44396</v>
      </c>
      <c r="J256">
        <v>1</v>
      </c>
      <c r="K256" t="str">
        <v>Permanent</v>
      </c>
      <c r="L256" t="str">
        <v>Columbus, USA</v>
      </c>
      <c r="M256">
        <v>5.0599999999999996</v>
      </c>
      <c r="N256" t="str">
        <v>Full Time</v>
      </c>
      <c r="O256" t="str">
        <v>Monday</v>
      </c>
    </row>
    <row r="257" spans="1:15" x14ac:dyDescent="0.35">
      <c r="A257" t="str">
        <v>PR00113</v>
      </c>
      <c r="B257" t="str">
        <v>Van</v>
      </c>
      <c r="C257">
        <v>0</v>
      </c>
      <c r="D257" t="str">
        <v>Tuxwell</v>
      </c>
      <c r="E257" t="str">
        <v>Female</v>
      </c>
      <c r="F257" t="str">
        <v>Business Development</v>
      </c>
      <c r="G257">
        <v>80695.740000000005</v>
      </c>
      <c r="H257" t="str">
        <v>50K-100K</v>
      </c>
      <c r="I257" s="19">
        <v>43360</v>
      </c>
      <c r="J257">
        <v>1</v>
      </c>
      <c r="K257" t="str">
        <v>Permanent</v>
      </c>
      <c r="L257" t="str">
        <v>Columbus, USA</v>
      </c>
      <c r="M257">
        <v>7.9</v>
      </c>
      <c r="N257" t="str">
        <v>Full Time</v>
      </c>
      <c r="O257" t="str">
        <v>Monday</v>
      </c>
    </row>
    <row r="258" spans="1:15" x14ac:dyDescent="0.35">
      <c r="A258" t="str">
        <v>VT00740</v>
      </c>
      <c r="B258" t="str">
        <v>Chitrasen</v>
      </c>
      <c r="C258">
        <v>0</v>
      </c>
      <c r="D258" t="str">
        <v>Laul</v>
      </c>
      <c r="E258" t="str">
        <v>Female</v>
      </c>
      <c r="F258" t="str">
        <v>Research and Development</v>
      </c>
      <c r="G258">
        <v>46751.7</v>
      </c>
      <c r="H258" t="str">
        <v>Under 50K</v>
      </c>
      <c r="I258" s="19">
        <v>43843</v>
      </c>
      <c r="J258">
        <v>1</v>
      </c>
      <c r="K258" t="str">
        <v>Fixed Term</v>
      </c>
      <c r="L258" t="str">
        <v>Hyderabad, India</v>
      </c>
      <c r="M258">
        <v>6.58</v>
      </c>
      <c r="N258" t="str">
        <v>Full Time</v>
      </c>
      <c r="O258" t="str">
        <v>Monday</v>
      </c>
    </row>
    <row r="259" spans="1:15" x14ac:dyDescent="0.35">
      <c r="A259" t="str">
        <v>SQ04613</v>
      </c>
      <c r="B259" t="str">
        <v>Sarojini</v>
      </c>
      <c r="C259">
        <v>0</v>
      </c>
      <c r="D259" t="str">
        <v>Naueshwara</v>
      </c>
      <c r="E259" t="str">
        <v>Female</v>
      </c>
      <c r="F259" t="str">
        <v>Human Resources</v>
      </c>
      <c r="G259">
        <v>85264.38</v>
      </c>
      <c r="H259" t="str">
        <v>50K-100K</v>
      </c>
      <c r="I259" s="19">
        <v>43220</v>
      </c>
      <c r="J259">
        <v>1</v>
      </c>
      <c r="K259" t="str">
        <v>Permanent</v>
      </c>
      <c r="L259" t="str">
        <v>Chennai, India</v>
      </c>
      <c r="M259">
        <v>8.2799999999999994</v>
      </c>
      <c r="N259" t="str">
        <v>Full Time</v>
      </c>
      <c r="O259" t="str">
        <v>Monday</v>
      </c>
    </row>
    <row r="260" spans="1:15" x14ac:dyDescent="0.35">
      <c r="A260" t="str">
        <v>PR02436</v>
      </c>
      <c r="B260" t="str">
        <v>Marmaduke</v>
      </c>
      <c r="C260">
        <v>0</v>
      </c>
      <c r="D260" t="str">
        <v>Worssam</v>
      </c>
      <c r="E260" t="str">
        <v>Female</v>
      </c>
      <c r="F260" t="str">
        <v>Engineering</v>
      </c>
      <c r="G260">
        <v>78378.2</v>
      </c>
      <c r="H260" t="str">
        <v>50K-100K</v>
      </c>
      <c r="I260" s="19">
        <v>43465</v>
      </c>
      <c r="J260">
        <v>0.4</v>
      </c>
      <c r="K260" t="str">
        <v>Permanent</v>
      </c>
      <c r="L260" t="str">
        <v>Remote</v>
      </c>
      <c r="M260">
        <v>7.61</v>
      </c>
      <c r="N260" t="str">
        <v>Part Time</v>
      </c>
      <c r="O260" t="str">
        <v>Monday</v>
      </c>
    </row>
    <row r="261" spans="1:15" x14ac:dyDescent="0.35">
      <c r="A261" t="str">
        <v>SQ03625</v>
      </c>
      <c r="B261" t="str">
        <v>Fidela</v>
      </c>
      <c r="C261">
        <v>0</v>
      </c>
      <c r="D261" t="str">
        <v>Artis</v>
      </c>
      <c r="E261" t="str">
        <v>Female</v>
      </c>
      <c r="F261" t="str">
        <v>Sales</v>
      </c>
      <c r="G261">
        <v>78020.39</v>
      </c>
      <c r="H261" t="str">
        <v>50K-100K</v>
      </c>
      <c r="I261" s="19">
        <v>43899</v>
      </c>
      <c r="J261">
        <v>1</v>
      </c>
      <c r="K261" t="str">
        <v>Permanent</v>
      </c>
      <c r="L261" t="str">
        <v>Remote</v>
      </c>
      <c r="M261">
        <v>6.42</v>
      </c>
      <c r="N261" t="str">
        <v>Full Time</v>
      </c>
      <c r="O261" t="str">
        <v>Monday</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462D-EE5A-4E4D-A09E-F8878947B362}">
  <dimension ref="A1:I17"/>
  <sheetViews>
    <sheetView workbookViewId="0">
      <selection activeCell="E3" sqref="E3"/>
    </sheetView>
  </sheetViews>
  <sheetFormatPr defaultRowHeight="18" x14ac:dyDescent="0.35"/>
  <cols>
    <col min="1" max="1" width="22.08203125" bestFit="1" customWidth="1"/>
    <col min="2" max="2" width="7.1640625" bestFit="1" customWidth="1"/>
    <col min="3" max="3" width="9.75" style="7" bestFit="1" customWidth="1"/>
    <col min="4" max="4" width="10.33203125" style="7" bestFit="1" customWidth="1"/>
    <col min="5" max="5" width="8.58203125" style="50" bestFit="1" customWidth="1"/>
    <col min="6" max="6" width="8.83203125" style="20"/>
    <col min="7" max="7" width="11.25" style="7" bestFit="1" customWidth="1"/>
    <col min="8" max="8" width="9.75" style="7" bestFit="1" customWidth="1"/>
    <col min="9" max="9" width="8.83203125" style="50" bestFit="1" customWidth="1"/>
  </cols>
  <sheetData>
    <row r="1" spans="1:9" x14ac:dyDescent="0.35">
      <c r="A1" t="s">
        <v>973</v>
      </c>
    </row>
    <row r="3" spans="1:9" x14ac:dyDescent="0.35">
      <c r="A3" s="46" t="s">
        <v>974</v>
      </c>
      <c r="B3" s="47">
        <f>COUNTA(Employee_Processed_Data[Emp ID])</f>
        <v>265</v>
      </c>
      <c r="C3" s="48">
        <f>AVERAGE(Employee_Processed_Data[Salary])</f>
        <v>72467.71532075468</v>
      </c>
      <c r="D3" s="48"/>
      <c r="E3" s="48">
        <f>MAX(Employee_Processed_Data[Salary])</f>
        <v>120000</v>
      </c>
      <c r="F3" s="51"/>
      <c r="G3" s="48"/>
      <c r="H3" s="48"/>
      <c r="I3" s="52"/>
    </row>
    <row r="5" spans="1:9" ht="29.4" x14ac:dyDescent="0.35">
      <c r="A5" s="45" t="s">
        <v>3</v>
      </c>
      <c r="B5" s="55" t="s">
        <v>929</v>
      </c>
      <c r="C5" s="49" t="s">
        <v>930</v>
      </c>
      <c r="D5" s="49" t="s">
        <v>975</v>
      </c>
      <c r="E5" s="85" t="s">
        <v>976</v>
      </c>
      <c r="F5" s="85"/>
      <c r="G5" s="49" t="s">
        <v>977</v>
      </c>
      <c r="H5" s="49" t="s">
        <v>978</v>
      </c>
      <c r="I5" s="53" t="s">
        <v>979</v>
      </c>
    </row>
    <row r="6" spans="1:9" x14ac:dyDescent="0.35">
      <c r="A6" t="str" cm="1">
        <f t="array" ref="A6:A17">_xlfn._xlws.SORT(_xlfn.UNIQUE(Employee_Processed_Data[Department]))</f>
        <v>Accounting</v>
      </c>
      <c r="B6" cm="1">
        <f t="array" ref="B6:B17">COUNTIFS(Employee_Processed_Data[Department],_xlfn.ANCHORARRAY(A6))</f>
        <v>26</v>
      </c>
      <c r="C6" s="7" cm="1">
        <f t="array" ref="C6:C17">AVERAGEIFS(Employee_Processed_Data[Salary],Employee_Processed_Data[Department],_xlfn.ANCHORARRAY(A6))</f>
        <v>69806.945769230762</v>
      </c>
      <c r="D6" s="7" cm="1">
        <f t="array" ref="D6:D17">_xlfn.ANCHORARRAY(C6)-$C$3</f>
        <v>-2660.7695515239175</v>
      </c>
      <c r="E6" s="50" cm="1">
        <f t="array" ref="E6:E17">(_xlfn.ANCHORARRAY(C6)-$C$3)/$C$3</f>
        <v>-3.6716619804376197E-2</v>
      </c>
      <c r="F6" s="20" cm="1">
        <f t="array" ref="F6:F17">(_xlfn.ANCHORARRAY(C6)-$C$3)/$C$3</f>
        <v>-3.6716619804376197E-2</v>
      </c>
      <c r="G6" s="7" cm="1">
        <f t="array" ref="G6:G17">_xlfn.MAXIFS(Employee_Processed_Data[Salary],Employee_Processed_Data[Department],_xlfn.ANCHORARRAY(A6))</f>
        <v>119022.49</v>
      </c>
      <c r="H6" s="7" cm="1">
        <f t="array" ref="H6">MEDIAN(_xlfn._xlws.FILTER(Employee_Processed_Data[Salary],Employee_Processed_Data[Department]=A6))</f>
        <v>69025.614999999991</v>
      </c>
      <c r="I6" s="50" cm="1">
        <f t="array" ref="I6:I17">COUNTIFS(Employee_Processed_Data[Department],_xlfn.ANCHORARRAY(A6),Employee_Processed_Data[Gender],"Female")/COUNTIFS(Employee_Processed_Data[Department],_xlfn.ANCHORARRAY(A6))</f>
        <v>0.34615384615384615</v>
      </c>
    </row>
    <row r="7" spans="1:9" x14ac:dyDescent="0.35">
      <c r="A7" t="str">
        <v>Business Development</v>
      </c>
      <c r="B7">
        <v>26</v>
      </c>
      <c r="C7" s="7">
        <v>79781.805769230792</v>
      </c>
      <c r="D7" s="7">
        <v>7314.0904484761122</v>
      </c>
      <c r="E7" s="50">
        <v>0.10092895044507308</v>
      </c>
      <c r="F7" s="20">
        <v>0.10092895044507308</v>
      </c>
      <c r="G7" s="7">
        <v>110042.37</v>
      </c>
      <c r="H7" s="7" cm="1">
        <f t="array" ref="H7">MEDIAN(_xlfn._xlws.FILTER(Employee_Processed_Data[Salary],Employee_Processed_Data[Department]=A7))</f>
        <v>80695.740000000005</v>
      </c>
      <c r="I7" s="50">
        <v>0.42307692307692307</v>
      </c>
    </row>
    <row r="8" spans="1:9" x14ac:dyDescent="0.35">
      <c r="A8" t="str">
        <v>Engineering</v>
      </c>
      <c r="B8">
        <v>27</v>
      </c>
      <c r="C8" s="7">
        <v>78940.277407407397</v>
      </c>
      <c r="D8" s="7">
        <v>6472.562086652717</v>
      </c>
      <c r="E8" s="50">
        <v>8.9316491599107747E-2</v>
      </c>
      <c r="F8" s="20">
        <v>8.9316491599107747E-2</v>
      </c>
      <c r="G8" s="7">
        <v>120000</v>
      </c>
      <c r="H8" s="7" cm="1">
        <f t="array" ref="H8">MEDIAN(_xlfn._xlws.FILTER(Employee_Processed_Data[Salary],Employee_Processed_Data[Department]=A8))</f>
        <v>82239.53</v>
      </c>
      <c r="I8" s="50">
        <v>0.37037037037037035</v>
      </c>
    </row>
    <row r="9" spans="1:9" x14ac:dyDescent="0.35">
      <c r="A9" t="str">
        <v>Human Resources</v>
      </c>
      <c r="B9">
        <v>22</v>
      </c>
      <c r="C9" s="7">
        <v>73109.377727272731</v>
      </c>
      <c r="D9" s="7">
        <v>641.66240651805128</v>
      </c>
      <c r="E9" s="50">
        <v>8.8544588949429712E-3</v>
      </c>
      <c r="F9" s="20">
        <v>8.8544588949429712E-3</v>
      </c>
      <c r="G9" s="7">
        <v>103494.94</v>
      </c>
      <c r="H9" s="7" cm="1">
        <f t="array" ref="H9">MEDIAN(_xlfn._xlws.FILTER(Employee_Processed_Data[Salary],Employee_Processed_Data[Department]=A9))</f>
        <v>73182.794999999998</v>
      </c>
      <c r="I9" s="50">
        <v>0.31818181818181818</v>
      </c>
    </row>
    <row r="10" spans="1:9" x14ac:dyDescent="0.35">
      <c r="A10" t="str">
        <v>Legal</v>
      </c>
      <c r="B10">
        <v>23</v>
      </c>
      <c r="C10" s="7">
        <v>61395.342173913035</v>
      </c>
      <c r="D10" s="7">
        <v>-11072.373146841644</v>
      </c>
      <c r="E10" s="50">
        <v>-0.15279042671392909</v>
      </c>
      <c r="F10" s="20">
        <v>-0.15279042671392909</v>
      </c>
      <c r="G10" s="7">
        <v>113747.56</v>
      </c>
      <c r="H10" s="7" cm="1">
        <f t="array" ref="H10">MEDIAN(_xlfn._xlws.FILTER(Employee_Processed_Data[Salary],Employee_Processed_Data[Department]=A10))</f>
        <v>63705.4</v>
      </c>
      <c r="I10" s="50">
        <v>0.34782608695652173</v>
      </c>
    </row>
    <row r="11" spans="1:9" x14ac:dyDescent="0.35">
      <c r="A11" t="str">
        <v>Marketing</v>
      </c>
      <c r="B11">
        <v>12</v>
      </c>
      <c r="C11" s="7">
        <v>64441.299999999996</v>
      </c>
      <c r="D11" s="7">
        <v>-8026.4153207546842</v>
      </c>
      <c r="E11" s="50">
        <v>-0.11075849825302726</v>
      </c>
      <c r="F11" s="20">
        <v>-0.11075849825302726</v>
      </c>
      <c r="G11" s="7">
        <v>104903.79</v>
      </c>
      <c r="H11" s="7" cm="1">
        <f t="array" ref="H11">MEDIAN(_xlfn._xlws.FILTER(Employee_Processed_Data[Salary],Employee_Processed_Data[Department]=A11))</f>
        <v>66961.489999999991</v>
      </c>
      <c r="I11" s="50">
        <v>0.41666666666666669</v>
      </c>
    </row>
    <row r="12" spans="1:9" x14ac:dyDescent="0.35">
      <c r="A12" t="str">
        <v>Product Management</v>
      </c>
      <c r="B12">
        <v>29</v>
      </c>
      <c r="C12" s="7">
        <v>75179.064482758607</v>
      </c>
      <c r="D12" s="7">
        <v>2711.3491620039276</v>
      </c>
      <c r="E12" s="50">
        <v>3.7414580410090562E-2</v>
      </c>
      <c r="F12" s="20">
        <v>3.7414580410090562E-2</v>
      </c>
      <c r="G12" s="7">
        <v>115191.38</v>
      </c>
      <c r="H12" s="7" cm="1">
        <f t="array" ref="H12">MEDIAN(_xlfn._xlws.FILTER(Employee_Processed_Data[Salary],Employee_Processed_Data[Department]=A12))</f>
        <v>72502.61</v>
      </c>
      <c r="I12" s="50">
        <v>0.58620689655172409</v>
      </c>
    </row>
    <row r="13" spans="1:9" x14ac:dyDescent="0.35">
      <c r="A13" t="str">
        <v>Research and Development</v>
      </c>
      <c r="B13">
        <v>19</v>
      </c>
      <c r="C13" s="7">
        <v>63389.146315789476</v>
      </c>
      <c r="D13" s="7">
        <v>-9078.5690049652039</v>
      </c>
      <c r="E13" s="50">
        <v>-0.12527742822830668</v>
      </c>
      <c r="F13" s="20">
        <v>-0.12527742822830668</v>
      </c>
      <c r="G13" s="7">
        <v>99683.67</v>
      </c>
      <c r="H13" s="7" cm="1">
        <f t="array" ref="H13">MEDIAN(_xlfn._xlws.FILTER(Employee_Processed_Data[Salary],Employee_Processed_Data[Department]=A13))</f>
        <v>62281.24</v>
      </c>
      <c r="I13" s="50">
        <v>0.63157894736842102</v>
      </c>
    </row>
    <row r="14" spans="1:9" x14ac:dyDescent="0.35">
      <c r="A14" t="str">
        <v>Sales</v>
      </c>
      <c r="B14">
        <v>18</v>
      </c>
      <c r="C14" s="7">
        <v>71897.095555555556</v>
      </c>
      <c r="D14" s="7">
        <v>-570.61976519912423</v>
      </c>
      <c r="E14" s="50">
        <v>-7.8741238449903123E-3</v>
      </c>
      <c r="F14" s="20">
        <v>-7.8741238449903123E-3</v>
      </c>
      <c r="G14" s="7">
        <v>102129.37</v>
      </c>
      <c r="H14" s="7" cm="1">
        <f t="array" ref="H14">MEDIAN(_xlfn._xlws.FILTER(Employee_Processed_Data[Salary],Employee_Processed_Data[Department]=A14))</f>
        <v>79396.654999999999</v>
      </c>
      <c r="I14" s="50">
        <v>0.55555555555555558</v>
      </c>
    </row>
    <row r="15" spans="1:9" x14ac:dyDescent="0.35">
      <c r="A15" t="str">
        <v>Services</v>
      </c>
      <c r="B15">
        <v>21</v>
      </c>
      <c r="C15" s="7">
        <v>74673.97476190477</v>
      </c>
      <c r="D15" s="7">
        <v>2206.2594411500904</v>
      </c>
      <c r="E15" s="50">
        <v>3.0444721920441446E-2</v>
      </c>
      <c r="F15" s="20">
        <v>3.0444721920441446E-2</v>
      </c>
      <c r="G15" s="7">
        <v>120000</v>
      </c>
      <c r="H15" s="7" cm="1">
        <f t="array" ref="H15">MEDIAN(_xlfn._xlws.FILTER(Employee_Processed_Data[Salary],Employee_Processed_Data[Department]=A15))</f>
        <v>77096.05</v>
      </c>
      <c r="I15" s="50">
        <v>0.61904761904761907</v>
      </c>
    </row>
    <row r="16" spans="1:9" x14ac:dyDescent="0.35">
      <c r="A16" t="str">
        <v>Support</v>
      </c>
      <c r="B16">
        <v>18</v>
      </c>
      <c r="C16" s="7">
        <v>62741.763888888876</v>
      </c>
      <c r="D16" s="7">
        <v>-9725.9514318658039</v>
      </c>
      <c r="E16" s="50">
        <v>-0.13421081910499116</v>
      </c>
      <c r="F16" s="20">
        <v>-0.13421081910499116</v>
      </c>
      <c r="G16" s="7">
        <v>104802.63</v>
      </c>
      <c r="H16" s="7" cm="1">
        <f t="array" ref="H16">MEDIAN(_xlfn._xlws.FILTER(Employee_Processed_Data[Salary],Employee_Processed_Data[Department]=A16))</f>
        <v>60236.225000000006</v>
      </c>
      <c r="I16" s="50">
        <v>0.44444444444444442</v>
      </c>
    </row>
    <row r="17" spans="1:9" x14ac:dyDescent="0.35">
      <c r="A17" t="str">
        <v>Training</v>
      </c>
      <c r="B17">
        <v>24</v>
      </c>
      <c r="C17" s="7">
        <v>83883.965000000011</v>
      </c>
      <c r="D17" s="7">
        <v>11416.249679245331</v>
      </c>
      <c r="E17" s="50">
        <v>0.15753566438123556</v>
      </c>
      <c r="F17" s="20">
        <v>0.15753566438123556</v>
      </c>
      <c r="G17" s="7">
        <v>116767.63</v>
      </c>
      <c r="H17" s="7" cm="1">
        <f t="array" ref="H17">MEDIAN(_xlfn._xlws.FILTER(Employee_Processed_Data[Salary],Employee_Processed_Data[Department]=A17))</f>
        <v>89569.44</v>
      </c>
      <c r="I17" s="50">
        <v>0.70833333333333337</v>
      </c>
    </row>
  </sheetData>
  <mergeCells count="1">
    <mergeCell ref="E5:F5"/>
  </mergeCells>
  <conditionalFormatting sqref="E1:E2 E4:E1048576">
    <cfRule type="cellIs" dxfId="13" priority="1" operator="lessThan">
      <formula>0</formula>
    </cfRule>
  </conditionalFormatting>
  <conditionalFormatting sqref="F1:F1048576">
    <cfRule type="dataBar" priority="2">
      <dataBar showValue="0">
        <cfvo type="min"/>
        <cfvo type="max"/>
        <color rgb="FF638EC6"/>
      </dataBar>
      <extLst>
        <ext xmlns:x14="http://schemas.microsoft.com/office/spreadsheetml/2009/9/main" uri="{B025F937-C7B1-47D3-B67F-A62EFF666E3E}">
          <x14:id>{C061FE05-BA4C-430A-9299-C1F40D935308}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061FE05-BA4C-430A-9299-C1F40D935308}">
            <x14:dataBar minLength="0" maxLength="100" border="1" negativeBarBorderColorSameAsPositive="0">
              <x14:cfvo type="autoMin"/>
              <x14:cfvo type="autoMax"/>
              <x14:borderColor rgb="FF638EC6"/>
              <x14:negativeFillColor rgb="FFFF0000"/>
              <x14:negativeBorderColor rgb="FFFF0000"/>
              <x14:axisColor rgb="FF000000"/>
            </x14:dataBar>
          </x14:cfRule>
          <xm:sqref>F1:F1048576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9C38-192E-41EF-ABBF-4B351C801CAB}">
  <dimension ref="A1:K1001"/>
  <sheetViews>
    <sheetView topLeftCell="A2" workbookViewId="0">
      <selection activeCell="C2" activeCellId="1" sqref="E16 C2:C1001"/>
    </sheetView>
  </sheetViews>
  <sheetFormatPr defaultRowHeight="18" x14ac:dyDescent="0.35"/>
  <cols>
    <col min="1" max="1" width="10" bestFit="1" customWidth="1"/>
    <col min="2" max="2" width="10.1640625" bestFit="1" customWidth="1"/>
    <col min="3" max="3" width="7.9140625" style="22" bestFit="1" customWidth="1"/>
    <col min="4" max="4" width="11.83203125" bestFit="1" customWidth="1"/>
    <col min="5" max="5" width="9.58203125" bestFit="1" customWidth="1"/>
    <col min="6" max="6" width="13.6640625" bestFit="1" customWidth="1"/>
    <col min="7" max="7" width="14.08203125" bestFit="1" customWidth="1"/>
    <col min="10" max="10" width="12.58203125" bestFit="1" customWidth="1"/>
    <col min="11" max="11" width="8.6640625" style="22"/>
  </cols>
  <sheetData>
    <row r="1" spans="1:11" s="67" customFormat="1" x14ac:dyDescent="0.35">
      <c r="A1" s="64" t="s">
        <v>980</v>
      </c>
      <c r="B1" s="65" t="s">
        <v>981</v>
      </c>
      <c r="C1" s="86" t="s">
        <v>982</v>
      </c>
      <c r="D1" s="65" t="s">
        <v>983</v>
      </c>
      <c r="E1" s="65" t="s">
        <v>984</v>
      </c>
      <c r="F1" s="65" t="s">
        <v>985</v>
      </c>
      <c r="G1" s="66" t="s">
        <v>986</v>
      </c>
      <c r="H1" s="65" t="s">
        <v>2053</v>
      </c>
      <c r="I1" s="82" t="s">
        <v>2059</v>
      </c>
      <c r="J1" s="82" t="s">
        <v>2072</v>
      </c>
      <c r="K1" s="89" t="s">
        <v>2073</v>
      </c>
    </row>
    <row r="2" spans="1:11" x14ac:dyDescent="0.35">
      <c r="A2" s="56" t="s">
        <v>987</v>
      </c>
      <c r="B2" s="57" t="s">
        <v>988</v>
      </c>
      <c r="C2" s="87">
        <v>116</v>
      </c>
      <c r="D2" s="57" t="s">
        <v>989</v>
      </c>
      <c r="E2" s="58">
        <v>44927</v>
      </c>
      <c r="F2" s="57">
        <v>128</v>
      </c>
      <c r="G2" s="59">
        <v>4.9000000000000004</v>
      </c>
      <c r="H2" s="74">
        <f>IF(MONTH(Call_Centre_Data[[#This Row],[Date of Call]])&lt;=6,YEAR(Call_Centre_Data[[#This Row],[Date of Call]]),YEAR(Call_Centre_Data[[#This Row],[Date of Call]])+1)</f>
        <v>2023</v>
      </c>
      <c r="I2" s="83" t="str">
        <f>TEXT(Call_Centre_Data[[#This Row],[Date of Call]],"DDDD")</f>
        <v>Sunday</v>
      </c>
      <c r="J2" s="83" t="str" cm="1">
        <f t="array" ref="J2">_xlfn.IFS(Call_Centre_Data[[#This Row],[Duration]]&lt;=10,"Under 10 Mins", Call_Centre_Data[[#This Row],[Duration]]&lt;=30,"10-30 Mins",Call_Centre_Data[[#This Row],[Duration]]&lt;=60,"30-60 Mins",Call_Centre_Data[[#This Row],[Duration]]&lt;=120,"1-2 Hours",TRUE,"More than 2 Hours")</f>
        <v>1-2 Hours</v>
      </c>
      <c r="K2" s="90">
        <f>ROUND(Call_Centre_Data[[#This Row],[Satisfaction Rating]],0)</f>
        <v>5</v>
      </c>
    </row>
    <row r="3" spans="1:11" x14ac:dyDescent="0.35">
      <c r="A3" s="56" t="s">
        <v>990</v>
      </c>
      <c r="B3" s="57" t="s">
        <v>991</v>
      </c>
      <c r="C3" s="87">
        <v>119</v>
      </c>
      <c r="D3" s="57" t="s">
        <v>989</v>
      </c>
      <c r="E3" s="58">
        <v>44927</v>
      </c>
      <c r="F3" s="57">
        <v>135</v>
      </c>
      <c r="G3" s="59">
        <v>2.9</v>
      </c>
      <c r="H3" s="57">
        <f>IF(MONTH(Call_Centre_Data[[#This Row],[Date of Call]])&lt;=6,YEAR(Call_Centre_Data[[#This Row],[Date of Call]]),YEAR(Call_Centre_Data[[#This Row],[Date of Call]])+1)</f>
        <v>2023</v>
      </c>
      <c r="I3" s="39" t="str">
        <f>TEXT(Call_Centre_Data[[#This Row],[Date of Call]],"DDDD")</f>
        <v>Sunday</v>
      </c>
      <c r="J3" s="39" t="str" cm="1">
        <f t="array" ref="J3">_xlfn.IFS(Call_Centre_Data[[#This Row],[Duration]]&lt;=10,"Under 10 Mins", Call_Centre_Data[[#This Row],[Duration]]&lt;=30,"10-30 Mins",Call_Centre_Data[[#This Row],[Duration]]&lt;=60,"30-60 Mins",Call_Centre_Data[[#This Row],[Duration]]&lt;=120,"1-2 Hours",TRUE,"More than 2 Hours")</f>
        <v>1-2 Hours</v>
      </c>
      <c r="K3" s="91">
        <f>ROUND(Call_Centre_Data[[#This Row],[Satisfaction Rating]],0)</f>
        <v>3</v>
      </c>
    </row>
    <row r="4" spans="1:11" x14ac:dyDescent="0.35">
      <c r="A4" s="56" t="s">
        <v>992</v>
      </c>
      <c r="B4" s="57" t="s">
        <v>993</v>
      </c>
      <c r="C4" s="87">
        <v>68</v>
      </c>
      <c r="D4" s="57" t="s">
        <v>994</v>
      </c>
      <c r="E4" s="58">
        <v>44927</v>
      </c>
      <c r="F4" s="57">
        <v>66</v>
      </c>
      <c r="G4" s="59">
        <v>4.7</v>
      </c>
      <c r="H4" s="57">
        <f>IF(MONTH(Call_Centre_Data[[#This Row],[Date of Call]])&lt;=6,YEAR(Call_Centre_Data[[#This Row],[Date of Call]]),YEAR(Call_Centre_Data[[#This Row],[Date of Call]])+1)</f>
        <v>2023</v>
      </c>
      <c r="I4" s="39" t="str">
        <f>TEXT(Call_Centre_Data[[#This Row],[Date of Call]],"DDDD")</f>
        <v>Sunday</v>
      </c>
      <c r="J4" s="39" t="str" cm="1">
        <f t="array" ref="J4">_xlfn.IFS(Call_Centre_Data[[#This Row],[Duration]]&lt;=10,"Under 10 Mins", Call_Centre_Data[[#This Row],[Duration]]&lt;=30,"10-30 Mins",Call_Centre_Data[[#This Row],[Duration]]&lt;=60,"30-60 Mins",Call_Centre_Data[[#This Row],[Duration]]&lt;=120,"1-2 Hours",TRUE,"More than 2 Hours")</f>
        <v>1-2 Hours</v>
      </c>
      <c r="K4" s="91">
        <f>ROUND(Call_Centre_Data[[#This Row],[Satisfaction Rating]],0)</f>
        <v>5</v>
      </c>
    </row>
    <row r="5" spans="1:11" x14ac:dyDescent="0.35">
      <c r="A5" s="56" t="s">
        <v>995</v>
      </c>
      <c r="B5" s="57" t="s">
        <v>996</v>
      </c>
      <c r="C5" s="87">
        <v>119</v>
      </c>
      <c r="D5" s="57" t="s">
        <v>994</v>
      </c>
      <c r="E5" s="58">
        <v>44927</v>
      </c>
      <c r="F5" s="57">
        <v>22</v>
      </c>
      <c r="G5" s="59">
        <v>2.9</v>
      </c>
      <c r="H5" s="57">
        <f>IF(MONTH(Call_Centre_Data[[#This Row],[Date of Call]])&lt;=6,YEAR(Call_Centre_Data[[#This Row],[Date of Call]]),YEAR(Call_Centre_Data[[#This Row],[Date of Call]])+1)</f>
        <v>2023</v>
      </c>
      <c r="I5" s="39" t="str">
        <f>TEXT(Call_Centre_Data[[#This Row],[Date of Call]],"DDDD")</f>
        <v>Sunday</v>
      </c>
      <c r="J5" s="39" t="str" cm="1">
        <f t="array" ref="J5">_xlfn.IFS(Call_Centre_Data[[#This Row],[Duration]]&lt;=10,"Under 10 Mins", Call_Centre_Data[[#This Row],[Duration]]&lt;=30,"10-30 Mins",Call_Centre_Data[[#This Row],[Duration]]&lt;=60,"30-60 Mins",Call_Centre_Data[[#This Row],[Duration]]&lt;=120,"1-2 Hours",TRUE,"More than 2 Hours")</f>
        <v>1-2 Hours</v>
      </c>
      <c r="K5" s="91">
        <f>ROUND(Call_Centre_Data[[#This Row],[Satisfaction Rating]],0)</f>
        <v>3</v>
      </c>
    </row>
    <row r="6" spans="1:11" x14ac:dyDescent="0.35">
      <c r="A6" s="56" t="s">
        <v>997</v>
      </c>
      <c r="B6" s="57" t="s">
        <v>998</v>
      </c>
      <c r="C6" s="87">
        <v>128</v>
      </c>
      <c r="D6" s="57" t="s">
        <v>999</v>
      </c>
      <c r="E6" s="58">
        <v>44928</v>
      </c>
      <c r="F6" s="57">
        <v>31</v>
      </c>
      <c r="G6" s="59">
        <v>2.8</v>
      </c>
      <c r="H6" s="57">
        <f>IF(MONTH(Call_Centre_Data[[#This Row],[Date of Call]])&lt;=6,YEAR(Call_Centre_Data[[#This Row],[Date of Call]]),YEAR(Call_Centre_Data[[#This Row],[Date of Call]])+1)</f>
        <v>2023</v>
      </c>
      <c r="I6" s="39" t="str">
        <f>TEXT(Call_Centre_Data[[#This Row],[Date of Call]],"DDDD")</f>
        <v>Monday</v>
      </c>
      <c r="J6" s="39" t="str" cm="1">
        <f t="array" ref="J6">_xlfn.IFS(Call_Centre_Data[[#This Row],[Duration]]&lt;=10,"Under 10 Mins", Call_Centre_Data[[#This Row],[Duration]]&lt;=30,"10-30 Mins",Call_Centre_Data[[#This Row],[Duration]]&lt;=60,"30-60 Mins",Call_Centre_Data[[#This Row],[Duration]]&lt;=120,"1-2 Hours",TRUE,"More than 2 Hours")</f>
        <v>More than 2 Hours</v>
      </c>
      <c r="K6" s="91">
        <f>ROUND(Call_Centre_Data[[#This Row],[Satisfaction Rating]],0)</f>
        <v>3</v>
      </c>
    </row>
    <row r="7" spans="1:11" x14ac:dyDescent="0.35">
      <c r="A7" s="56" t="s">
        <v>1000</v>
      </c>
      <c r="B7" s="57" t="s">
        <v>998</v>
      </c>
      <c r="C7" s="87">
        <v>49</v>
      </c>
      <c r="D7" s="57" t="s">
        <v>994</v>
      </c>
      <c r="E7" s="58">
        <v>44929</v>
      </c>
      <c r="F7" s="57">
        <v>135</v>
      </c>
      <c r="G7" s="59">
        <v>4.8</v>
      </c>
      <c r="H7" s="57">
        <f>IF(MONTH(Call_Centre_Data[[#This Row],[Date of Call]])&lt;=6,YEAR(Call_Centre_Data[[#This Row],[Date of Call]]),YEAR(Call_Centre_Data[[#This Row],[Date of Call]])+1)</f>
        <v>2023</v>
      </c>
      <c r="I7" s="39" t="str">
        <f>TEXT(Call_Centre_Data[[#This Row],[Date of Call]],"DDDD")</f>
        <v>Tuesday</v>
      </c>
      <c r="J7" s="39" t="str" cm="1">
        <f t="array" ref="J7">_xlfn.IFS(Call_Centre_Data[[#This Row],[Duration]]&lt;=10,"Under 10 Mins", Call_Centre_Data[[#This Row],[Duration]]&lt;=30,"10-30 Mins",Call_Centre_Data[[#This Row],[Duration]]&lt;=60,"30-60 Mins",Call_Centre_Data[[#This Row],[Duration]]&lt;=120,"1-2 Hours",TRUE,"More than 2 Hours")</f>
        <v>30-60 Mins</v>
      </c>
      <c r="K7" s="91">
        <f>ROUND(Call_Centre_Data[[#This Row],[Satisfaction Rating]],0)</f>
        <v>5</v>
      </c>
    </row>
    <row r="8" spans="1:11" x14ac:dyDescent="0.35">
      <c r="A8" s="56" t="s">
        <v>1001</v>
      </c>
      <c r="B8" s="57" t="s">
        <v>1002</v>
      </c>
      <c r="C8" s="87">
        <v>84</v>
      </c>
      <c r="D8" s="57" t="s">
        <v>989</v>
      </c>
      <c r="E8" s="58">
        <v>44929</v>
      </c>
      <c r="F8" s="57">
        <v>60</v>
      </c>
      <c r="G8" s="59">
        <v>4.7</v>
      </c>
      <c r="H8" s="57">
        <f>IF(MONTH(Call_Centre_Data[[#This Row],[Date of Call]])&lt;=6,YEAR(Call_Centre_Data[[#This Row],[Date of Call]]),YEAR(Call_Centre_Data[[#This Row],[Date of Call]])+1)</f>
        <v>2023</v>
      </c>
      <c r="I8" s="39" t="str">
        <f>TEXT(Call_Centre_Data[[#This Row],[Date of Call]],"DDDD")</f>
        <v>Tuesday</v>
      </c>
      <c r="J8" s="39" t="str" cm="1">
        <f t="array" ref="J8">_xlfn.IFS(Call_Centre_Data[[#This Row],[Duration]]&lt;=10,"Under 10 Mins", Call_Centre_Data[[#This Row],[Duration]]&lt;=30,"10-30 Mins",Call_Centre_Data[[#This Row],[Duration]]&lt;=60,"30-60 Mins",Call_Centre_Data[[#This Row],[Duration]]&lt;=120,"1-2 Hours",TRUE,"More than 2 Hours")</f>
        <v>1-2 Hours</v>
      </c>
      <c r="K8" s="91">
        <f>ROUND(Call_Centre_Data[[#This Row],[Satisfaction Rating]],0)</f>
        <v>5</v>
      </c>
    </row>
    <row r="9" spans="1:11" x14ac:dyDescent="0.35">
      <c r="A9" s="56" t="s">
        <v>1003</v>
      </c>
      <c r="B9" s="57" t="s">
        <v>988</v>
      </c>
      <c r="C9" s="87">
        <v>103</v>
      </c>
      <c r="D9" s="57" t="s">
        <v>1004</v>
      </c>
      <c r="E9" s="58">
        <v>44929</v>
      </c>
      <c r="F9" s="57">
        <v>148</v>
      </c>
      <c r="G9" s="59">
        <v>4.4000000000000004</v>
      </c>
      <c r="H9" s="57">
        <f>IF(MONTH(Call_Centre_Data[[#This Row],[Date of Call]])&lt;=6,YEAR(Call_Centre_Data[[#This Row],[Date of Call]]),YEAR(Call_Centre_Data[[#This Row],[Date of Call]])+1)</f>
        <v>2023</v>
      </c>
      <c r="I9" s="39" t="str">
        <f>TEXT(Call_Centre_Data[[#This Row],[Date of Call]],"DDDD")</f>
        <v>Tuesday</v>
      </c>
      <c r="J9" s="39" t="str" cm="1">
        <f t="array" ref="J9">_xlfn.IFS(Call_Centre_Data[[#This Row],[Duration]]&lt;=10,"Under 10 Mins", Call_Centre_Data[[#This Row],[Duration]]&lt;=30,"10-30 Mins",Call_Centre_Data[[#This Row],[Duration]]&lt;=60,"30-60 Mins",Call_Centre_Data[[#This Row],[Duration]]&lt;=120,"1-2 Hours",TRUE,"More than 2 Hours")</f>
        <v>1-2 Hours</v>
      </c>
      <c r="K9" s="91">
        <f>ROUND(Call_Centre_Data[[#This Row],[Satisfaction Rating]],0)</f>
        <v>4</v>
      </c>
    </row>
    <row r="10" spans="1:11" x14ac:dyDescent="0.35">
      <c r="A10" s="56" t="s">
        <v>1005</v>
      </c>
      <c r="B10" s="57" t="s">
        <v>993</v>
      </c>
      <c r="C10" s="87">
        <v>31</v>
      </c>
      <c r="D10" s="57" t="s">
        <v>994</v>
      </c>
      <c r="E10" s="58">
        <v>44929</v>
      </c>
      <c r="F10" s="57">
        <v>135</v>
      </c>
      <c r="G10" s="59">
        <v>3.6</v>
      </c>
      <c r="H10" s="57">
        <f>IF(MONTH(Call_Centre_Data[[#This Row],[Date of Call]])&lt;=6,YEAR(Call_Centre_Data[[#This Row],[Date of Call]]),YEAR(Call_Centre_Data[[#This Row],[Date of Call]])+1)</f>
        <v>2023</v>
      </c>
      <c r="I10" s="39" t="str">
        <f>TEXT(Call_Centre_Data[[#This Row],[Date of Call]],"DDDD")</f>
        <v>Tuesday</v>
      </c>
      <c r="J10" s="39" t="str" cm="1">
        <f t="array" ref="J10">_xlfn.IFS(Call_Centre_Data[[#This Row],[Duration]]&lt;=10,"Under 10 Mins", Call_Centre_Data[[#This Row],[Duration]]&lt;=30,"10-30 Mins",Call_Centre_Data[[#This Row],[Duration]]&lt;=60,"30-60 Mins",Call_Centre_Data[[#This Row],[Duration]]&lt;=120,"1-2 Hours",TRUE,"More than 2 Hours")</f>
        <v>30-60 Mins</v>
      </c>
      <c r="K10" s="91">
        <f>ROUND(Call_Centre_Data[[#This Row],[Satisfaction Rating]],0)</f>
        <v>4</v>
      </c>
    </row>
    <row r="11" spans="1:11" x14ac:dyDescent="0.35">
      <c r="A11" s="56" t="s">
        <v>1006</v>
      </c>
      <c r="B11" s="57" t="s">
        <v>1007</v>
      </c>
      <c r="C11" s="87">
        <v>44</v>
      </c>
      <c r="D11" s="57" t="s">
        <v>1008</v>
      </c>
      <c r="E11" s="58">
        <v>44929</v>
      </c>
      <c r="F11" s="57">
        <v>105</v>
      </c>
      <c r="G11" s="59">
        <v>2.9</v>
      </c>
      <c r="H11" s="57">
        <f>IF(MONTH(Call_Centre_Data[[#This Row],[Date of Call]])&lt;=6,YEAR(Call_Centre_Data[[#This Row],[Date of Call]]),YEAR(Call_Centre_Data[[#This Row],[Date of Call]])+1)</f>
        <v>2023</v>
      </c>
      <c r="I11" s="39" t="str">
        <f>TEXT(Call_Centre_Data[[#This Row],[Date of Call]],"DDDD")</f>
        <v>Tuesday</v>
      </c>
      <c r="J11" s="39" t="str" cm="1">
        <f t="array" ref="J11">_xlfn.IFS(Call_Centre_Data[[#This Row],[Duration]]&lt;=10,"Under 10 Mins", Call_Centre_Data[[#This Row],[Duration]]&lt;=30,"10-30 Mins",Call_Centre_Data[[#This Row],[Duration]]&lt;=60,"30-60 Mins",Call_Centre_Data[[#This Row],[Duration]]&lt;=120,"1-2 Hours",TRUE,"More than 2 Hours")</f>
        <v>30-60 Mins</v>
      </c>
      <c r="K11" s="91">
        <f>ROUND(Call_Centre_Data[[#This Row],[Satisfaction Rating]],0)</f>
        <v>3</v>
      </c>
    </row>
    <row r="12" spans="1:11" x14ac:dyDescent="0.35">
      <c r="A12" s="56" t="s">
        <v>1009</v>
      </c>
      <c r="B12" s="57" t="s">
        <v>998</v>
      </c>
      <c r="C12" s="87">
        <v>102</v>
      </c>
      <c r="D12" s="57" t="s">
        <v>994</v>
      </c>
      <c r="E12" s="58">
        <v>44929</v>
      </c>
      <c r="F12" s="57">
        <v>69</v>
      </c>
      <c r="G12" s="59">
        <v>4.9000000000000004</v>
      </c>
      <c r="H12" s="57">
        <f>IF(MONTH(Call_Centre_Data[[#This Row],[Date of Call]])&lt;=6,YEAR(Call_Centre_Data[[#This Row],[Date of Call]]),YEAR(Call_Centre_Data[[#This Row],[Date of Call]])+1)</f>
        <v>2023</v>
      </c>
      <c r="I12" s="39" t="str">
        <f>TEXT(Call_Centre_Data[[#This Row],[Date of Call]],"DDDD")</f>
        <v>Tuesday</v>
      </c>
      <c r="J12" s="39" t="str" cm="1">
        <f t="array" ref="J12">_xlfn.IFS(Call_Centre_Data[[#This Row],[Duration]]&lt;=10,"Under 10 Mins", Call_Centre_Data[[#This Row],[Duration]]&lt;=30,"10-30 Mins",Call_Centre_Data[[#This Row],[Duration]]&lt;=60,"30-60 Mins",Call_Centre_Data[[#This Row],[Duration]]&lt;=120,"1-2 Hours",TRUE,"More than 2 Hours")</f>
        <v>1-2 Hours</v>
      </c>
      <c r="K12" s="91">
        <f>ROUND(Call_Centre_Data[[#This Row],[Satisfaction Rating]],0)</f>
        <v>5</v>
      </c>
    </row>
    <row r="13" spans="1:11" x14ac:dyDescent="0.35">
      <c r="A13" s="56" t="s">
        <v>1010</v>
      </c>
      <c r="B13" s="57" t="s">
        <v>1011</v>
      </c>
      <c r="C13" s="87">
        <v>135</v>
      </c>
      <c r="D13" s="57" t="s">
        <v>989</v>
      </c>
      <c r="E13" s="58">
        <v>44929</v>
      </c>
      <c r="F13" s="57">
        <v>46</v>
      </c>
      <c r="G13" s="59">
        <v>3.4</v>
      </c>
      <c r="H13" s="57">
        <f>IF(MONTH(Call_Centre_Data[[#This Row],[Date of Call]])&lt;=6,YEAR(Call_Centre_Data[[#This Row],[Date of Call]]),YEAR(Call_Centre_Data[[#This Row],[Date of Call]])+1)</f>
        <v>2023</v>
      </c>
      <c r="I13" s="39" t="str">
        <f>TEXT(Call_Centre_Data[[#This Row],[Date of Call]],"DDDD")</f>
        <v>Tuesday</v>
      </c>
      <c r="J13" s="39" t="str" cm="1">
        <f t="array" ref="J13">_xlfn.IFS(Call_Centre_Data[[#This Row],[Duration]]&lt;=10,"Under 10 Mins", Call_Centre_Data[[#This Row],[Duration]]&lt;=30,"10-30 Mins",Call_Centre_Data[[#This Row],[Duration]]&lt;=60,"30-60 Mins",Call_Centre_Data[[#This Row],[Duration]]&lt;=120,"1-2 Hours",TRUE,"More than 2 Hours")</f>
        <v>More than 2 Hours</v>
      </c>
      <c r="K13" s="91">
        <f>ROUND(Call_Centre_Data[[#This Row],[Satisfaction Rating]],0)</f>
        <v>3</v>
      </c>
    </row>
    <row r="14" spans="1:11" x14ac:dyDescent="0.35">
      <c r="A14" s="56" t="s">
        <v>1012</v>
      </c>
      <c r="B14" s="57" t="s">
        <v>1013</v>
      </c>
      <c r="C14" s="87">
        <v>98</v>
      </c>
      <c r="D14" s="57" t="s">
        <v>994</v>
      </c>
      <c r="E14" s="58">
        <v>44930</v>
      </c>
      <c r="F14" s="57">
        <v>108</v>
      </c>
      <c r="G14" s="59">
        <v>3.5</v>
      </c>
      <c r="H14" s="57">
        <f>IF(MONTH(Call_Centre_Data[[#This Row],[Date of Call]])&lt;=6,YEAR(Call_Centre_Data[[#This Row],[Date of Call]]),YEAR(Call_Centre_Data[[#This Row],[Date of Call]])+1)</f>
        <v>2023</v>
      </c>
      <c r="I14" s="39" t="str">
        <f>TEXT(Call_Centre_Data[[#This Row],[Date of Call]],"DDDD")</f>
        <v>Wednesday</v>
      </c>
      <c r="J14" s="39" t="str" cm="1">
        <f t="array" ref="J14">_xlfn.IFS(Call_Centre_Data[[#This Row],[Duration]]&lt;=10,"Under 10 Mins", Call_Centre_Data[[#This Row],[Duration]]&lt;=30,"10-30 Mins",Call_Centre_Data[[#This Row],[Duration]]&lt;=60,"30-60 Mins",Call_Centre_Data[[#This Row],[Duration]]&lt;=120,"1-2 Hours",TRUE,"More than 2 Hours")</f>
        <v>1-2 Hours</v>
      </c>
      <c r="K14" s="91">
        <f>ROUND(Call_Centre_Data[[#This Row],[Satisfaction Rating]],0)</f>
        <v>4</v>
      </c>
    </row>
    <row r="15" spans="1:11" x14ac:dyDescent="0.35">
      <c r="A15" s="56" t="s">
        <v>1014</v>
      </c>
      <c r="B15" s="57" t="s">
        <v>1007</v>
      </c>
      <c r="C15" s="87">
        <v>139</v>
      </c>
      <c r="D15" s="57" t="s">
        <v>994</v>
      </c>
      <c r="E15" s="58">
        <v>44930</v>
      </c>
      <c r="F15" s="57">
        <v>96</v>
      </c>
      <c r="G15" s="59">
        <v>4</v>
      </c>
      <c r="H15" s="57">
        <f>IF(MONTH(Call_Centre_Data[[#This Row],[Date of Call]])&lt;=6,YEAR(Call_Centre_Data[[#This Row],[Date of Call]]),YEAR(Call_Centre_Data[[#This Row],[Date of Call]])+1)</f>
        <v>2023</v>
      </c>
      <c r="I15" s="39" t="str">
        <f>TEXT(Call_Centre_Data[[#This Row],[Date of Call]],"DDDD")</f>
        <v>Wednesday</v>
      </c>
      <c r="J15" s="39" t="str" cm="1">
        <f t="array" ref="J15">_xlfn.IFS(Call_Centre_Data[[#This Row],[Duration]]&lt;=10,"Under 10 Mins", Call_Centre_Data[[#This Row],[Duration]]&lt;=30,"10-30 Mins",Call_Centre_Data[[#This Row],[Duration]]&lt;=60,"30-60 Mins",Call_Centre_Data[[#This Row],[Duration]]&lt;=120,"1-2 Hours",TRUE,"More than 2 Hours")</f>
        <v>More than 2 Hours</v>
      </c>
      <c r="K15" s="91">
        <f>ROUND(Call_Centre_Data[[#This Row],[Satisfaction Rating]],0)</f>
        <v>4</v>
      </c>
    </row>
    <row r="16" spans="1:11" x14ac:dyDescent="0.35">
      <c r="A16" s="56" t="s">
        <v>1015</v>
      </c>
      <c r="B16" s="57" t="s">
        <v>1011</v>
      </c>
      <c r="C16" s="87">
        <v>48</v>
      </c>
      <c r="D16" s="57" t="s">
        <v>999</v>
      </c>
      <c r="E16" s="58">
        <v>44930</v>
      </c>
      <c r="F16" s="57">
        <v>68</v>
      </c>
      <c r="G16" s="59">
        <v>4.9000000000000004</v>
      </c>
      <c r="H16" s="57">
        <f>IF(MONTH(Call_Centre_Data[[#This Row],[Date of Call]])&lt;=6,YEAR(Call_Centre_Data[[#This Row],[Date of Call]]),YEAR(Call_Centre_Data[[#This Row],[Date of Call]])+1)</f>
        <v>2023</v>
      </c>
      <c r="I16" s="39" t="str">
        <f>TEXT(Call_Centre_Data[[#This Row],[Date of Call]],"DDDD")</f>
        <v>Wednesday</v>
      </c>
      <c r="J16" s="39" t="str" cm="1">
        <f t="array" ref="J16">_xlfn.IFS(Call_Centre_Data[[#This Row],[Duration]]&lt;=10,"Under 10 Mins", Call_Centre_Data[[#This Row],[Duration]]&lt;=30,"10-30 Mins",Call_Centre_Data[[#This Row],[Duration]]&lt;=60,"30-60 Mins",Call_Centre_Data[[#This Row],[Duration]]&lt;=120,"1-2 Hours",TRUE,"More than 2 Hours")</f>
        <v>30-60 Mins</v>
      </c>
      <c r="K16" s="91">
        <f>ROUND(Call_Centre_Data[[#This Row],[Satisfaction Rating]],0)</f>
        <v>5</v>
      </c>
    </row>
    <row r="17" spans="1:11" x14ac:dyDescent="0.35">
      <c r="A17" s="56" t="s">
        <v>1016</v>
      </c>
      <c r="B17" s="57" t="s">
        <v>1007</v>
      </c>
      <c r="C17" s="87">
        <v>176</v>
      </c>
      <c r="D17" s="57" t="s">
        <v>989</v>
      </c>
      <c r="E17" s="58">
        <v>44931</v>
      </c>
      <c r="F17" s="57">
        <v>24</v>
      </c>
      <c r="G17" s="59">
        <v>4.8</v>
      </c>
      <c r="H17" s="57">
        <f>IF(MONTH(Call_Centre_Data[[#This Row],[Date of Call]])&lt;=6,YEAR(Call_Centre_Data[[#This Row],[Date of Call]]),YEAR(Call_Centre_Data[[#This Row],[Date of Call]])+1)</f>
        <v>2023</v>
      </c>
      <c r="I17" s="39" t="str">
        <f>TEXT(Call_Centre_Data[[#This Row],[Date of Call]],"DDDD")</f>
        <v>Thursday</v>
      </c>
      <c r="J17" s="39" t="str" cm="1">
        <f t="array" ref="J17">_xlfn.IFS(Call_Centre_Data[[#This Row],[Duration]]&lt;=10,"Under 10 Mins", Call_Centre_Data[[#This Row],[Duration]]&lt;=30,"10-30 Mins",Call_Centre_Data[[#This Row],[Duration]]&lt;=60,"30-60 Mins",Call_Centre_Data[[#This Row],[Duration]]&lt;=120,"1-2 Hours",TRUE,"More than 2 Hours")</f>
        <v>More than 2 Hours</v>
      </c>
      <c r="K17" s="91">
        <f>ROUND(Call_Centre_Data[[#This Row],[Satisfaction Rating]],0)</f>
        <v>5</v>
      </c>
    </row>
    <row r="18" spans="1:11" x14ac:dyDescent="0.35">
      <c r="A18" s="56" t="s">
        <v>1017</v>
      </c>
      <c r="B18" s="57" t="s">
        <v>1007</v>
      </c>
      <c r="C18" s="87">
        <v>99</v>
      </c>
      <c r="D18" s="57" t="s">
        <v>999</v>
      </c>
      <c r="E18" s="58">
        <v>44931</v>
      </c>
      <c r="F18" s="57">
        <v>195</v>
      </c>
      <c r="G18" s="59">
        <v>3.9</v>
      </c>
      <c r="H18" s="57">
        <f>IF(MONTH(Call_Centre_Data[[#This Row],[Date of Call]])&lt;=6,YEAR(Call_Centre_Data[[#This Row],[Date of Call]]),YEAR(Call_Centre_Data[[#This Row],[Date of Call]])+1)</f>
        <v>2023</v>
      </c>
      <c r="I18" s="39" t="str">
        <f>TEXT(Call_Centre_Data[[#This Row],[Date of Call]],"DDDD")</f>
        <v>Thursday</v>
      </c>
      <c r="J18" s="39" t="str" cm="1">
        <f t="array" ref="J18">_xlfn.IFS(Call_Centre_Data[[#This Row],[Duration]]&lt;=10,"Under 10 Mins", Call_Centre_Data[[#This Row],[Duration]]&lt;=30,"10-30 Mins",Call_Centre_Data[[#This Row],[Duration]]&lt;=60,"30-60 Mins",Call_Centre_Data[[#This Row],[Duration]]&lt;=120,"1-2 Hours",TRUE,"More than 2 Hours")</f>
        <v>1-2 Hours</v>
      </c>
      <c r="K18" s="91">
        <f>ROUND(Call_Centre_Data[[#This Row],[Satisfaction Rating]],0)</f>
        <v>4</v>
      </c>
    </row>
    <row r="19" spans="1:11" x14ac:dyDescent="0.35">
      <c r="A19" s="56" t="s">
        <v>1018</v>
      </c>
      <c r="B19" s="57" t="s">
        <v>1019</v>
      </c>
      <c r="C19" s="87">
        <v>28</v>
      </c>
      <c r="D19" s="57" t="s">
        <v>1008</v>
      </c>
      <c r="E19" s="58">
        <v>44931</v>
      </c>
      <c r="F19" s="57">
        <v>28</v>
      </c>
      <c r="G19" s="59">
        <v>3.8</v>
      </c>
      <c r="H19" s="57">
        <f>IF(MONTH(Call_Centre_Data[[#This Row],[Date of Call]])&lt;=6,YEAR(Call_Centre_Data[[#This Row],[Date of Call]]),YEAR(Call_Centre_Data[[#This Row],[Date of Call]])+1)</f>
        <v>2023</v>
      </c>
      <c r="I19" s="39" t="str">
        <f>TEXT(Call_Centre_Data[[#This Row],[Date of Call]],"DDDD")</f>
        <v>Thursday</v>
      </c>
      <c r="J19" s="39" t="str" cm="1">
        <f t="array" ref="J19">_xlfn.IFS(Call_Centre_Data[[#This Row],[Duration]]&lt;=10,"Under 10 Mins", Call_Centre_Data[[#This Row],[Duration]]&lt;=30,"10-30 Mins",Call_Centre_Data[[#This Row],[Duration]]&lt;=60,"30-60 Mins",Call_Centre_Data[[#This Row],[Duration]]&lt;=120,"1-2 Hours",TRUE,"More than 2 Hours")</f>
        <v>10-30 Mins</v>
      </c>
      <c r="K19" s="91">
        <f>ROUND(Call_Centre_Data[[#This Row],[Satisfaction Rating]],0)</f>
        <v>4</v>
      </c>
    </row>
    <row r="20" spans="1:11" x14ac:dyDescent="0.35">
      <c r="A20" s="56" t="s">
        <v>1020</v>
      </c>
      <c r="B20" s="57" t="s">
        <v>1002</v>
      </c>
      <c r="C20" s="87">
        <v>54</v>
      </c>
      <c r="D20" s="57" t="s">
        <v>994</v>
      </c>
      <c r="E20" s="58">
        <v>44931</v>
      </c>
      <c r="F20" s="57">
        <v>170</v>
      </c>
      <c r="G20" s="59">
        <v>4.3</v>
      </c>
      <c r="H20" s="57">
        <f>IF(MONTH(Call_Centre_Data[[#This Row],[Date of Call]])&lt;=6,YEAR(Call_Centre_Data[[#This Row],[Date of Call]]),YEAR(Call_Centre_Data[[#This Row],[Date of Call]])+1)</f>
        <v>2023</v>
      </c>
      <c r="I20" s="39" t="str">
        <f>TEXT(Call_Centre_Data[[#This Row],[Date of Call]],"DDDD")</f>
        <v>Thursday</v>
      </c>
      <c r="J20" s="39" t="str" cm="1">
        <f t="array" ref="J20">_xlfn.IFS(Call_Centre_Data[[#This Row],[Duration]]&lt;=10,"Under 10 Mins", Call_Centre_Data[[#This Row],[Duration]]&lt;=30,"10-30 Mins",Call_Centre_Data[[#This Row],[Duration]]&lt;=60,"30-60 Mins",Call_Centre_Data[[#This Row],[Duration]]&lt;=120,"1-2 Hours",TRUE,"More than 2 Hours")</f>
        <v>30-60 Mins</v>
      </c>
      <c r="K20" s="91">
        <f>ROUND(Call_Centre_Data[[#This Row],[Satisfaction Rating]],0)</f>
        <v>4</v>
      </c>
    </row>
    <row r="21" spans="1:11" x14ac:dyDescent="0.35">
      <c r="A21" s="56" t="s">
        <v>1021</v>
      </c>
      <c r="B21" s="57" t="s">
        <v>1022</v>
      </c>
      <c r="C21" s="87">
        <v>48</v>
      </c>
      <c r="D21" s="57" t="s">
        <v>989</v>
      </c>
      <c r="E21" s="58">
        <v>44932</v>
      </c>
      <c r="F21" s="57">
        <v>30</v>
      </c>
      <c r="G21" s="59">
        <v>4.4000000000000004</v>
      </c>
      <c r="H21" s="57">
        <f>IF(MONTH(Call_Centre_Data[[#This Row],[Date of Call]])&lt;=6,YEAR(Call_Centre_Data[[#This Row],[Date of Call]]),YEAR(Call_Centre_Data[[#This Row],[Date of Call]])+1)</f>
        <v>2023</v>
      </c>
      <c r="I21" s="39" t="str">
        <f>TEXT(Call_Centre_Data[[#This Row],[Date of Call]],"DDDD")</f>
        <v>Friday</v>
      </c>
      <c r="J21" s="39" t="str" cm="1">
        <f t="array" ref="J21">_xlfn.IFS(Call_Centre_Data[[#This Row],[Duration]]&lt;=10,"Under 10 Mins", Call_Centre_Data[[#This Row],[Duration]]&lt;=30,"10-30 Mins",Call_Centre_Data[[#This Row],[Duration]]&lt;=60,"30-60 Mins",Call_Centre_Data[[#This Row],[Duration]]&lt;=120,"1-2 Hours",TRUE,"More than 2 Hours")</f>
        <v>30-60 Mins</v>
      </c>
      <c r="K21" s="91">
        <f>ROUND(Call_Centre_Data[[#This Row],[Satisfaction Rating]],0)</f>
        <v>4</v>
      </c>
    </row>
    <row r="22" spans="1:11" x14ac:dyDescent="0.35">
      <c r="A22" s="56" t="s">
        <v>1023</v>
      </c>
      <c r="B22" s="57" t="s">
        <v>991</v>
      </c>
      <c r="C22" s="87">
        <v>128</v>
      </c>
      <c r="D22" s="57" t="s">
        <v>989</v>
      </c>
      <c r="E22" s="58">
        <v>44932</v>
      </c>
      <c r="F22" s="57">
        <v>72</v>
      </c>
      <c r="G22" s="59">
        <v>5</v>
      </c>
      <c r="H22" s="57">
        <f>IF(MONTH(Call_Centre_Data[[#This Row],[Date of Call]])&lt;=6,YEAR(Call_Centre_Data[[#This Row],[Date of Call]]),YEAR(Call_Centre_Data[[#This Row],[Date of Call]])+1)</f>
        <v>2023</v>
      </c>
      <c r="I22" s="39" t="str">
        <f>TEXT(Call_Centre_Data[[#This Row],[Date of Call]],"DDDD")</f>
        <v>Friday</v>
      </c>
      <c r="J22" s="39" t="str" cm="1">
        <f t="array" ref="J22">_xlfn.IFS(Call_Centre_Data[[#This Row],[Duration]]&lt;=10,"Under 10 Mins", Call_Centre_Data[[#This Row],[Duration]]&lt;=30,"10-30 Mins",Call_Centre_Data[[#This Row],[Duration]]&lt;=60,"30-60 Mins",Call_Centre_Data[[#This Row],[Duration]]&lt;=120,"1-2 Hours",TRUE,"More than 2 Hours")</f>
        <v>More than 2 Hours</v>
      </c>
      <c r="K22" s="91">
        <f>ROUND(Call_Centre_Data[[#This Row],[Satisfaction Rating]],0)</f>
        <v>5</v>
      </c>
    </row>
    <row r="23" spans="1:11" x14ac:dyDescent="0.35">
      <c r="A23" s="56" t="s">
        <v>1024</v>
      </c>
      <c r="B23" s="57" t="s">
        <v>991</v>
      </c>
      <c r="C23" s="87">
        <v>38</v>
      </c>
      <c r="D23" s="57" t="s">
        <v>1004</v>
      </c>
      <c r="E23" s="58">
        <v>44933</v>
      </c>
      <c r="F23" s="57">
        <v>92</v>
      </c>
      <c r="G23" s="59">
        <v>4.9000000000000004</v>
      </c>
      <c r="H23" s="57">
        <f>IF(MONTH(Call_Centre_Data[[#This Row],[Date of Call]])&lt;=6,YEAR(Call_Centre_Data[[#This Row],[Date of Call]]),YEAR(Call_Centre_Data[[#This Row],[Date of Call]])+1)</f>
        <v>2023</v>
      </c>
      <c r="I23" s="39" t="str">
        <f>TEXT(Call_Centre_Data[[#This Row],[Date of Call]],"DDDD")</f>
        <v>Saturday</v>
      </c>
      <c r="J23" s="39" t="str" cm="1">
        <f t="array" ref="J23">_xlfn.IFS(Call_Centre_Data[[#This Row],[Duration]]&lt;=10,"Under 10 Mins", Call_Centre_Data[[#This Row],[Duration]]&lt;=30,"10-30 Mins",Call_Centre_Data[[#This Row],[Duration]]&lt;=60,"30-60 Mins",Call_Centre_Data[[#This Row],[Duration]]&lt;=120,"1-2 Hours",TRUE,"More than 2 Hours")</f>
        <v>30-60 Mins</v>
      </c>
      <c r="K23" s="91">
        <f>ROUND(Call_Centre_Data[[#This Row],[Satisfaction Rating]],0)</f>
        <v>5</v>
      </c>
    </row>
    <row r="24" spans="1:11" x14ac:dyDescent="0.35">
      <c r="A24" s="56" t="s">
        <v>1025</v>
      </c>
      <c r="B24" s="57" t="s">
        <v>988</v>
      </c>
      <c r="C24" s="87">
        <v>67</v>
      </c>
      <c r="D24" s="57" t="s">
        <v>1004</v>
      </c>
      <c r="E24" s="58">
        <v>44934</v>
      </c>
      <c r="F24" s="57">
        <v>165</v>
      </c>
      <c r="G24" s="59">
        <v>4.5</v>
      </c>
      <c r="H24" s="57">
        <f>IF(MONTH(Call_Centre_Data[[#This Row],[Date of Call]])&lt;=6,YEAR(Call_Centre_Data[[#This Row],[Date of Call]]),YEAR(Call_Centre_Data[[#This Row],[Date of Call]])+1)</f>
        <v>2023</v>
      </c>
      <c r="I24" s="39" t="str">
        <f>TEXT(Call_Centre_Data[[#This Row],[Date of Call]],"DDDD")</f>
        <v>Sunday</v>
      </c>
      <c r="J24" s="39" t="str" cm="1">
        <f t="array" ref="J24">_xlfn.IFS(Call_Centre_Data[[#This Row],[Duration]]&lt;=10,"Under 10 Mins", Call_Centre_Data[[#This Row],[Duration]]&lt;=30,"10-30 Mins",Call_Centre_Data[[#This Row],[Duration]]&lt;=60,"30-60 Mins",Call_Centre_Data[[#This Row],[Duration]]&lt;=120,"1-2 Hours",TRUE,"More than 2 Hours")</f>
        <v>1-2 Hours</v>
      </c>
      <c r="K24" s="91">
        <f>ROUND(Call_Centre_Data[[#This Row],[Satisfaction Rating]],0)</f>
        <v>5</v>
      </c>
    </row>
    <row r="25" spans="1:11" x14ac:dyDescent="0.35">
      <c r="A25" s="56" t="s">
        <v>1026</v>
      </c>
      <c r="B25" s="57" t="s">
        <v>1027</v>
      </c>
      <c r="C25" s="87">
        <v>58</v>
      </c>
      <c r="D25" s="57" t="s">
        <v>994</v>
      </c>
      <c r="E25" s="58">
        <v>44934</v>
      </c>
      <c r="F25" s="57">
        <v>140</v>
      </c>
      <c r="G25" s="59">
        <v>2.1</v>
      </c>
      <c r="H25" s="57">
        <f>IF(MONTH(Call_Centre_Data[[#This Row],[Date of Call]])&lt;=6,YEAR(Call_Centre_Data[[#This Row],[Date of Call]]),YEAR(Call_Centre_Data[[#This Row],[Date of Call]])+1)</f>
        <v>2023</v>
      </c>
      <c r="I25" s="39" t="str">
        <f>TEXT(Call_Centre_Data[[#This Row],[Date of Call]],"DDDD")</f>
        <v>Sunday</v>
      </c>
      <c r="J25" s="39" t="str" cm="1">
        <f t="array" ref="J25">_xlfn.IFS(Call_Centre_Data[[#This Row],[Duration]]&lt;=10,"Under 10 Mins", Call_Centre_Data[[#This Row],[Duration]]&lt;=30,"10-30 Mins",Call_Centre_Data[[#This Row],[Duration]]&lt;=60,"30-60 Mins",Call_Centre_Data[[#This Row],[Duration]]&lt;=120,"1-2 Hours",TRUE,"More than 2 Hours")</f>
        <v>30-60 Mins</v>
      </c>
      <c r="K25" s="91">
        <f>ROUND(Call_Centre_Data[[#This Row],[Satisfaction Rating]],0)</f>
        <v>2</v>
      </c>
    </row>
    <row r="26" spans="1:11" x14ac:dyDescent="0.35">
      <c r="A26" s="56" t="s">
        <v>1028</v>
      </c>
      <c r="B26" s="57" t="s">
        <v>1007</v>
      </c>
      <c r="C26" s="87">
        <v>54</v>
      </c>
      <c r="D26" s="57" t="s">
        <v>999</v>
      </c>
      <c r="E26" s="58">
        <v>44934</v>
      </c>
      <c r="F26" s="57">
        <v>111</v>
      </c>
      <c r="G26" s="59">
        <v>3.3</v>
      </c>
      <c r="H26" s="57">
        <f>IF(MONTH(Call_Centre_Data[[#This Row],[Date of Call]])&lt;=6,YEAR(Call_Centre_Data[[#This Row],[Date of Call]]),YEAR(Call_Centre_Data[[#This Row],[Date of Call]])+1)</f>
        <v>2023</v>
      </c>
      <c r="I26" s="39" t="str">
        <f>TEXT(Call_Centre_Data[[#This Row],[Date of Call]],"DDDD")</f>
        <v>Sunday</v>
      </c>
      <c r="J26" s="39" t="str" cm="1">
        <f t="array" ref="J26">_xlfn.IFS(Call_Centre_Data[[#This Row],[Duration]]&lt;=10,"Under 10 Mins", Call_Centre_Data[[#This Row],[Duration]]&lt;=30,"10-30 Mins",Call_Centre_Data[[#This Row],[Duration]]&lt;=60,"30-60 Mins",Call_Centre_Data[[#This Row],[Duration]]&lt;=120,"1-2 Hours",TRUE,"More than 2 Hours")</f>
        <v>30-60 Mins</v>
      </c>
      <c r="K26" s="91">
        <f>ROUND(Call_Centre_Data[[#This Row],[Satisfaction Rating]],0)</f>
        <v>3</v>
      </c>
    </row>
    <row r="27" spans="1:11" x14ac:dyDescent="0.35">
      <c r="A27" s="56" t="s">
        <v>1029</v>
      </c>
      <c r="B27" s="57" t="s">
        <v>1030</v>
      </c>
      <c r="C27" s="87">
        <v>28</v>
      </c>
      <c r="D27" s="57" t="s">
        <v>989</v>
      </c>
      <c r="E27" s="58">
        <v>44935</v>
      </c>
      <c r="F27" s="57">
        <v>63</v>
      </c>
      <c r="G27" s="59">
        <v>4.0999999999999996</v>
      </c>
      <c r="H27" s="57">
        <f>IF(MONTH(Call_Centre_Data[[#This Row],[Date of Call]])&lt;=6,YEAR(Call_Centre_Data[[#This Row],[Date of Call]]),YEAR(Call_Centre_Data[[#This Row],[Date of Call]])+1)</f>
        <v>2023</v>
      </c>
      <c r="I27" s="39" t="str">
        <f>TEXT(Call_Centre_Data[[#This Row],[Date of Call]],"DDDD")</f>
        <v>Monday</v>
      </c>
      <c r="J27" s="39" t="str" cm="1">
        <f t="array" ref="J27">_xlfn.IFS(Call_Centre_Data[[#This Row],[Duration]]&lt;=10,"Under 10 Mins", Call_Centre_Data[[#This Row],[Duration]]&lt;=30,"10-30 Mins",Call_Centre_Data[[#This Row],[Duration]]&lt;=60,"30-60 Mins",Call_Centre_Data[[#This Row],[Duration]]&lt;=120,"1-2 Hours",TRUE,"More than 2 Hours")</f>
        <v>10-30 Mins</v>
      </c>
      <c r="K27" s="91">
        <f>ROUND(Call_Centre_Data[[#This Row],[Satisfaction Rating]],0)</f>
        <v>4</v>
      </c>
    </row>
    <row r="28" spans="1:11" x14ac:dyDescent="0.35">
      <c r="A28" s="56" t="s">
        <v>1031</v>
      </c>
      <c r="B28" s="57" t="s">
        <v>1013</v>
      </c>
      <c r="C28" s="87">
        <v>73</v>
      </c>
      <c r="D28" s="57" t="s">
        <v>989</v>
      </c>
      <c r="E28" s="58">
        <v>44935</v>
      </c>
      <c r="F28" s="57">
        <v>80</v>
      </c>
      <c r="G28" s="59">
        <v>4.2</v>
      </c>
      <c r="H28" s="57">
        <f>IF(MONTH(Call_Centre_Data[[#This Row],[Date of Call]])&lt;=6,YEAR(Call_Centre_Data[[#This Row],[Date of Call]]),YEAR(Call_Centre_Data[[#This Row],[Date of Call]])+1)</f>
        <v>2023</v>
      </c>
      <c r="I28" s="39" t="str">
        <f>TEXT(Call_Centre_Data[[#This Row],[Date of Call]],"DDDD")</f>
        <v>Monday</v>
      </c>
      <c r="J28" s="39" t="str" cm="1">
        <f t="array" ref="J28">_xlfn.IFS(Call_Centre_Data[[#This Row],[Duration]]&lt;=10,"Under 10 Mins", Call_Centre_Data[[#This Row],[Duration]]&lt;=30,"10-30 Mins",Call_Centre_Data[[#This Row],[Duration]]&lt;=60,"30-60 Mins",Call_Centre_Data[[#This Row],[Duration]]&lt;=120,"1-2 Hours",TRUE,"More than 2 Hours")</f>
        <v>1-2 Hours</v>
      </c>
      <c r="K28" s="91">
        <f>ROUND(Call_Centre_Data[[#This Row],[Satisfaction Rating]],0)</f>
        <v>4</v>
      </c>
    </row>
    <row r="29" spans="1:11" x14ac:dyDescent="0.35">
      <c r="A29" s="56" t="s">
        <v>1032</v>
      </c>
      <c r="B29" s="57" t="s">
        <v>998</v>
      </c>
      <c r="C29" s="87">
        <v>81</v>
      </c>
      <c r="D29" s="57" t="s">
        <v>989</v>
      </c>
      <c r="E29" s="58">
        <v>44936</v>
      </c>
      <c r="F29" s="57">
        <v>50</v>
      </c>
      <c r="G29" s="59">
        <v>4.5999999999999996</v>
      </c>
      <c r="H29" s="57">
        <f>IF(MONTH(Call_Centre_Data[[#This Row],[Date of Call]])&lt;=6,YEAR(Call_Centre_Data[[#This Row],[Date of Call]]),YEAR(Call_Centre_Data[[#This Row],[Date of Call]])+1)</f>
        <v>2023</v>
      </c>
      <c r="I29" s="39" t="str">
        <f>TEXT(Call_Centre_Data[[#This Row],[Date of Call]],"DDDD")</f>
        <v>Tuesday</v>
      </c>
      <c r="J29" s="39" t="str" cm="1">
        <f t="array" ref="J29">_xlfn.IFS(Call_Centre_Data[[#This Row],[Duration]]&lt;=10,"Under 10 Mins", Call_Centre_Data[[#This Row],[Duration]]&lt;=30,"10-30 Mins",Call_Centre_Data[[#This Row],[Duration]]&lt;=60,"30-60 Mins",Call_Centre_Data[[#This Row],[Duration]]&lt;=120,"1-2 Hours",TRUE,"More than 2 Hours")</f>
        <v>1-2 Hours</v>
      </c>
      <c r="K29" s="91">
        <f>ROUND(Call_Centre_Data[[#This Row],[Satisfaction Rating]],0)</f>
        <v>5</v>
      </c>
    </row>
    <row r="30" spans="1:11" x14ac:dyDescent="0.35">
      <c r="A30" s="56" t="s">
        <v>1033</v>
      </c>
      <c r="B30" s="57" t="s">
        <v>1019</v>
      </c>
      <c r="C30" s="87">
        <v>31</v>
      </c>
      <c r="D30" s="57" t="s">
        <v>1004</v>
      </c>
      <c r="E30" s="58">
        <v>44936</v>
      </c>
      <c r="F30" s="57">
        <v>123</v>
      </c>
      <c r="G30" s="59">
        <v>2.9</v>
      </c>
      <c r="H30" s="57">
        <f>IF(MONTH(Call_Centre_Data[[#This Row],[Date of Call]])&lt;=6,YEAR(Call_Centre_Data[[#This Row],[Date of Call]]),YEAR(Call_Centre_Data[[#This Row],[Date of Call]])+1)</f>
        <v>2023</v>
      </c>
      <c r="I30" s="39" t="str">
        <f>TEXT(Call_Centre_Data[[#This Row],[Date of Call]],"DDDD")</f>
        <v>Tuesday</v>
      </c>
      <c r="J30" s="39" t="str" cm="1">
        <f t="array" ref="J30">_xlfn.IFS(Call_Centre_Data[[#This Row],[Duration]]&lt;=10,"Under 10 Mins", Call_Centre_Data[[#This Row],[Duration]]&lt;=30,"10-30 Mins",Call_Centre_Data[[#This Row],[Duration]]&lt;=60,"30-60 Mins",Call_Centre_Data[[#This Row],[Duration]]&lt;=120,"1-2 Hours",TRUE,"More than 2 Hours")</f>
        <v>30-60 Mins</v>
      </c>
      <c r="K30" s="91">
        <f>ROUND(Call_Centre_Data[[#This Row],[Satisfaction Rating]],0)</f>
        <v>3</v>
      </c>
    </row>
    <row r="31" spans="1:11" x14ac:dyDescent="0.35">
      <c r="A31" s="56" t="s">
        <v>1034</v>
      </c>
      <c r="B31" s="57" t="s">
        <v>1027</v>
      </c>
      <c r="C31" s="87">
        <v>155</v>
      </c>
      <c r="D31" s="57" t="s">
        <v>999</v>
      </c>
      <c r="E31" s="58">
        <v>44936</v>
      </c>
      <c r="F31" s="57">
        <v>110</v>
      </c>
      <c r="G31" s="59">
        <v>4.8</v>
      </c>
      <c r="H31" s="57">
        <f>IF(MONTH(Call_Centre_Data[[#This Row],[Date of Call]])&lt;=6,YEAR(Call_Centre_Data[[#This Row],[Date of Call]]),YEAR(Call_Centre_Data[[#This Row],[Date of Call]])+1)</f>
        <v>2023</v>
      </c>
      <c r="I31" s="39" t="str">
        <f>TEXT(Call_Centre_Data[[#This Row],[Date of Call]],"DDDD")</f>
        <v>Tuesday</v>
      </c>
      <c r="J31" s="39" t="str" cm="1">
        <f t="array" ref="J31">_xlfn.IFS(Call_Centre_Data[[#This Row],[Duration]]&lt;=10,"Under 10 Mins", Call_Centre_Data[[#This Row],[Duration]]&lt;=30,"10-30 Mins",Call_Centre_Data[[#This Row],[Duration]]&lt;=60,"30-60 Mins",Call_Centre_Data[[#This Row],[Duration]]&lt;=120,"1-2 Hours",TRUE,"More than 2 Hours")</f>
        <v>More than 2 Hours</v>
      </c>
      <c r="K31" s="91">
        <f>ROUND(Call_Centre_Data[[#This Row],[Satisfaction Rating]],0)</f>
        <v>5</v>
      </c>
    </row>
    <row r="32" spans="1:11" x14ac:dyDescent="0.35">
      <c r="A32" s="56" t="s">
        <v>1035</v>
      </c>
      <c r="B32" s="57" t="s">
        <v>1019</v>
      </c>
      <c r="C32" s="87">
        <v>80</v>
      </c>
      <c r="D32" s="57" t="s">
        <v>989</v>
      </c>
      <c r="E32" s="58">
        <v>44936</v>
      </c>
      <c r="F32" s="57">
        <v>140</v>
      </c>
      <c r="G32" s="59">
        <v>4.2</v>
      </c>
      <c r="H32" s="57">
        <f>IF(MONTH(Call_Centre_Data[[#This Row],[Date of Call]])&lt;=6,YEAR(Call_Centre_Data[[#This Row],[Date of Call]]),YEAR(Call_Centre_Data[[#This Row],[Date of Call]])+1)</f>
        <v>2023</v>
      </c>
      <c r="I32" s="39" t="str">
        <f>TEXT(Call_Centre_Data[[#This Row],[Date of Call]],"DDDD")</f>
        <v>Tuesday</v>
      </c>
      <c r="J32" s="39" t="str" cm="1">
        <f t="array" ref="J32">_xlfn.IFS(Call_Centre_Data[[#This Row],[Duration]]&lt;=10,"Under 10 Mins", Call_Centre_Data[[#This Row],[Duration]]&lt;=30,"10-30 Mins",Call_Centre_Data[[#This Row],[Duration]]&lt;=60,"30-60 Mins",Call_Centre_Data[[#This Row],[Duration]]&lt;=120,"1-2 Hours",TRUE,"More than 2 Hours")</f>
        <v>1-2 Hours</v>
      </c>
      <c r="K32" s="91">
        <f>ROUND(Call_Centre_Data[[#This Row],[Satisfaction Rating]],0)</f>
        <v>4</v>
      </c>
    </row>
    <row r="33" spans="1:11" x14ac:dyDescent="0.35">
      <c r="A33" s="56" t="s">
        <v>1036</v>
      </c>
      <c r="B33" s="57" t="s">
        <v>998</v>
      </c>
      <c r="C33" s="87">
        <v>82</v>
      </c>
      <c r="D33" s="57" t="s">
        <v>989</v>
      </c>
      <c r="E33" s="58">
        <v>44938</v>
      </c>
      <c r="F33" s="57">
        <v>42</v>
      </c>
      <c r="G33" s="59">
        <v>3.7</v>
      </c>
      <c r="H33" s="57">
        <f>IF(MONTH(Call_Centre_Data[[#This Row],[Date of Call]])&lt;=6,YEAR(Call_Centre_Data[[#This Row],[Date of Call]]),YEAR(Call_Centre_Data[[#This Row],[Date of Call]])+1)</f>
        <v>2023</v>
      </c>
      <c r="I33" s="39" t="str">
        <f>TEXT(Call_Centre_Data[[#This Row],[Date of Call]],"DDDD")</f>
        <v>Thursday</v>
      </c>
      <c r="J33" s="39" t="str" cm="1">
        <f t="array" ref="J33">_xlfn.IFS(Call_Centre_Data[[#This Row],[Duration]]&lt;=10,"Under 10 Mins", Call_Centre_Data[[#This Row],[Duration]]&lt;=30,"10-30 Mins",Call_Centre_Data[[#This Row],[Duration]]&lt;=60,"30-60 Mins",Call_Centre_Data[[#This Row],[Duration]]&lt;=120,"1-2 Hours",TRUE,"More than 2 Hours")</f>
        <v>1-2 Hours</v>
      </c>
      <c r="K33" s="91">
        <f>ROUND(Call_Centre_Data[[#This Row],[Satisfaction Rating]],0)</f>
        <v>4</v>
      </c>
    </row>
    <row r="34" spans="1:11" x14ac:dyDescent="0.35">
      <c r="A34" s="56" t="s">
        <v>1037</v>
      </c>
      <c r="B34" s="57" t="s">
        <v>998</v>
      </c>
      <c r="C34" s="87">
        <v>29</v>
      </c>
      <c r="D34" s="57" t="s">
        <v>999</v>
      </c>
      <c r="E34" s="58">
        <v>44938</v>
      </c>
      <c r="F34" s="57">
        <v>170</v>
      </c>
      <c r="G34" s="59">
        <v>5</v>
      </c>
      <c r="H34" s="57">
        <f>IF(MONTH(Call_Centre_Data[[#This Row],[Date of Call]])&lt;=6,YEAR(Call_Centre_Data[[#This Row],[Date of Call]]),YEAR(Call_Centre_Data[[#This Row],[Date of Call]])+1)</f>
        <v>2023</v>
      </c>
      <c r="I34" s="39" t="str">
        <f>TEXT(Call_Centre_Data[[#This Row],[Date of Call]],"DDDD")</f>
        <v>Thursday</v>
      </c>
      <c r="J34" s="39" t="str" cm="1">
        <f t="array" ref="J34">_xlfn.IFS(Call_Centre_Data[[#This Row],[Duration]]&lt;=10,"Under 10 Mins", Call_Centre_Data[[#This Row],[Duration]]&lt;=30,"10-30 Mins",Call_Centre_Data[[#This Row],[Duration]]&lt;=60,"30-60 Mins",Call_Centre_Data[[#This Row],[Duration]]&lt;=120,"1-2 Hours",TRUE,"More than 2 Hours")</f>
        <v>10-30 Mins</v>
      </c>
      <c r="K34" s="91">
        <f>ROUND(Call_Centre_Data[[#This Row],[Satisfaction Rating]],0)</f>
        <v>5</v>
      </c>
    </row>
    <row r="35" spans="1:11" x14ac:dyDescent="0.35">
      <c r="A35" s="56" t="s">
        <v>1038</v>
      </c>
      <c r="B35" s="57" t="s">
        <v>1022</v>
      </c>
      <c r="C35" s="87">
        <v>160</v>
      </c>
      <c r="D35" s="57" t="s">
        <v>994</v>
      </c>
      <c r="E35" s="58">
        <v>44940</v>
      </c>
      <c r="F35" s="57">
        <v>105</v>
      </c>
      <c r="G35" s="59">
        <v>5</v>
      </c>
      <c r="H35" s="57">
        <f>IF(MONTH(Call_Centre_Data[[#This Row],[Date of Call]])&lt;=6,YEAR(Call_Centre_Data[[#This Row],[Date of Call]]),YEAR(Call_Centre_Data[[#This Row],[Date of Call]])+1)</f>
        <v>2023</v>
      </c>
      <c r="I35" s="39" t="str">
        <f>TEXT(Call_Centre_Data[[#This Row],[Date of Call]],"DDDD")</f>
        <v>Saturday</v>
      </c>
      <c r="J35" s="39" t="str" cm="1">
        <f t="array" ref="J35">_xlfn.IFS(Call_Centre_Data[[#This Row],[Duration]]&lt;=10,"Under 10 Mins", Call_Centre_Data[[#This Row],[Duration]]&lt;=30,"10-30 Mins",Call_Centre_Data[[#This Row],[Duration]]&lt;=60,"30-60 Mins",Call_Centre_Data[[#This Row],[Duration]]&lt;=120,"1-2 Hours",TRUE,"More than 2 Hours")</f>
        <v>More than 2 Hours</v>
      </c>
      <c r="K35" s="91">
        <f>ROUND(Call_Centre_Data[[#This Row],[Satisfaction Rating]],0)</f>
        <v>5</v>
      </c>
    </row>
    <row r="36" spans="1:11" x14ac:dyDescent="0.35">
      <c r="A36" s="56" t="s">
        <v>1039</v>
      </c>
      <c r="B36" s="57" t="s">
        <v>1040</v>
      </c>
      <c r="C36" s="87">
        <v>105</v>
      </c>
      <c r="D36" s="57" t="s">
        <v>989</v>
      </c>
      <c r="E36" s="58">
        <v>44941</v>
      </c>
      <c r="F36" s="57">
        <v>125</v>
      </c>
      <c r="G36" s="59">
        <v>4.8</v>
      </c>
      <c r="H36" s="57">
        <f>IF(MONTH(Call_Centre_Data[[#This Row],[Date of Call]])&lt;=6,YEAR(Call_Centre_Data[[#This Row],[Date of Call]]),YEAR(Call_Centre_Data[[#This Row],[Date of Call]])+1)</f>
        <v>2023</v>
      </c>
      <c r="I36" s="39" t="str">
        <f>TEXT(Call_Centre_Data[[#This Row],[Date of Call]],"DDDD")</f>
        <v>Sunday</v>
      </c>
      <c r="J36" s="39" t="str" cm="1">
        <f t="array" ref="J36">_xlfn.IFS(Call_Centre_Data[[#This Row],[Duration]]&lt;=10,"Under 10 Mins", Call_Centre_Data[[#This Row],[Duration]]&lt;=30,"10-30 Mins",Call_Centre_Data[[#This Row],[Duration]]&lt;=60,"30-60 Mins",Call_Centre_Data[[#This Row],[Duration]]&lt;=120,"1-2 Hours",TRUE,"More than 2 Hours")</f>
        <v>1-2 Hours</v>
      </c>
      <c r="K36" s="91">
        <f>ROUND(Call_Centre_Data[[#This Row],[Satisfaction Rating]],0)</f>
        <v>5</v>
      </c>
    </row>
    <row r="37" spans="1:11" x14ac:dyDescent="0.35">
      <c r="A37" s="56" t="s">
        <v>1041</v>
      </c>
      <c r="B37" s="57" t="s">
        <v>1019</v>
      </c>
      <c r="C37" s="87">
        <v>75</v>
      </c>
      <c r="D37" s="57" t="s">
        <v>1008</v>
      </c>
      <c r="E37" s="58">
        <v>44941</v>
      </c>
      <c r="F37" s="57">
        <v>26</v>
      </c>
      <c r="G37" s="59">
        <v>2.4</v>
      </c>
      <c r="H37" s="57">
        <f>IF(MONTH(Call_Centre_Data[[#This Row],[Date of Call]])&lt;=6,YEAR(Call_Centre_Data[[#This Row],[Date of Call]]),YEAR(Call_Centre_Data[[#This Row],[Date of Call]])+1)</f>
        <v>2023</v>
      </c>
      <c r="I37" s="39" t="str">
        <f>TEXT(Call_Centre_Data[[#This Row],[Date of Call]],"DDDD")</f>
        <v>Sunday</v>
      </c>
      <c r="J37" s="39" t="str" cm="1">
        <f t="array" ref="J37">_xlfn.IFS(Call_Centre_Data[[#This Row],[Duration]]&lt;=10,"Under 10 Mins", Call_Centre_Data[[#This Row],[Duration]]&lt;=30,"10-30 Mins",Call_Centre_Data[[#This Row],[Duration]]&lt;=60,"30-60 Mins",Call_Centre_Data[[#This Row],[Duration]]&lt;=120,"1-2 Hours",TRUE,"More than 2 Hours")</f>
        <v>1-2 Hours</v>
      </c>
      <c r="K37" s="91">
        <f>ROUND(Call_Centre_Data[[#This Row],[Satisfaction Rating]],0)</f>
        <v>2</v>
      </c>
    </row>
    <row r="38" spans="1:11" x14ac:dyDescent="0.35">
      <c r="A38" s="56" t="s">
        <v>1042</v>
      </c>
      <c r="B38" s="57" t="s">
        <v>1027</v>
      </c>
      <c r="C38" s="87">
        <v>94</v>
      </c>
      <c r="D38" s="57" t="s">
        <v>1008</v>
      </c>
      <c r="E38" s="58">
        <v>44942</v>
      </c>
      <c r="F38" s="57">
        <v>120</v>
      </c>
      <c r="G38" s="59">
        <v>3.1</v>
      </c>
      <c r="H38" s="57">
        <f>IF(MONTH(Call_Centre_Data[[#This Row],[Date of Call]])&lt;=6,YEAR(Call_Centre_Data[[#This Row],[Date of Call]]),YEAR(Call_Centre_Data[[#This Row],[Date of Call]])+1)</f>
        <v>2023</v>
      </c>
      <c r="I38" s="39" t="str">
        <f>TEXT(Call_Centre_Data[[#This Row],[Date of Call]],"DDDD")</f>
        <v>Monday</v>
      </c>
      <c r="J38" s="39" t="str" cm="1">
        <f t="array" ref="J38">_xlfn.IFS(Call_Centre_Data[[#This Row],[Duration]]&lt;=10,"Under 10 Mins", Call_Centre_Data[[#This Row],[Duration]]&lt;=30,"10-30 Mins",Call_Centre_Data[[#This Row],[Duration]]&lt;=60,"30-60 Mins",Call_Centre_Data[[#This Row],[Duration]]&lt;=120,"1-2 Hours",TRUE,"More than 2 Hours")</f>
        <v>1-2 Hours</v>
      </c>
      <c r="K38" s="91">
        <f>ROUND(Call_Centre_Data[[#This Row],[Satisfaction Rating]],0)</f>
        <v>3</v>
      </c>
    </row>
    <row r="39" spans="1:11" x14ac:dyDescent="0.35">
      <c r="A39" s="56" t="s">
        <v>1043</v>
      </c>
      <c r="B39" s="57" t="s">
        <v>991</v>
      </c>
      <c r="C39" s="87">
        <v>90</v>
      </c>
      <c r="D39" s="57" t="s">
        <v>994</v>
      </c>
      <c r="E39" s="58">
        <v>44942</v>
      </c>
      <c r="F39" s="57">
        <v>132</v>
      </c>
      <c r="G39" s="59">
        <v>3.2</v>
      </c>
      <c r="H39" s="57">
        <f>IF(MONTH(Call_Centre_Data[[#This Row],[Date of Call]])&lt;=6,YEAR(Call_Centre_Data[[#This Row],[Date of Call]]),YEAR(Call_Centre_Data[[#This Row],[Date of Call]])+1)</f>
        <v>2023</v>
      </c>
      <c r="I39" s="39" t="str">
        <f>TEXT(Call_Centre_Data[[#This Row],[Date of Call]],"DDDD")</f>
        <v>Monday</v>
      </c>
      <c r="J39" s="39" t="str" cm="1">
        <f t="array" ref="J39">_xlfn.IFS(Call_Centre_Data[[#This Row],[Duration]]&lt;=10,"Under 10 Mins", Call_Centre_Data[[#This Row],[Duration]]&lt;=30,"10-30 Mins",Call_Centre_Data[[#This Row],[Duration]]&lt;=60,"30-60 Mins",Call_Centre_Data[[#This Row],[Duration]]&lt;=120,"1-2 Hours",TRUE,"More than 2 Hours")</f>
        <v>1-2 Hours</v>
      </c>
      <c r="K39" s="91">
        <f>ROUND(Call_Centre_Data[[#This Row],[Satisfaction Rating]],0)</f>
        <v>3</v>
      </c>
    </row>
    <row r="40" spans="1:11" x14ac:dyDescent="0.35">
      <c r="A40" s="56" t="s">
        <v>1044</v>
      </c>
      <c r="B40" s="57" t="s">
        <v>1027</v>
      </c>
      <c r="C40" s="87">
        <v>81</v>
      </c>
      <c r="D40" s="57" t="s">
        <v>1004</v>
      </c>
      <c r="E40" s="58">
        <v>44943</v>
      </c>
      <c r="F40" s="57">
        <v>86</v>
      </c>
      <c r="G40" s="59">
        <v>2.4</v>
      </c>
      <c r="H40" s="57">
        <f>IF(MONTH(Call_Centre_Data[[#This Row],[Date of Call]])&lt;=6,YEAR(Call_Centre_Data[[#This Row],[Date of Call]]),YEAR(Call_Centre_Data[[#This Row],[Date of Call]])+1)</f>
        <v>2023</v>
      </c>
      <c r="I40" s="39" t="str">
        <f>TEXT(Call_Centre_Data[[#This Row],[Date of Call]],"DDDD")</f>
        <v>Tuesday</v>
      </c>
      <c r="J40" s="39" t="str" cm="1">
        <f t="array" ref="J40">_xlfn.IFS(Call_Centre_Data[[#This Row],[Duration]]&lt;=10,"Under 10 Mins", Call_Centre_Data[[#This Row],[Duration]]&lt;=30,"10-30 Mins",Call_Centre_Data[[#This Row],[Duration]]&lt;=60,"30-60 Mins",Call_Centre_Data[[#This Row],[Duration]]&lt;=120,"1-2 Hours",TRUE,"More than 2 Hours")</f>
        <v>1-2 Hours</v>
      </c>
      <c r="K40" s="91">
        <f>ROUND(Call_Centre_Data[[#This Row],[Satisfaction Rating]],0)</f>
        <v>2</v>
      </c>
    </row>
    <row r="41" spans="1:11" x14ac:dyDescent="0.35">
      <c r="A41" s="56" t="s">
        <v>1045</v>
      </c>
      <c r="B41" s="57" t="s">
        <v>1019</v>
      </c>
      <c r="C41" s="87">
        <v>106</v>
      </c>
      <c r="D41" s="57" t="s">
        <v>989</v>
      </c>
      <c r="E41" s="58">
        <v>44943</v>
      </c>
      <c r="F41" s="57">
        <v>108</v>
      </c>
      <c r="G41" s="59">
        <v>5</v>
      </c>
      <c r="H41" s="57">
        <f>IF(MONTH(Call_Centre_Data[[#This Row],[Date of Call]])&lt;=6,YEAR(Call_Centre_Data[[#This Row],[Date of Call]]),YEAR(Call_Centre_Data[[#This Row],[Date of Call]])+1)</f>
        <v>2023</v>
      </c>
      <c r="I41" s="39" t="str">
        <f>TEXT(Call_Centre_Data[[#This Row],[Date of Call]],"DDDD")</f>
        <v>Tuesday</v>
      </c>
      <c r="J41" s="39" t="str" cm="1">
        <f t="array" ref="J41">_xlfn.IFS(Call_Centre_Data[[#This Row],[Duration]]&lt;=10,"Under 10 Mins", Call_Centre_Data[[#This Row],[Duration]]&lt;=30,"10-30 Mins",Call_Centre_Data[[#This Row],[Duration]]&lt;=60,"30-60 Mins",Call_Centre_Data[[#This Row],[Duration]]&lt;=120,"1-2 Hours",TRUE,"More than 2 Hours")</f>
        <v>1-2 Hours</v>
      </c>
      <c r="K41" s="91">
        <f>ROUND(Call_Centre_Data[[#This Row],[Satisfaction Rating]],0)</f>
        <v>5</v>
      </c>
    </row>
    <row r="42" spans="1:11" x14ac:dyDescent="0.35">
      <c r="A42" s="56" t="s">
        <v>1046</v>
      </c>
      <c r="B42" s="57" t="s">
        <v>991</v>
      </c>
      <c r="C42" s="87">
        <v>74</v>
      </c>
      <c r="D42" s="57" t="s">
        <v>1004</v>
      </c>
      <c r="E42" s="58">
        <v>44943</v>
      </c>
      <c r="F42" s="57">
        <v>96</v>
      </c>
      <c r="G42" s="59">
        <v>4.7</v>
      </c>
      <c r="H42" s="57">
        <f>IF(MONTH(Call_Centre_Data[[#This Row],[Date of Call]])&lt;=6,YEAR(Call_Centre_Data[[#This Row],[Date of Call]]),YEAR(Call_Centre_Data[[#This Row],[Date of Call]])+1)</f>
        <v>2023</v>
      </c>
      <c r="I42" s="39" t="str">
        <f>TEXT(Call_Centre_Data[[#This Row],[Date of Call]],"DDDD")</f>
        <v>Tuesday</v>
      </c>
      <c r="J42" s="39" t="str" cm="1">
        <f t="array" ref="J42">_xlfn.IFS(Call_Centre_Data[[#This Row],[Duration]]&lt;=10,"Under 10 Mins", Call_Centre_Data[[#This Row],[Duration]]&lt;=30,"10-30 Mins",Call_Centre_Data[[#This Row],[Duration]]&lt;=60,"30-60 Mins",Call_Centre_Data[[#This Row],[Duration]]&lt;=120,"1-2 Hours",TRUE,"More than 2 Hours")</f>
        <v>1-2 Hours</v>
      </c>
      <c r="K42" s="91">
        <f>ROUND(Call_Centre_Data[[#This Row],[Satisfaction Rating]],0)</f>
        <v>5</v>
      </c>
    </row>
    <row r="43" spans="1:11" x14ac:dyDescent="0.35">
      <c r="A43" s="56" t="s">
        <v>1047</v>
      </c>
      <c r="B43" s="57" t="s">
        <v>1007</v>
      </c>
      <c r="C43" s="87">
        <v>105</v>
      </c>
      <c r="D43" s="57" t="s">
        <v>994</v>
      </c>
      <c r="E43" s="58">
        <v>44944</v>
      </c>
      <c r="F43" s="57">
        <v>80</v>
      </c>
      <c r="G43" s="59">
        <v>4.7</v>
      </c>
      <c r="H43" s="57">
        <f>IF(MONTH(Call_Centre_Data[[#This Row],[Date of Call]])&lt;=6,YEAR(Call_Centre_Data[[#This Row],[Date of Call]]),YEAR(Call_Centre_Data[[#This Row],[Date of Call]])+1)</f>
        <v>2023</v>
      </c>
      <c r="I43" s="39" t="str">
        <f>TEXT(Call_Centre_Data[[#This Row],[Date of Call]],"DDDD")</f>
        <v>Wednesday</v>
      </c>
      <c r="J43" s="39" t="str" cm="1">
        <f t="array" ref="J43">_xlfn.IFS(Call_Centre_Data[[#This Row],[Duration]]&lt;=10,"Under 10 Mins", Call_Centre_Data[[#This Row],[Duration]]&lt;=30,"10-30 Mins",Call_Centre_Data[[#This Row],[Duration]]&lt;=60,"30-60 Mins",Call_Centre_Data[[#This Row],[Duration]]&lt;=120,"1-2 Hours",TRUE,"More than 2 Hours")</f>
        <v>1-2 Hours</v>
      </c>
      <c r="K43" s="91">
        <f>ROUND(Call_Centre_Data[[#This Row],[Satisfaction Rating]],0)</f>
        <v>5</v>
      </c>
    </row>
    <row r="44" spans="1:11" x14ac:dyDescent="0.35">
      <c r="A44" s="56" t="s">
        <v>1048</v>
      </c>
      <c r="B44" s="57" t="s">
        <v>1019</v>
      </c>
      <c r="C44" s="87">
        <v>89</v>
      </c>
      <c r="D44" s="57" t="s">
        <v>989</v>
      </c>
      <c r="E44" s="58">
        <v>44944</v>
      </c>
      <c r="F44" s="57">
        <v>155</v>
      </c>
      <c r="G44" s="59">
        <v>4.0999999999999996</v>
      </c>
      <c r="H44" s="57">
        <f>IF(MONTH(Call_Centre_Data[[#This Row],[Date of Call]])&lt;=6,YEAR(Call_Centre_Data[[#This Row],[Date of Call]]),YEAR(Call_Centre_Data[[#This Row],[Date of Call]])+1)</f>
        <v>2023</v>
      </c>
      <c r="I44" s="39" t="str">
        <f>TEXT(Call_Centre_Data[[#This Row],[Date of Call]],"DDDD")</f>
        <v>Wednesday</v>
      </c>
      <c r="J44" s="39" t="str" cm="1">
        <f t="array" ref="J44">_xlfn.IFS(Call_Centre_Data[[#This Row],[Duration]]&lt;=10,"Under 10 Mins", Call_Centre_Data[[#This Row],[Duration]]&lt;=30,"10-30 Mins",Call_Centre_Data[[#This Row],[Duration]]&lt;=60,"30-60 Mins",Call_Centre_Data[[#This Row],[Duration]]&lt;=120,"1-2 Hours",TRUE,"More than 2 Hours")</f>
        <v>1-2 Hours</v>
      </c>
      <c r="K44" s="91">
        <f>ROUND(Call_Centre_Data[[#This Row],[Satisfaction Rating]],0)</f>
        <v>4</v>
      </c>
    </row>
    <row r="45" spans="1:11" x14ac:dyDescent="0.35">
      <c r="A45" s="56" t="s">
        <v>1049</v>
      </c>
      <c r="B45" s="57" t="s">
        <v>1011</v>
      </c>
      <c r="C45" s="87">
        <v>132</v>
      </c>
      <c r="D45" s="57" t="s">
        <v>1008</v>
      </c>
      <c r="E45" s="58">
        <v>44944</v>
      </c>
      <c r="F45" s="57">
        <v>168</v>
      </c>
      <c r="G45" s="59">
        <v>4.0999999999999996</v>
      </c>
      <c r="H45" s="57">
        <f>IF(MONTH(Call_Centre_Data[[#This Row],[Date of Call]])&lt;=6,YEAR(Call_Centre_Data[[#This Row],[Date of Call]]),YEAR(Call_Centre_Data[[#This Row],[Date of Call]])+1)</f>
        <v>2023</v>
      </c>
      <c r="I45" s="39" t="str">
        <f>TEXT(Call_Centre_Data[[#This Row],[Date of Call]],"DDDD")</f>
        <v>Wednesday</v>
      </c>
      <c r="J45" s="39" t="str" cm="1">
        <f t="array" ref="J45">_xlfn.IFS(Call_Centre_Data[[#This Row],[Duration]]&lt;=10,"Under 10 Mins", Call_Centre_Data[[#This Row],[Duration]]&lt;=30,"10-30 Mins",Call_Centre_Data[[#This Row],[Duration]]&lt;=60,"30-60 Mins",Call_Centre_Data[[#This Row],[Duration]]&lt;=120,"1-2 Hours",TRUE,"More than 2 Hours")</f>
        <v>More than 2 Hours</v>
      </c>
      <c r="K45" s="91">
        <f>ROUND(Call_Centre_Data[[#This Row],[Satisfaction Rating]],0)</f>
        <v>4</v>
      </c>
    </row>
    <row r="46" spans="1:11" x14ac:dyDescent="0.35">
      <c r="A46" s="56" t="s">
        <v>1050</v>
      </c>
      <c r="B46" s="57" t="s">
        <v>1040</v>
      </c>
      <c r="C46" s="87">
        <v>105</v>
      </c>
      <c r="D46" s="57" t="s">
        <v>999</v>
      </c>
      <c r="E46" s="58">
        <v>44944</v>
      </c>
      <c r="F46" s="57">
        <v>56</v>
      </c>
      <c r="G46" s="59">
        <v>3.6</v>
      </c>
      <c r="H46" s="57">
        <f>IF(MONTH(Call_Centre_Data[[#This Row],[Date of Call]])&lt;=6,YEAR(Call_Centre_Data[[#This Row],[Date of Call]]),YEAR(Call_Centre_Data[[#This Row],[Date of Call]])+1)</f>
        <v>2023</v>
      </c>
      <c r="I46" s="39" t="str">
        <f>TEXT(Call_Centre_Data[[#This Row],[Date of Call]],"DDDD")</f>
        <v>Wednesday</v>
      </c>
      <c r="J46" s="39" t="str" cm="1">
        <f t="array" ref="J46">_xlfn.IFS(Call_Centre_Data[[#This Row],[Duration]]&lt;=10,"Under 10 Mins", Call_Centre_Data[[#This Row],[Duration]]&lt;=30,"10-30 Mins",Call_Centre_Data[[#This Row],[Duration]]&lt;=60,"30-60 Mins",Call_Centre_Data[[#This Row],[Duration]]&lt;=120,"1-2 Hours",TRUE,"More than 2 Hours")</f>
        <v>1-2 Hours</v>
      </c>
      <c r="K46" s="91">
        <f>ROUND(Call_Centre_Data[[#This Row],[Satisfaction Rating]],0)</f>
        <v>4</v>
      </c>
    </row>
    <row r="47" spans="1:11" x14ac:dyDescent="0.35">
      <c r="A47" s="56" t="s">
        <v>1051</v>
      </c>
      <c r="B47" s="57" t="s">
        <v>998</v>
      </c>
      <c r="C47" s="87">
        <v>13</v>
      </c>
      <c r="D47" s="57" t="s">
        <v>1008</v>
      </c>
      <c r="E47" s="58">
        <v>44945</v>
      </c>
      <c r="F47" s="57">
        <v>32</v>
      </c>
      <c r="G47" s="59">
        <v>4.4000000000000004</v>
      </c>
      <c r="H47" s="57">
        <f>IF(MONTH(Call_Centre_Data[[#This Row],[Date of Call]])&lt;=6,YEAR(Call_Centre_Data[[#This Row],[Date of Call]]),YEAR(Call_Centre_Data[[#This Row],[Date of Call]])+1)</f>
        <v>2023</v>
      </c>
      <c r="I47" s="39" t="str">
        <f>TEXT(Call_Centre_Data[[#This Row],[Date of Call]],"DDDD")</f>
        <v>Thursday</v>
      </c>
      <c r="J47" s="39" t="str" cm="1">
        <f t="array" ref="J47">_xlfn.IFS(Call_Centre_Data[[#This Row],[Duration]]&lt;=10,"Under 10 Mins", Call_Centre_Data[[#This Row],[Duration]]&lt;=30,"10-30 Mins",Call_Centre_Data[[#This Row],[Duration]]&lt;=60,"30-60 Mins",Call_Centre_Data[[#This Row],[Duration]]&lt;=120,"1-2 Hours",TRUE,"More than 2 Hours")</f>
        <v>10-30 Mins</v>
      </c>
      <c r="K47" s="91">
        <f>ROUND(Call_Centre_Data[[#This Row],[Satisfaction Rating]],0)</f>
        <v>4</v>
      </c>
    </row>
    <row r="48" spans="1:11" x14ac:dyDescent="0.35">
      <c r="A48" s="56" t="s">
        <v>1052</v>
      </c>
      <c r="B48" s="57" t="s">
        <v>996</v>
      </c>
      <c r="C48" s="87">
        <v>131</v>
      </c>
      <c r="D48" s="57" t="s">
        <v>999</v>
      </c>
      <c r="E48" s="58">
        <v>44945</v>
      </c>
      <c r="F48" s="57">
        <v>78</v>
      </c>
      <c r="G48" s="59">
        <v>4.4000000000000004</v>
      </c>
      <c r="H48" s="57">
        <f>IF(MONTH(Call_Centre_Data[[#This Row],[Date of Call]])&lt;=6,YEAR(Call_Centre_Data[[#This Row],[Date of Call]]),YEAR(Call_Centre_Data[[#This Row],[Date of Call]])+1)</f>
        <v>2023</v>
      </c>
      <c r="I48" s="39" t="str">
        <f>TEXT(Call_Centre_Data[[#This Row],[Date of Call]],"DDDD")</f>
        <v>Thursday</v>
      </c>
      <c r="J48" s="39" t="str" cm="1">
        <f t="array" ref="J48">_xlfn.IFS(Call_Centre_Data[[#This Row],[Duration]]&lt;=10,"Under 10 Mins", Call_Centre_Data[[#This Row],[Duration]]&lt;=30,"10-30 Mins",Call_Centre_Data[[#This Row],[Duration]]&lt;=60,"30-60 Mins",Call_Centre_Data[[#This Row],[Duration]]&lt;=120,"1-2 Hours",TRUE,"More than 2 Hours")</f>
        <v>More than 2 Hours</v>
      </c>
      <c r="K48" s="91">
        <f>ROUND(Call_Centre_Data[[#This Row],[Satisfaction Rating]],0)</f>
        <v>4</v>
      </c>
    </row>
    <row r="49" spans="1:11" x14ac:dyDescent="0.35">
      <c r="A49" s="56" t="s">
        <v>1053</v>
      </c>
      <c r="B49" s="57" t="s">
        <v>991</v>
      </c>
      <c r="C49" s="87">
        <v>104</v>
      </c>
      <c r="D49" s="57" t="s">
        <v>989</v>
      </c>
      <c r="E49" s="58">
        <v>44945</v>
      </c>
      <c r="F49" s="57">
        <v>86</v>
      </c>
      <c r="G49" s="59">
        <v>4</v>
      </c>
      <c r="H49" s="57">
        <f>IF(MONTH(Call_Centre_Data[[#This Row],[Date of Call]])&lt;=6,YEAR(Call_Centre_Data[[#This Row],[Date of Call]]),YEAR(Call_Centre_Data[[#This Row],[Date of Call]])+1)</f>
        <v>2023</v>
      </c>
      <c r="I49" s="39" t="str">
        <f>TEXT(Call_Centre_Data[[#This Row],[Date of Call]],"DDDD")</f>
        <v>Thursday</v>
      </c>
      <c r="J49" s="39" t="str" cm="1">
        <f t="array" ref="J49">_xlfn.IFS(Call_Centre_Data[[#This Row],[Duration]]&lt;=10,"Under 10 Mins", Call_Centre_Data[[#This Row],[Duration]]&lt;=30,"10-30 Mins",Call_Centre_Data[[#This Row],[Duration]]&lt;=60,"30-60 Mins",Call_Centre_Data[[#This Row],[Duration]]&lt;=120,"1-2 Hours",TRUE,"More than 2 Hours")</f>
        <v>1-2 Hours</v>
      </c>
      <c r="K49" s="91">
        <f>ROUND(Call_Centre_Data[[#This Row],[Satisfaction Rating]],0)</f>
        <v>4</v>
      </c>
    </row>
    <row r="50" spans="1:11" x14ac:dyDescent="0.35">
      <c r="A50" s="56" t="s">
        <v>1054</v>
      </c>
      <c r="B50" s="57" t="s">
        <v>988</v>
      </c>
      <c r="C50" s="87">
        <v>90</v>
      </c>
      <c r="D50" s="57" t="s">
        <v>994</v>
      </c>
      <c r="E50" s="58">
        <v>44946</v>
      </c>
      <c r="F50" s="57">
        <v>64</v>
      </c>
      <c r="G50" s="59">
        <v>3.8</v>
      </c>
      <c r="H50" s="57">
        <f>IF(MONTH(Call_Centre_Data[[#This Row],[Date of Call]])&lt;=6,YEAR(Call_Centre_Data[[#This Row],[Date of Call]]),YEAR(Call_Centre_Data[[#This Row],[Date of Call]])+1)</f>
        <v>2023</v>
      </c>
      <c r="I50" s="39" t="str">
        <f>TEXT(Call_Centre_Data[[#This Row],[Date of Call]],"DDDD")</f>
        <v>Friday</v>
      </c>
      <c r="J50" s="39" t="str" cm="1">
        <f t="array" ref="J50">_xlfn.IFS(Call_Centre_Data[[#This Row],[Duration]]&lt;=10,"Under 10 Mins", Call_Centre_Data[[#This Row],[Duration]]&lt;=30,"10-30 Mins",Call_Centre_Data[[#This Row],[Duration]]&lt;=60,"30-60 Mins",Call_Centre_Data[[#This Row],[Duration]]&lt;=120,"1-2 Hours",TRUE,"More than 2 Hours")</f>
        <v>1-2 Hours</v>
      </c>
      <c r="K50" s="91">
        <f>ROUND(Call_Centre_Data[[#This Row],[Satisfaction Rating]],0)</f>
        <v>4</v>
      </c>
    </row>
    <row r="51" spans="1:11" x14ac:dyDescent="0.35">
      <c r="A51" s="56" t="s">
        <v>1055</v>
      </c>
      <c r="B51" s="57" t="s">
        <v>1030</v>
      </c>
      <c r="C51" s="87">
        <v>37</v>
      </c>
      <c r="D51" s="57" t="s">
        <v>994</v>
      </c>
      <c r="E51" s="58">
        <v>44946</v>
      </c>
      <c r="F51" s="57">
        <v>96</v>
      </c>
      <c r="G51" s="59">
        <v>3.6</v>
      </c>
      <c r="H51" s="57">
        <f>IF(MONTH(Call_Centre_Data[[#This Row],[Date of Call]])&lt;=6,YEAR(Call_Centre_Data[[#This Row],[Date of Call]]),YEAR(Call_Centre_Data[[#This Row],[Date of Call]])+1)</f>
        <v>2023</v>
      </c>
      <c r="I51" s="39" t="str">
        <f>TEXT(Call_Centre_Data[[#This Row],[Date of Call]],"DDDD")</f>
        <v>Friday</v>
      </c>
      <c r="J51" s="39" t="str" cm="1">
        <f t="array" ref="J51">_xlfn.IFS(Call_Centre_Data[[#This Row],[Duration]]&lt;=10,"Under 10 Mins", Call_Centre_Data[[#This Row],[Duration]]&lt;=30,"10-30 Mins",Call_Centre_Data[[#This Row],[Duration]]&lt;=60,"30-60 Mins",Call_Centre_Data[[#This Row],[Duration]]&lt;=120,"1-2 Hours",TRUE,"More than 2 Hours")</f>
        <v>30-60 Mins</v>
      </c>
      <c r="K51" s="91">
        <f>ROUND(Call_Centre_Data[[#This Row],[Satisfaction Rating]],0)</f>
        <v>4</v>
      </c>
    </row>
    <row r="52" spans="1:11" x14ac:dyDescent="0.35">
      <c r="A52" s="56" t="s">
        <v>1056</v>
      </c>
      <c r="B52" s="57" t="s">
        <v>1013</v>
      </c>
      <c r="C52" s="87">
        <v>149</v>
      </c>
      <c r="D52" s="57" t="s">
        <v>999</v>
      </c>
      <c r="E52" s="58">
        <v>44946</v>
      </c>
      <c r="F52" s="57">
        <v>72</v>
      </c>
      <c r="G52" s="59">
        <v>4.3</v>
      </c>
      <c r="H52" s="57">
        <f>IF(MONTH(Call_Centre_Data[[#This Row],[Date of Call]])&lt;=6,YEAR(Call_Centre_Data[[#This Row],[Date of Call]]),YEAR(Call_Centre_Data[[#This Row],[Date of Call]])+1)</f>
        <v>2023</v>
      </c>
      <c r="I52" s="39" t="str">
        <f>TEXT(Call_Centre_Data[[#This Row],[Date of Call]],"DDDD")</f>
        <v>Friday</v>
      </c>
      <c r="J52" s="39" t="str" cm="1">
        <f t="array" ref="J52">_xlfn.IFS(Call_Centre_Data[[#This Row],[Duration]]&lt;=10,"Under 10 Mins", Call_Centre_Data[[#This Row],[Duration]]&lt;=30,"10-30 Mins",Call_Centre_Data[[#This Row],[Duration]]&lt;=60,"30-60 Mins",Call_Centre_Data[[#This Row],[Duration]]&lt;=120,"1-2 Hours",TRUE,"More than 2 Hours")</f>
        <v>More than 2 Hours</v>
      </c>
      <c r="K52" s="91">
        <f>ROUND(Call_Centre_Data[[#This Row],[Satisfaction Rating]],0)</f>
        <v>4</v>
      </c>
    </row>
    <row r="53" spans="1:11" x14ac:dyDescent="0.35">
      <c r="A53" s="56" t="s">
        <v>1057</v>
      </c>
      <c r="B53" s="57" t="s">
        <v>1011</v>
      </c>
      <c r="C53" s="87">
        <v>100</v>
      </c>
      <c r="D53" s="57" t="s">
        <v>1004</v>
      </c>
      <c r="E53" s="58">
        <v>44947</v>
      </c>
      <c r="F53" s="57">
        <v>135</v>
      </c>
      <c r="G53" s="59">
        <v>3.8</v>
      </c>
      <c r="H53" s="57">
        <f>IF(MONTH(Call_Centre_Data[[#This Row],[Date of Call]])&lt;=6,YEAR(Call_Centre_Data[[#This Row],[Date of Call]]),YEAR(Call_Centre_Data[[#This Row],[Date of Call]])+1)</f>
        <v>2023</v>
      </c>
      <c r="I53" s="39" t="str">
        <f>TEXT(Call_Centre_Data[[#This Row],[Date of Call]],"DDDD")</f>
        <v>Saturday</v>
      </c>
      <c r="J53" s="39" t="str" cm="1">
        <f t="array" ref="J53">_xlfn.IFS(Call_Centre_Data[[#This Row],[Duration]]&lt;=10,"Under 10 Mins", Call_Centre_Data[[#This Row],[Duration]]&lt;=30,"10-30 Mins",Call_Centre_Data[[#This Row],[Duration]]&lt;=60,"30-60 Mins",Call_Centre_Data[[#This Row],[Duration]]&lt;=120,"1-2 Hours",TRUE,"More than 2 Hours")</f>
        <v>1-2 Hours</v>
      </c>
      <c r="K53" s="91">
        <f>ROUND(Call_Centre_Data[[#This Row],[Satisfaction Rating]],0)</f>
        <v>4</v>
      </c>
    </row>
    <row r="54" spans="1:11" x14ac:dyDescent="0.35">
      <c r="A54" s="56" t="s">
        <v>1058</v>
      </c>
      <c r="B54" s="57" t="s">
        <v>1011</v>
      </c>
      <c r="C54" s="87">
        <v>79</v>
      </c>
      <c r="D54" s="57" t="s">
        <v>1008</v>
      </c>
      <c r="E54" s="58">
        <v>44947</v>
      </c>
      <c r="F54" s="57">
        <v>140</v>
      </c>
      <c r="G54" s="59">
        <v>4.5</v>
      </c>
      <c r="H54" s="57">
        <f>IF(MONTH(Call_Centre_Data[[#This Row],[Date of Call]])&lt;=6,YEAR(Call_Centre_Data[[#This Row],[Date of Call]]),YEAR(Call_Centre_Data[[#This Row],[Date of Call]])+1)</f>
        <v>2023</v>
      </c>
      <c r="I54" s="39" t="str">
        <f>TEXT(Call_Centre_Data[[#This Row],[Date of Call]],"DDDD")</f>
        <v>Saturday</v>
      </c>
      <c r="J54" s="39" t="str" cm="1">
        <f t="array" ref="J54">_xlfn.IFS(Call_Centre_Data[[#This Row],[Duration]]&lt;=10,"Under 10 Mins", Call_Centre_Data[[#This Row],[Duration]]&lt;=30,"10-30 Mins",Call_Centre_Data[[#This Row],[Duration]]&lt;=60,"30-60 Mins",Call_Centre_Data[[#This Row],[Duration]]&lt;=120,"1-2 Hours",TRUE,"More than 2 Hours")</f>
        <v>1-2 Hours</v>
      </c>
      <c r="K54" s="91">
        <f>ROUND(Call_Centre_Data[[#This Row],[Satisfaction Rating]],0)</f>
        <v>5</v>
      </c>
    </row>
    <row r="55" spans="1:11" x14ac:dyDescent="0.35">
      <c r="A55" s="56" t="s">
        <v>1059</v>
      </c>
      <c r="B55" s="57" t="s">
        <v>1060</v>
      </c>
      <c r="C55" s="87">
        <v>157</v>
      </c>
      <c r="D55" s="57" t="s">
        <v>999</v>
      </c>
      <c r="E55" s="58">
        <v>44947</v>
      </c>
      <c r="F55" s="57">
        <v>69</v>
      </c>
      <c r="G55" s="59">
        <v>4.5</v>
      </c>
      <c r="H55" s="57">
        <f>IF(MONTH(Call_Centre_Data[[#This Row],[Date of Call]])&lt;=6,YEAR(Call_Centre_Data[[#This Row],[Date of Call]]),YEAR(Call_Centre_Data[[#This Row],[Date of Call]])+1)</f>
        <v>2023</v>
      </c>
      <c r="I55" s="39" t="str">
        <f>TEXT(Call_Centre_Data[[#This Row],[Date of Call]],"DDDD")</f>
        <v>Saturday</v>
      </c>
      <c r="J55" s="39" t="str" cm="1">
        <f t="array" ref="J55">_xlfn.IFS(Call_Centre_Data[[#This Row],[Duration]]&lt;=10,"Under 10 Mins", Call_Centre_Data[[#This Row],[Duration]]&lt;=30,"10-30 Mins",Call_Centre_Data[[#This Row],[Duration]]&lt;=60,"30-60 Mins",Call_Centre_Data[[#This Row],[Duration]]&lt;=120,"1-2 Hours",TRUE,"More than 2 Hours")</f>
        <v>More than 2 Hours</v>
      </c>
      <c r="K55" s="91">
        <f>ROUND(Call_Centre_Data[[#This Row],[Satisfaction Rating]],0)</f>
        <v>5</v>
      </c>
    </row>
    <row r="56" spans="1:11" x14ac:dyDescent="0.35">
      <c r="A56" s="56" t="s">
        <v>1061</v>
      </c>
      <c r="B56" s="57" t="s">
        <v>1011</v>
      </c>
      <c r="C56" s="87">
        <v>59</v>
      </c>
      <c r="D56" s="57" t="s">
        <v>989</v>
      </c>
      <c r="E56" s="58">
        <v>44948</v>
      </c>
      <c r="F56" s="57">
        <v>136</v>
      </c>
      <c r="G56" s="59">
        <v>4.5999999999999996</v>
      </c>
      <c r="H56" s="57">
        <f>IF(MONTH(Call_Centre_Data[[#This Row],[Date of Call]])&lt;=6,YEAR(Call_Centre_Data[[#This Row],[Date of Call]]),YEAR(Call_Centre_Data[[#This Row],[Date of Call]])+1)</f>
        <v>2023</v>
      </c>
      <c r="I56" s="39" t="str">
        <f>TEXT(Call_Centre_Data[[#This Row],[Date of Call]],"DDDD")</f>
        <v>Sunday</v>
      </c>
      <c r="J56" s="39" t="str" cm="1">
        <f t="array" ref="J56">_xlfn.IFS(Call_Centre_Data[[#This Row],[Duration]]&lt;=10,"Under 10 Mins", Call_Centre_Data[[#This Row],[Duration]]&lt;=30,"10-30 Mins",Call_Centre_Data[[#This Row],[Duration]]&lt;=60,"30-60 Mins",Call_Centre_Data[[#This Row],[Duration]]&lt;=120,"1-2 Hours",TRUE,"More than 2 Hours")</f>
        <v>30-60 Mins</v>
      </c>
      <c r="K56" s="91">
        <f>ROUND(Call_Centre_Data[[#This Row],[Satisfaction Rating]],0)</f>
        <v>5</v>
      </c>
    </row>
    <row r="57" spans="1:11" x14ac:dyDescent="0.35">
      <c r="A57" s="56" t="s">
        <v>1062</v>
      </c>
      <c r="B57" s="57" t="s">
        <v>1030</v>
      </c>
      <c r="C57" s="87">
        <v>83</v>
      </c>
      <c r="D57" s="57" t="s">
        <v>999</v>
      </c>
      <c r="E57" s="58">
        <v>44948</v>
      </c>
      <c r="F57" s="57">
        <v>28</v>
      </c>
      <c r="G57" s="59">
        <v>4.5</v>
      </c>
      <c r="H57" s="57">
        <f>IF(MONTH(Call_Centre_Data[[#This Row],[Date of Call]])&lt;=6,YEAR(Call_Centre_Data[[#This Row],[Date of Call]]),YEAR(Call_Centre_Data[[#This Row],[Date of Call]])+1)</f>
        <v>2023</v>
      </c>
      <c r="I57" s="39" t="str">
        <f>TEXT(Call_Centre_Data[[#This Row],[Date of Call]],"DDDD")</f>
        <v>Sunday</v>
      </c>
      <c r="J57" s="39" t="str" cm="1">
        <f t="array" ref="J57">_xlfn.IFS(Call_Centre_Data[[#This Row],[Duration]]&lt;=10,"Under 10 Mins", Call_Centre_Data[[#This Row],[Duration]]&lt;=30,"10-30 Mins",Call_Centre_Data[[#This Row],[Duration]]&lt;=60,"30-60 Mins",Call_Centre_Data[[#This Row],[Duration]]&lt;=120,"1-2 Hours",TRUE,"More than 2 Hours")</f>
        <v>1-2 Hours</v>
      </c>
      <c r="K57" s="91">
        <f>ROUND(Call_Centre_Data[[#This Row],[Satisfaction Rating]],0)</f>
        <v>5</v>
      </c>
    </row>
    <row r="58" spans="1:11" x14ac:dyDescent="0.35">
      <c r="A58" s="56" t="s">
        <v>1063</v>
      </c>
      <c r="B58" s="57" t="s">
        <v>1060</v>
      </c>
      <c r="C58" s="87">
        <v>58</v>
      </c>
      <c r="D58" s="57" t="s">
        <v>994</v>
      </c>
      <c r="E58" s="58">
        <v>44949</v>
      </c>
      <c r="F58" s="57">
        <v>135</v>
      </c>
      <c r="G58" s="59">
        <v>3.3</v>
      </c>
      <c r="H58" s="57">
        <f>IF(MONTH(Call_Centre_Data[[#This Row],[Date of Call]])&lt;=6,YEAR(Call_Centre_Data[[#This Row],[Date of Call]]),YEAR(Call_Centre_Data[[#This Row],[Date of Call]])+1)</f>
        <v>2023</v>
      </c>
      <c r="I58" s="39" t="str">
        <f>TEXT(Call_Centre_Data[[#This Row],[Date of Call]],"DDDD")</f>
        <v>Monday</v>
      </c>
      <c r="J58" s="39" t="str" cm="1">
        <f t="array" ref="J58">_xlfn.IFS(Call_Centre_Data[[#This Row],[Duration]]&lt;=10,"Under 10 Mins", Call_Centre_Data[[#This Row],[Duration]]&lt;=30,"10-30 Mins",Call_Centre_Data[[#This Row],[Duration]]&lt;=60,"30-60 Mins",Call_Centre_Data[[#This Row],[Duration]]&lt;=120,"1-2 Hours",TRUE,"More than 2 Hours")</f>
        <v>30-60 Mins</v>
      </c>
      <c r="K58" s="91">
        <f>ROUND(Call_Centre_Data[[#This Row],[Satisfaction Rating]],0)</f>
        <v>3</v>
      </c>
    </row>
    <row r="59" spans="1:11" x14ac:dyDescent="0.35">
      <c r="A59" s="56" t="s">
        <v>1064</v>
      </c>
      <c r="B59" s="57" t="s">
        <v>1027</v>
      </c>
      <c r="C59" s="87">
        <v>118</v>
      </c>
      <c r="D59" s="57" t="s">
        <v>994</v>
      </c>
      <c r="E59" s="58">
        <v>44949</v>
      </c>
      <c r="F59" s="57">
        <v>126</v>
      </c>
      <c r="G59" s="59">
        <v>2.2999999999999998</v>
      </c>
      <c r="H59" s="57">
        <f>IF(MONTH(Call_Centre_Data[[#This Row],[Date of Call]])&lt;=6,YEAR(Call_Centre_Data[[#This Row],[Date of Call]]),YEAR(Call_Centre_Data[[#This Row],[Date of Call]])+1)</f>
        <v>2023</v>
      </c>
      <c r="I59" s="39" t="str">
        <f>TEXT(Call_Centre_Data[[#This Row],[Date of Call]],"DDDD")</f>
        <v>Monday</v>
      </c>
      <c r="J59" s="39" t="str" cm="1">
        <f t="array" ref="J59">_xlfn.IFS(Call_Centre_Data[[#This Row],[Duration]]&lt;=10,"Under 10 Mins", Call_Centre_Data[[#This Row],[Duration]]&lt;=30,"10-30 Mins",Call_Centre_Data[[#This Row],[Duration]]&lt;=60,"30-60 Mins",Call_Centre_Data[[#This Row],[Duration]]&lt;=120,"1-2 Hours",TRUE,"More than 2 Hours")</f>
        <v>1-2 Hours</v>
      </c>
      <c r="K59" s="91">
        <f>ROUND(Call_Centre_Data[[#This Row],[Satisfaction Rating]],0)</f>
        <v>2</v>
      </c>
    </row>
    <row r="60" spans="1:11" x14ac:dyDescent="0.35">
      <c r="A60" s="56" t="s">
        <v>1065</v>
      </c>
      <c r="B60" s="57" t="s">
        <v>998</v>
      </c>
      <c r="C60" s="87">
        <v>63</v>
      </c>
      <c r="D60" s="57" t="s">
        <v>989</v>
      </c>
      <c r="E60" s="58">
        <v>44949</v>
      </c>
      <c r="F60" s="57">
        <v>160</v>
      </c>
      <c r="G60" s="59">
        <v>4.3</v>
      </c>
      <c r="H60" s="57">
        <f>IF(MONTH(Call_Centre_Data[[#This Row],[Date of Call]])&lt;=6,YEAR(Call_Centre_Data[[#This Row],[Date of Call]]),YEAR(Call_Centre_Data[[#This Row],[Date of Call]])+1)</f>
        <v>2023</v>
      </c>
      <c r="I60" s="39" t="str">
        <f>TEXT(Call_Centre_Data[[#This Row],[Date of Call]],"DDDD")</f>
        <v>Monday</v>
      </c>
      <c r="J60" s="39" t="str" cm="1">
        <f t="array" ref="J60">_xlfn.IFS(Call_Centre_Data[[#This Row],[Duration]]&lt;=10,"Under 10 Mins", Call_Centre_Data[[#This Row],[Duration]]&lt;=30,"10-30 Mins",Call_Centre_Data[[#This Row],[Duration]]&lt;=60,"30-60 Mins",Call_Centre_Data[[#This Row],[Duration]]&lt;=120,"1-2 Hours",TRUE,"More than 2 Hours")</f>
        <v>1-2 Hours</v>
      </c>
      <c r="K60" s="91">
        <f>ROUND(Call_Centre_Data[[#This Row],[Satisfaction Rating]],0)</f>
        <v>4</v>
      </c>
    </row>
    <row r="61" spans="1:11" x14ac:dyDescent="0.35">
      <c r="A61" s="56" t="s">
        <v>1066</v>
      </c>
      <c r="B61" s="57" t="s">
        <v>1060</v>
      </c>
      <c r="C61" s="87">
        <v>95</v>
      </c>
      <c r="D61" s="57" t="s">
        <v>994</v>
      </c>
      <c r="E61" s="58">
        <v>44950</v>
      </c>
      <c r="F61" s="57">
        <v>48</v>
      </c>
      <c r="G61" s="59">
        <v>4.5999999999999996</v>
      </c>
      <c r="H61" s="57">
        <f>IF(MONTH(Call_Centre_Data[[#This Row],[Date of Call]])&lt;=6,YEAR(Call_Centre_Data[[#This Row],[Date of Call]]),YEAR(Call_Centre_Data[[#This Row],[Date of Call]])+1)</f>
        <v>2023</v>
      </c>
      <c r="I61" s="39" t="str">
        <f>TEXT(Call_Centre_Data[[#This Row],[Date of Call]],"DDDD")</f>
        <v>Tuesday</v>
      </c>
      <c r="J61" s="39" t="str" cm="1">
        <f t="array" ref="J61">_xlfn.IFS(Call_Centre_Data[[#This Row],[Duration]]&lt;=10,"Under 10 Mins", Call_Centre_Data[[#This Row],[Duration]]&lt;=30,"10-30 Mins",Call_Centre_Data[[#This Row],[Duration]]&lt;=60,"30-60 Mins",Call_Centre_Data[[#This Row],[Duration]]&lt;=120,"1-2 Hours",TRUE,"More than 2 Hours")</f>
        <v>1-2 Hours</v>
      </c>
      <c r="K61" s="91">
        <f>ROUND(Call_Centre_Data[[#This Row],[Satisfaction Rating]],0)</f>
        <v>5</v>
      </c>
    </row>
    <row r="62" spans="1:11" x14ac:dyDescent="0.35">
      <c r="A62" s="56" t="s">
        <v>1067</v>
      </c>
      <c r="B62" s="57" t="s">
        <v>1011</v>
      </c>
      <c r="C62" s="87">
        <v>74</v>
      </c>
      <c r="D62" s="57" t="s">
        <v>999</v>
      </c>
      <c r="E62" s="58">
        <v>44950</v>
      </c>
      <c r="F62" s="57">
        <v>66</v>
      </c>
      <c r="G62" s="59">
        <v>4</v>
      </c>
      <c r="H62" s="57">
        <f>IF(MONTH(Call_Centre_Data[[#This Row],[Date of Call]])&lt;=6,YEAR(Call_Centre_Data[[#This Row],[Date of Call]]),YEAR(Call_Centre_Data[[#This Row],[Date of Call]])+1)</f>
        <v>2023</v>
      </c>
      <c r="I62" s="39" t="str">
        <f>TEXT(Call_Centre_Data[[#This Row],[Date of Call]],"DDDD")</f>
        <v>Tuesday</v>
      </c>
      <c r="J62" s="39" t="str" cm="1">
        <f t="array" ref="J62">_xlfn.IFS(Call_Centre_Data[[#This Row],[Duration]]&lt;=10,"Under 10 Mins", Call_Centre_Data[[#This Row],[Duration]]&lt;=30,"10-30 Mins",Call_Centre_Data[[#This Row],[Duration]]&lt;=60,"30-60 Mins",Call_Centre_Data[[#This Row],[Duration]]&lt;=120,"1-2 Hours",TRUE,"More than 2 Hours")</f>
        <v>1-2 Hours</v>
      </c>
      <c r="K62" s="91">
        <f>ROUND(Call_Centre_Data[[#This Row],[Satisfaction Rating]],0)</f>
        <v>4</v>
      </c>
    </row>
    <row r="63" spans="1:11" x14ac:dyDescent="0.35">
      <c r="A63" s="56" t="s">
        <v>1068</v>
      </c>
      <c r="B63" s="57" t="s">
        <v>1007</v>
      </c>
      <c r="C63" s="87">
        <v>130</v>
      </c>
      <c r="D63" s="57" t="s">
        <v>1004</v>
      </c>
      <c r="E63" s="58">
        <v>44950</v>
      </c>
      <c r="F63" s="57">
        <v>126</v>
      </c>
      <c r="G63" s="59">
        <v>2.5</v>
      </c>
      <c r="H63" s="57">
        <f>IF(MONTH(Call_Centre_Data[[#This Row],[Date of Call]])&lt;=6,YEAR(Call_Centre_Data[[#This Row],[Date of Call]]),YEAR(Call_Centre_Data[[#This Row],[Date of Call]])+1)</f>
        <v>2023</v>
      </c>
      <c r="I63" s="39" t="str">
        <f>TEXT(Call_Centre_Data[[#This Row],[Date of Call]],"DDDD")</f>
        <v>Tuesday</v>
      </c>
      <c r="J63" s="39" t="str" cm="1">
        <f t="array" ref="J63">_xlfn.IFS(Call_Centre_Data[[#This Row],[Duration]]&lt;=10,"Under 10 Mins", Call_Centre_Data[[#This Row],[Duration]]&lt;=30,"10-30 Mins",Call_Centre_Data[[#This Row],[Duration]]&lt;=60,"30-60 Mins",Call_Centre_Data[[#This Row],[Duration]]&lt;=120,"1-2 Hours",TRUE,"More than 2 Hours")</f>
        <v>More than 2 Hours</v>
      </c>
      <c r="K63" s="91">
        <f>ROUND(Call_Centre_Data[[#This Row],[Satisfaction Rating]],0)</f>
        <v>3</v>
      </c>
    </row>
    <row r="64" spans="1:11" x14ac:dyDescent="0.35">
      <c r="A64" s="56" t="s">
        <v>1069</v>
      </c>
      <c r="B64" s="57" t="s">
        <v>1027</v>
      </c>
      <c r="C64" s="87">
        <v>110</v>
      </c>
      <c r="D64" s="57" t="s">
        <v>1008</v>
      </c>
      <c r="E64" s="58">
        <v>44950</v>
      </c>
      <c r="F64" s="57">
        <v>96</v>
      </c>
      <c r="G64" s="59">
        <v>5</v>
      </c>
      <c r="H64" s="57">
        <f>IF(MONTH(Call_Centre_Data[[#This Row],[Date of Call]])&lt;=6,YEAR(Call_Centre_Data[[#This Row],[Date of Call]]),YEAR(Call_Centre_Data[[#This Row],[Date of Call]])+1)</f>
        <v>2023</v>
      </c>
      <c r="I64" s="39" t="str">
        <f>TEXT(Call_Centre_Data[[#This Row],[Date of Call]],"DDDD")</f>
        <v>Tuesday</v>
      </c>
      <c r="J64" s="39" t="str" cm="1">
        <f t="array" ref="J64">_xlfn.IFS(Call_Centre_Data[[#This Row],[Duration]]&lt;=10,"Under 10 Mins", Call_Centre_Data[[#This Row],[Duration]]&lt;=30,"10-30 Mins",Call_Centre_Data[[#This Row],[Duration]]&lt;=60,"30-60 Mins",Call_Centre_Data[[#This Row],[Duration]]&lt;=120,"1-2 Hours",TRUE,"More than 2 Hours")</f>
        <v>1-2 Hours</v>
      </c>
      <c r="K64" s="91">
        <f>ROUND(Call_Centre_Data[[#This Row],[Satisfaction Rating]],0)</f>
        <v>5</v>
      </c>
    </row>
    <row r="65" spans="1:11" x14ac:dyDescent="0.35">
      <c r="A65" s="56" t="s">
        <v>1070</v>
      </c>
      <c r="B65" s="57" t="s">
        <v>1011</v>
      </c>
      <c r="C65" s="87">
        <v>71</v>
      </c>
      <c r="D65" s="57" t="s">
        <v>989</v>
      </c>
      <c r="E65" s="58">
        <v>44951</v>
      </c>
      <c r="F65" s="57">
        <v>90</v>
      </c>
      <c r="G65" s="59">
        <v>3.8</v>
      </c>
      <c r="H65" s="57">
        <f>IF(MONTH(Call_Centre_Data[[#This Row],[Date of Call]])&lt;=6,YEAR(Call_Centre_Data[[#This Row],[Date of Call]]),YEAR(Call_Centre_Data[[#This Row],[Date of Call]])+1)</f>
        <v>2023</v>
      </c>
      <c r="I65" s="39" t="str">
        <f>TEXT(Call_Centre_Data[[#This Row],[Date of Call]],"DDDD")</f>
        <v>Wednesday</v>
      </c>
      <c r="J65" s="39" t="str" cm="1">
        <f t="array" ref="J65">_xlfn.IFS(Call_Centre_Data[[#This Row],[Duration]]&lt;=10,"Under 10 Mins", Call_Centre_Data[[#This Row],[Duration]]&lt;=30,"10-30 Mins",Call_Centre_Data[[#This Row],[Duration]]&lt;=60,"30-60 Mins",Call_Centre_Data[[#This Row],[Duration]]&lt;=120,"1-2 Hours",TRUE,"More than 2 Hours")</f>
        <v>1-2 Hours</v>
      </c>
      <c r="K65" s="91">
        <f>ROUND(Call_Centre_Data[[#This Row],[Satisfaction Rating]],0)</f>
        <v>4</v>
      </c>
    </row>
    <row r="66" spans="1:11" x14ac:dyDescent="0.35">
      <c r="A66" s="56" t="s">
        <v>1071</v>
      </c>
      <c r="B66" s="57" t="s">
        <v>1040</v>
      </c>
      <c r="C66" s="87">
        <v>147</v>
      </c>
      <c r="D66" s="57" t="s">
        <v>1004</v>
      </c>
      <c r="E66" s="58">
        <v>44951</v>
      </c>
      <c r="F66" s="57">
        <v>105</v>
      </c>
      <c r="G66" s="59">
        <v>4.4000000000000004</v>
      </c>
      <c r="H66" s="57">
        <f>IF(MONTH(Call_Centre_Data[[#This Row],[Date of Call]])&lt;=6,YEAR(Call_Centre_Data[[#This Row],[Date of Call]]),YEAR(Call_Centre_Data[[#This Row],[Date of Call]])+1)</f>
        <v>2023</v>
      </c>
      <c r="I66" s="39" t="str">
        <f>TEXT(Call_Centre_Data[[#This Row],[Date of Call]],"DDDD")</f>
        <v>Wednesday</v>
      </c>
      <c r="J66" s="39" t="str" cm="1">
        <f t="array" ref="J66">_xlfn.IFS(Call_Centre_Data[[#This Row],[Duration]]&lt;=10,"Under 10 Mins", Call_Centre_Data[[#This Row],[Duration]]&lt;=30,"10-30 Mins",Call_Centre_Data[[#This Row],[Duration]]&lt;=60,"30-60 Mins",Call_Centre_Data[[#This Row],[Duration]]&lt;=120,"1-2 Hours",TRUE,"More than 2 Hours")</f>
        <v>More than 2 Hours</v>
      </c>
      <c r="K66" s="91">
        <f>ROUND(Call_Centre_Data[[#This Row],[Satisfaction Rating]],0)</f>
        <v>4</v>
      </c>
    </row>
    <row r="67" spans="1:11" x14ac:dyDescent="0.35">
      <c r="A67" s="56" t="s">
        <v>1072</v>
      </c>
      <c r="B67" s="57" t="s">
        <v>991</v>
      </c>
      <c r="C67" s="87">
        <v>69</v>
      </c>
      <c r="D67" s="57" t="s">
        <v>994</v>
      </c>
      <c r="E67" s="58">
        <v>44952</v>
      </c>
      <c r="F67" s="57">
        <v>40</v>
      </c>
      <c r="G67" s="59">
        <v>3.8</v>
      </c>
      <c r="H67" s="57">
        <f>IF(MONTH(Call_Centre_Data[[#This Row],[Date of Call]])&lt;=6,YEAR(Call_Centre_Data[[#This Row],[Date of Call]]),YEAR(Call_Centre_Data[[#This Row],[Date of Call]])+1)</f>
        <v>2023</v>
      </c>
      <c r="I67" s="39" t="str">
        <f>TEXT(Call_Centre_Data[[#This Row],[Date of Call]],"DDDD")</f>
        <v>Thursday</v>
      </c>
      <c r="J67" s="39" t="str" cm="1">
        <f t="array" ref="J67">_xlfn.IFS(Call_Centre_Data[[#This Row],[Duration]]&lt;=10,"Under 10 Mins", Call_Centre_Data[[#This Row],[Duration]]&lt;=30,"10-30 Mins",Call_Centre_Data[[#This Row],[Duration]]&lt;=60,"30-60 Mins",Call_Centre_Data[[#This Row],[Duration]]&lt;=120,"1-2 Hours",TRUE,"More than 2 Hours")</f>
        <v>1-2 Hours</v>
      </c>
      <c r="K67" s="91">
        <f>ROUND(Call_Centre_Data[[#This Row],[Satisfaction Rating]],0)</f>
        <v>4</v>
      </c>
    </row>
    <row r="68" spans="1:11" x14ac:dyDescent="0.35">
      <c r="A68" s="56" t="s">
        <v>1073</v>
      </c>
      <c r="B68" s="57" t="s">
        <v>1027</v>
      </c>
      <c r="C68" s="87">
        <v>50</v>
      </c>
      <c r="D68" s="57" t="s">
        <v>989</v>
      </c>
      <c r="E68" s="58">
        <v>44952</v>
      </c>
      <c r="F68" s="57">
        <v>60</v>
      </c>
      <c r="G68" s="59">
        <v>2</v>
      </c>
      <c r="H68" s="57">
        <f>IF(MONTH(Call_Centre_Data[[#This Row],[Date of Call]])&lt;=6,YEAR(Call_Centre_Data[[#This Row],[Date of Call]]),YEAR(Call_Centre_Data[[#This Row],[Date of Call]])+1)</f>
        <v>2023</v>
      </c>
      <c r="I68" s="39" t="str">
        <f>TEXT(Call_Centre_Data[[#This Row],[Date of Call]],"DDDD")</f>
        <v>Thursday</v>
      </c>
      <c r="J68" s="39" t="str" cm="1">
        <f t="array" ref="J68">_xlfn.IFS(Call_Centre_Data[[#This Row],[Duration]]&lt;=10,"Under 10 Mins", Call_Centre_Data[[#This Row],[Duration]]&lt;=30,"10-30 Mins",Call_Centre_Data[[#This Row],[Duration]]&lt;=60,"30-60 Mins",Call_Centre_Data[[#This Row],[Duration]]&lt;=120,"1-2 Hours",TRUE,"More than 2 Hours")</f>
        <v>30-60 Mins</v>
      </c>
      <c r="K68" s="91">
        <f>ROUND(Call_Centre_Data[[#This Row],[Satisfaction Rating]],0)</f>
        <v>2</v>
      </c>
    </row>
    <row r="69" spans="1:11" x14ac:dyDescent="0.35">
      <c r="A69" s="56" t="s">
        <v>1074</v>
      </c>
      <c r="B69" s="57" t="s">
        <v>1007</v>
      </c>
      <c r="C69" s="87">
        <v>124</v>
      </c>
      <c r="D69" s="57" t="s">
        <v>1004</v>
      </c>
      <c r="E69" s="58">
        <v>44953</v>
      </c>
      <c r="F69" s="57">
        <v>215</v>
      </c>
      <c r="G69" s="59">
        <v>4.0999999999999996</v>
      </c>
      <c r="H69" s="57">
        <f>IF(MONTH(Call_Centre_Data[[#This Row],[Date of Call]])&lt;=6,YEAR(Call_Centre_Data[[#This Row],[Date of Call]]),YEAR(Call_Centre_Data[[#This Row],[Date of Call]])+1)</f>
        <v>2023</v>
      </c>
      <c r="I69" s="39" t="str">
        <f>TEXT(Call_Centre_Data[[#This Row],[Date of Call]],"DDDD")</f>
        <v>Friday</v>
      </c>
      <c r="J69" s="39" t="str" cm="1">
        <f t="array" ref="J69">_xlfn.IFS(Call_Centre_Data[[#This Row],[Duration]]&lt;=10,"Under 10 Mins", Call_Centre_Data[[#This Row],[Duration]]&lt;=30,"10-30 Mins",Call_Centre_Data[[#This Row],[Duration]]&lt;=60,"30-60 Mins",Call_Centre_Data[[#This Row],[Duration]]&lt;=120,"1-2 Hours",TRUE,"More than 2 Hours")</f>
        <v>More than 2 Hours</v>
      </c>
      <c r="K69" s="91">
        <f>ROUND(Call_Centre_Data[[#This Row],[Satisfaction Rating]],0)</f>
        <v>4</v>
      </c>
    </row>
    <row r="70" spans="1:11" x14ac:dyDescent="0.35">
      <c r="A70" s="56" t="s">
        <v>1075</v>
      </c>
      <c r="B70" s="57" t="s">
        <v>993</v>
      </c>
      <c r="C70" s="87">
        <v>81</v>
      </c>
      <c r="D70" s="57" t="s">
        <v>999</v>
      </c>
      <c r="E70" s="58">
        <v>44953</v>
      </c>
      <c r="F70" s="57">
        <v>156</v>
      </c>
      <c r="G70" s="59">
        <v>2.6</v>
      </c>
      <c r="H70" s="57">
        <f>IF(MONTH(Call_Centre_Data[[#This Row],[Date of Call]])&lt;=6,YEAR(Call_Centre_Data[[#This Row],[Date of Call]]),YEAR(Call_Centre_Data[[#This Row],[Date of Call]])+1)</f>
        <v>2023</v>
      </c>
      <c r="I70" s="39" t="str">
        <f>TEXT(Call_Centre_Data[[#This Row],[Date of Call]],"DDDD")</f>
        <v>Friday</v>
      </c>
      <c r="J70" s="39" t="str" cm="1">
        <f t="array" ref="J70">_xlfn.IFS(Call_Centre_Data[[#This Row],[Duration]]&lt;=10,"Under 10 Mins", Call_Centre_Data[[#This Row],[Duration]]&lt;=30,"10-30 Mins",Call_Centre_Data[[#This Row],[Duration]]&lt;=60,"30-60 Mins",Call_Centre_Data[[#This Row],[Duration]]&lt;=120,"1-2 Hours",TRUE,"More than 2 Hours")</f>
        <v>1-2 Hours</v>
      </c>
      <c r="K70" s="91">
        <f>ROUND(Call_Centre_Data[[#This Row],[Satisfaction Rating]],0)</f>
        <v>3</v>
      </c>
    </row>
    <row r="71" spans="1:11" x14ac:dyDescent="0.35">
      <c r="A71" s="56" t="s">
        <v>1076</v>
      </c>
      <c r="B71" s="57" t="s">
        <v>1022</v>
      </c>
      <c r="C71" s="87">
        <v>141</v>
      </c>
      <c r="D71" s="57" t="s">
        <v>1008</v>
      </c>
      <c r="E71" s="58">
        <v>44953</v>
      </c>
      <c r="F71" s="57">
        <v>54</v>
      </c>
      <c r="G71" s="59">
        <v>0</v>
      </c>
      <c r="H71" s="57">
        <f>IF(MONTH(Call_Centre_Data[[#This Row],[Date of Call]])&lt;=6,YEAR(Call_Centre_Data[[#This Row],[Date of Call]]),YEAR(Call_Centre_Data[[#This Row],[Date of Call]])+1)</f>
        <v>2023</v>
      </c>
      <c r="I71" s="39" t="str">
        <f>TEXT(Call_Centre_Data[[#This Row],[Date of Call]],"DDDD")</f>
        <v>Friday</v>
      </c>
      <c r="J71" s="39" t="str" cm="1">
        <f t="array" ref="J71">_xlfn.IFS(Call_Centre_Data[[#This Row],[Duration]]&lt;=10,"Under 10 Mins", Call_Centre_Data[[#This Row],[Duration]]&lt;=30,"10-30 Mins",Call_Centre_Data[[#This Row],[Duration]]&lt;=60,"30-60 Mins",Call_Centre_Data[[#This Row],[Duration]]&lt;=120,"1-2 Hours",TRUE,"More than 2 Hours")</f>
        <v>More than 2 Hours</v>
      </c>
      <c r="K71" s="91">
        <f>ROUND(Call_Centre_Data[[#This Row],[Satisfaction Rating]],0)</f>
        <v>0</v>
      </c>
    </row>
    <row r="72" spans="1:11" x14ac:dyDescent="0.35">
      <c r="A72" s="56" t="s">
        <v>1077</v>
      </c>
      <c r="B72" s="57" t="s">
        <v>1022</v>
      </c>
      <c r="C72" s="87">
        <v>168</v>
      </c>
      <c r="D72" s="57" t="s">
        <v>1008</v>
      </c>
      <c r="E72" s="58">
        <v>44954</v>
      </c>
      <c r="F72" s="57">
        <v>160</v>
      </c>
      <c r="G72" s="59">
        <v>3.9</v>
      </c>
      <c r="H72" s="57">
        <f>IF(MONTH(Call_Centre_Data[[#This Row],[Date of Call]])&lt;=6,YEAR(Call_Centre_Data[[#This Row],[Date of Call]]),YEAR(Call_Centre_Data[[#This Row],[Date of Call]])+1)</f>
        <v>2023</v>
      </c>
      <c r="I72" s="39" t="str">
        <f>TEXT(Call_Centre_Data[[#This Row],[Date of Call]],"DDDD")</f>
        <v>Saturday</v>
      </c>
      <c r="J72" s="39" t="str" cm="1">
        <f t="array" ref="J72">_xlfn.IFS(Call_Centre_Data[[#This Row],[Duration]]&lt;=10,"Under 10 Mins", Call_Centre_Data[[#This Row],[Duration]]&lt;=30,"10-30 Mins",Call_Centre_Data[[#This Row],[Duration]]&lt;=60,"30-60 Mins",Call_Centre_Data[[#This Row],[Duration]]&lt;=120,"1-2 Hours",TRUE,"More than 2 Hours")</f>
        <v>More than 2 Hours</v>
      </c>
      <c r="K72" s="91">
        <f>ROUND(Call_Centre_Data[[#This Row],[Satisfaction Rating]],0)</f>
        <v>4</v>
      </c>
    </row>
    <row r="73" spans="1:11" x14ac:dyDescent="0.35">
      <c r="A73" s="56" t="s">
        <v>1078</v>
      </c>
      <c r="B73" s="57" t="s">
        <v>1040</v>
      </c>
      <c r="C73" s="87">
        <v>101</v>
      </c>
      <c r="D73" s="57" t="s">
        <v>999</v>
      </c>
      <c r="E73" s="58">
        <v>44954</v>
      </c>
      <c r="F73" s="57">
        <v>80</v>
      </c>
      <c r="G73" s="59">
        <v>4.8</v>
      </c>
      <c r="H73" s="57">
        <f>IF(MONTH(Call_Centre_Data[[#This Row],[Date of Call]])&lt;=6,YEAR(Call_Centre_Data[[#This Row],[Date of Call]]),YEAR(Call_Centre_Data[[#This Row],[Date of Call]])+1)</f>
        <v>2023</v>
      </c>
      <c r="I73" s="39" t="str">
        <f>TEXT(Call_Centre_Data[[#This Row],[Date of Call]],"DDDD")</f>
        <v>Saturday</v>
      </c>
      <c r="J73" s="39" t="str" cm="1">
        <f t="array" ref="J73">_xlfn.IFS(Call_Centre_Data[[#This Row],[Duration]]&lt;=10,"Under 10 Mins", Call_Centre_Data[[#This Row],[Duration]]&lt;=30,"10-30 Mins",Call_Centre_Data[[#This Row],[Duration]]&lt;=60,"30-60 Mins",Call_Centre_Data[[#This Row],[Duration]]&lt;=120,"1-2 Hours",TRUE,"More than 2 Hours")</f>
        <v>1-2 Hours</v>
      </c>
      <c r="K73" s="91">
        <f>ROUND(Call_Centre_Data[[#This Row],[Satisfaction Rating]],0)</f>
        <v>5</v>
      </c>
    </row>
    <row r="74" spans="1:11" x14ac:dyDescent="0.35">
      <c r="A74" s="56" t="s">
        <v>1079</v>
      </c>
      <c r="B74" s="57" t="s">
        <v>1011</v>
      </c>
      <c r="C74" s="87">
        <v>67</v>
      </c>
      <c r="D74" s="57" t="s">
        <v>999</v>
      </c>
      <c r="E74" s="58">
        <v>44954</v>
      </c>
      <c r="F74" s="57">
        <v>168</v>
      </c>
      <c r="G74" s="59">
        <v>2.6</v>
      </c>
      <c r="H74" s="57">
        <f>IF(MONTH(Call_Centre_Data[[#This Row],[Date of Call]])&lt;=6,YEAR(Call_Centre_Data[[#This Row],[Date of Call]]),YEAR(Call_Centre_Data[[#This Row],[Date of Call]])+1)</f>
        <v>2023</v>
      </c>
      <c r="I74" s="39" t="str">
        <f>TEXT(Call_Centre_Data[[#This Row],[Date of Call]],"DDDD")</f>
        <v>Saturday</v>
      </c>
      <c r="J74" s="39" t="str" cm="1">
        <f t="array" ref="J74">_xlfn.IFS(Call_Centre_Data[[#This Row],[Duration]]&lt;=10,"Under 10 Mins", Call_Centre_Data[[#This Row],[Duration]]&lt;=30,"10-30 Mins",Call_Centre_Data[[#This Row],[Duration]]&lt;=60,"30-60 Mins",Call_Centre_Data[[#This Row],[Duration]]&lt;=120,"1-2 Hours",TRUE,"More than 2 Hours")</f>
        <v>1-2 Hours</v>
      </c>
      <c r="K74" s="91">
        <f>ROUND(Call_Centre_Data[[#This Row],[Satisfaction Rating]],0)</f>
        <v>3</v>
      </c>
    </row>
    <row r="75" spans="1:11" x14ac:dyDescent="0.35">
      <c r="A75" s="56" t="s">
        <v>1080</v>
      </c>
      <c r="B75" s="57" t="s">
        <v>1060</v>
      </c>
      <c r="C75" s="87">
        <v>114</v>
      </c>
      <c r="D75" s="57" t="s">
        <v>1008</v>
      </c>
      <c r="E75" s="58">
        <v>44956</v>
      </c>
      <c r="F75" s="57">
        <v>42</v>
      </c>
      <c r="G75" s="59">
        <v>2.6</v>
      </c>
      <c r="H75" s="57">
        <f>IF(MONTH(Call_Centre_Data[[#This Row],[Date of Call]])&lt;=6,YEAR(Call_Centre_Data[[#This Row],[Date of Call]]),YEAR(Call_Centre_Data[[#This Row],[Date of Call]])+1)</f>
        <v>2023</v>
      </c>
      <c r="I75" s="39" t="str">
        <f>TEXT(Call_Centre_Data[[#This Row],[Date of Call]],"DDDD")</f>
        <v>Monday</v>
      </c>
      <c r="J75" s="39" t="str" cm="1">
        <f t="array" ref="J75">_xlfn.IFS(Call_Centre_Data[[#This Row],[Duration]]&lt;=10,"Under 10 Mins", Call_Centre_Data[[#This Row],[Duration]]&lt;=30,"10-30 Mins",Call_Centre_Data[[#This Row],[Duration]]&lt;=60,"30-60 Mins",Call_Centre_Data[[#This Row],[Duration]]&lt;=120,"1-2 Hours",TRUE,"More than 2 Hours")</f>
        <v>1-2 Hours</v>
      </c>
      <c r="K75" s="91">
        <f>ROUND(Call_Centre_Data[[#This Row],[Satisfaction Rating]],0)</f>
        <v>3</v>
      </c>
    </row>
    <row r="76" spans="1:11" x14ac:dyDescent="0.35">
      <c r="A76" s="56" t="s">
        <v>1081</v>
      </c>
      <c r="B76" s="57" t="s">
        <v>993</v>
      </c>
      <c r="C76" s="87">
        <v>42</v>
      </c>
      <c r="D76" s="57" t="s">
        <v>999</v>
      </c>
      <c r="E76" s="58">
        <v>44956</v>
      </c>
      <c r="F76" s="57">
        <v>205</v>
      </c>
      <c r="G76" s="59">
        <v>3.6</v>
      </c>
      <c r="H76" s="57">
        <f>IF(MONTH(Call_Centre_Data[[#This Row],[Date of Call]])&lt;=6,YEAR(Call_Centre_Data[[#This Row],[Date of Call]]),YEAR(Call_Centre_Data[[#This Row],[Date of Call]])+1)</f>
        <v>2023</v>
      </c>
      <c r="I76" s="39" t="str">
        <f>TEXT(Call_Centre_Data[[#This Row],[Date of Call]],"DDDD")</f>
        <v>Monday</v>
      </c>
      <c r="J76" s="39" t="str" cm="1">
        <f t="array" ref="J76">_xlfn.IFS(Call_Centre_Data[[#This Row],[Duration]]&lt;=10,"Under 10 Mins", Call_Centre_Data[[#This Row],[Duration]]&lt;=30,"10-30 Mins",Call_Centre_Data[[#This Row],[Duration]]&lt;=60,"30-60 Mins",Call_Centre_Data[[#This Row],[Duration]]&lt;=120,"1-2 Hours",TRUE,"More than 2 Hours")</f>
        <v>30-60 Mins</v>
      </c>
      <c r="K76" s="91">
        <f>ROUND(Call_Centre_Data[[#This Row],[Satisfaction Rating]],0)</f>
        <v>4</v>
      </c>
    </row>
    <row r="77" spans="1:11" x14ac:dyDescent="0.35">
      <c r="A77" s="56" t="s">
        <v>1082</v>
      </c>
      <c r="B77" s="57" t="s">
        <v>998</v>
      </c>
      <c r="C77" s="87">
        <v>69</v>
      </c>
      <c r="D77" s="57" t="s">
        <v>1008</v>
      </c>
      <c r="E77" s="58">
        <v>44956</v>
      </c>
      <c r="F77" s="57">
        <v>108</v>
      </c>
      <c r="G77" s="59">
        <v>3.3</v>
      </c>
      <c r="H77" s="57">
        <f>IF(MONTH(Call_Centre_Data[[#This Row],[Date of Call]])&lt;=6,YEAR(Call_Centre_Data[[#This Row],[Date of Call]]),YEAR(Call_Centre_Data[[#This Row],[Date of Call]])+1)</f>
        <v>2023</v>
      </c>
      <c r="I77" s="39" t="str">
        <f>TEXT(Call_Centre_Data[[#This Row],[Date of Call]],"DDDD")</f>
        <v>Monday</v>
      </c>
      <c r="J77" s="39" t="str" cm="1">
        <f t="array" ref="J77">_xlfn.IFS(Call_Centre_Data[[#This Row],[Duration]]&lt;=10,"Under 10 Mins", Call_Centre_Data[[#This Row],[Duration]]&lt;=30,"10-30 Mins",Call_Centre_Data[[#This Row],[Duration]]&lt;=60,"30-60 Mins",Call_Centre_Data[[#This Row],[Duration]]&lt;=120,"1-2 Hours",TRUE,"More than 2 Hours")</f>
        <v>1-2 Hours</v>
      </c>
      <c r="K77" s="91">
        <f>ROUND(Call_Centre_Data[[#This Row],[Satisfaction Rating]],0)</f>
        <v>3</v>
      </c>
    </row>
    <row r="78" spans="1:11" x14ac:dyDescent="0.35">
      <c r="A78" s="56" t="s">
        <v>1083</v>
      </c>
      <c r="B78" s="57" t="s">
        <v>1007</v>
      </c>
      <c r="C78" s="87">
        <v>145</v>
      </c>
      <c r="D78" s="57" t="s">
        <v>994</v>
      </c>
      <c r="E78" s="58">
        <v>44956</v>
      </c>
      <c r="F78" s="57">
        <v>78</v>
      </c>
      <c r="G78" s="59">
        <v>1.9</v>
      </c>
      <c r="H78" s="57">
        <f>IF(MONTH(Call_Centre_Data[[#This Row],[Date of Call]])&lt;=6,YEAR(Call_Centre_Data[[#This Row],[Date of Call]]),YEAR(Call_Centre_Data[[#This Row],[Date of Call]])+1)</f>
        <v>2023</v>
      </c>
      <c r="I78" s="39" t="str">
        <f>TEXT(Call_Centre_Data[[#This Row],[Date of Call]],"DDDD")</f>
        <v>Monday</v>
      </c>
      <c r="J78" s="39" t="str" cm="1">
        <f t="array" ref="J78">_xlfn.IFS(Call_Centre_Data[[#This Row],[Duration]]&lt;=10,"Under 10 Mins", Call_Centre_Data[[#This Row],[Duration]]&lt;=30,"10-30 Mins",Call_Centre_Data[[#This Row],[Duration]]&lt;=60,"30-60 Mins",Call_Centre_Data[[#This Row],[Duration]]&lt;=120,"1-2 Hours",TRUE,"More than 2 Hours")</f>
        <v>More than 2 Hours</v>
      </c>
      <c r="K78" s="91">
        <f>ROUND(Call_Centre_Data[[#This Row],[Satisfaction Rating]],0)</f>
        <v>2</v>
      </c>
    </row>
    <row r="79" spans="1:11" x14ac:dyDescent="0.35">
      <c r="A79" s="56" t="s">
        <v>1084</v>
      </c>
      <c r="B79" s="57" t="s">
        <v>991</v>
      </c>
      <c r="C79" s="87">
        <v>43</v>
      </c>
      <c r="D79" s="57" t="s">
        <v>1008</v>
      </c>
      <c r="E79" s="58">
        <v>44956</v>
      </c>
      <c r="F79" s="57">
        <v>23</v>
      </c>
      <c r="G79" s="59">
        <v>4.9000000000000004</v>
      </c>
      <c r="H79" s="57">
        <f>IF(MONTH(Call_Centre_Data[[#This Row],[Date of Call]])&lt;=6,YEAR(Call_Centre_Data[[#This Row],[Date of Call]]),YEAR(Call_Centre_Data[[#This Row],[Date of Call]])+1)</f>
        <v>2023</v>
      </c>
      <c r="I79" s="39" t="str">
        <f>TEXT(Call_Centre_Data[[#This Row],[Date of Call]],"DDDD")</f>
        <v>Monday</v>
      </c>
      <c r="J79" s="39" t="str" cm="1">
        <f t="array" ref="J79">_xlfn.IFS(Call_Centre_Data[[#This Row],[Duration]]&lt;=10,"Under 10 Mins", Call_Centre_Data[[#This Row],[Duration]]&lt;=30,"10-30 Mins",Call_Centre_Data[[#This Row],[Duration]]&lt;=60,"30-60 Mins",Call_Centre_Data[[#This Row],[Duration]]&lt;=120,"1-2 Hours",TRUE,"More than 2 Hours")</f>
        <v>30-60 Mins</v>
      </c>
      <c r="K79" s="91">
        <f>ROUND(Call_Centre_Data[[#This Row],[Satisfaction Rating]],0)</f>
        <v>5</v>
      </c>
    </row>
    <row r="80" spans="1:11" x14ac:dyDescent="0.35">
      <c r="A80" s="56" t="s">
        <v>1085</v>
      </c>
      <c r="B80" s="57" t="s">
        <v>998</v>
      </c>
      <c r="C80" s="87">
        <v>62</v>
      </c>
      <c r="D80" s="57" t="s">
        <v>989</v>
      </c>
      <c r="E80" s="58">
        <v>44957</v>
      </c>
      <c r="F80" s="57">
        <v>99</v>
      </c>
      <c r="G80" s="59">
        <v>3.6</v>
      </c>
      <c r="H80" s="57">
        <f>IF(MONTH(Call_Centre_Data[[#This Row],[Date of Call]])&lt;=6,YEAR(Call_Centre_Data[[#This Row],[Date of Call]]),YEAR(Call_Centre_Data[[#This Row],[Date of Call]])+1)</f>
        <v>2023</v>
      </c>
      <c r="I80" s="39" t="str">
        <f>TEXT(Call_Centre_Data[[#This Row],[Date of Call]],"DDDD")</f>
        <v>Tuesday</v>
      </c>
      <c r="J80" s="39" t="str" cm="1">
        <f t="array" ref="J80">_xlfn.IFS(Call_Centre_Data[[#This Row],[Duration]]&lt;=10,"Under 10 Mins", Call_Centre_Data[[#This Row],[Duration]]&lt;=30,"10-30 Mins",Call_Centre_Data[[#This Row],[Duration]]&lt;=60,"30-60 Mins",Call_Centre_Data[[#This Row],[Duration]]&lt;=120,"1-2 Hours",TRUE,"More than 2 Hours")</f>
        <v>1-2 Hours</v>
      </c>
      <c r="K80" s="91">
        <f>ROUND(Call_Centre_Data[[#This Row],[Satisfaction Rating]],0)</f>
        <v>4</v>
      </c>
    </row>
    <row r="81" spans="1:11" x14ac:dyDescent="0.35">
      <c r="A81" s="56" t="s">
        <v>1086</v>
      </c>
      <c r="B81" s="57" t="s">
        <v>1019</v>
      </c>
      <c r="C81" s="87">
        <v>79</v>
      </c>
      <c r="D81" s="57" t="s">
        <v>1008</v>
      </c>
      <c r="E81" s="58">
        <v>44958</v>
      </c>
      <c r="F81" s="57">
        <v>148</v>
      </c>
      <c r="G81" s="59">
        <v>4.5</v>
      </c>
      <c r="H81" s="57">
        <f>IF(MONTH(Call_Centre_Data[[#This Row],[Date of Call]])&lt;=6,YEAR(Call_Centre_Data[[#This Row],[Date of Call]]),YEAR(Call_Centre_Data[[#This Row],[Date of Call]])+1)</f>
        <v>2023</v>
      </c>
      <c r="I81" s="39" t="str">
        <f>TEXT(Call_Centre_Data[[#This Row],[Date of Call]],"DDDD")</f>
        <v>Wednesday</v>
      </c>
      <c r="J81" s="39" t="str" cm="1">
        <f t="array" ref="J81">_xlfn.IFS(Call_Centre_Data[[#This Row],[Duration]]&lt;=10,"Under 10 Mins", Call_Centre_Data[[#This Row],[Duration]]&lt;=30,"10-30 Mins",Call_Centre_Data[[#This Row],[Duration]]&lt;=60,"30-60 Mins",Call_Centre_Data[[#This Row],[Duration]]&lt;=120,"1-2 Hours",TRUE,"More than 2 Hours")</f>
        <v>1-2 Hours</v>
      </c>
      <c r="K81" s="91">
        <f>ROUND(Call_Centre_Data[[#This Row],[Satisfaction Rating]],0)</f>
        <v>5</v>
      </c>
    </row>
    <row r="82" spans="1:11" x14ac:dyDescent="0.35">
      <c r="A82" s="56" t="s">
        <v>1087</v>
      </c>
      <c r="B82" s="57" t="s">
        <v>1007</v>
      </c>
      <c r="C82" s="87">
        <v>45</v>
      </c>
      <c r="D82" s="57" t="s">
        <v>1004</v>
      </c>
      <c r="E82" s="58">
        <v>44958</v>
      </c>
      <c r="F82" s="57">
        <v>34</v>
      </c>
      <c r="G82" s="59">
        <v>3.7</v>
      </c>
      <c r="H82" s="57">
        <f>IF(MONTH(Call_Centre_Data[[#This Row],[Date of Call]])&lt;=6,YEAR(Call_Centre_Data[[#This Row],[Date of Call]]),YEAR(Call_Centre_Data[[#This Row],[Date of Call]])+1)</f>
        <v>2023</v>
      </c>
      <c r="I82" s="39" t="str">
        <f>TEXT(Call_Centre_Data[[#This Row],[Date of Call]],"DDDD")</f>
        <v>Wednesday</v>
      </c>
      <c r="J82" s="39" t="str" cm="1">
        <f t="array" ref="J82">_xlfn.IFS(Call_Centre_Data[[#This Row],[Duration]]&lt;=10,"Under 10 Mins", Call_Centre_Data[[#This Row],[Duration]]&lt;=30,"10-30 Mins",Call_Centre_Data[[#This Row],[Duration]]&lt;=60,"30-60 Mins",Call_Centre_Data[[#This Row],[Duration]]&lt;=120,"1-2 Hours",TRUE,"More than 2 Hours")</f>
        <v>30-60 Mins</v>
      </c>
      <c r="K82" s="91">
        <f>ROUND(Call_Centre_Data[[#This Row],[Satisfaction Rating]],0)</f>
        <v>4</v>
      </c>
    </row>
    <row r="83" spans="1:11" x14ac:dyDescent="0.35">
      <c r="A83" s="56" t="s">
        <v>1088</v>
      </c>
      <c r="B83" s="57" t="s">
        <v>998</v>
      </c>
      <c r="C83" s="87">
        <v>137</v>
      </c>
      <c r="D83" s="57" t="s">
        <v>1008</v>
      </c>
      <c r="E83" s="58">
        <v>44958</v>
      </c>
      <c r="F83" s="57">
        <v>86</v>
      </c>
      <c r="G83" s="59">
        <v>4.8</v>
      </c>
      <c r="H83" s="57">
        <f>IF(MONTH(Call_Centre_Data[[#This Row],[Date of Call]])&lt;=6,YEAR(Call_Centre_Data[[#This Row],[Date of Call]]),YEAR(Call_Centre_Data[[#This Row],[Date of Call]])+1)</f>
        <v>2023</v>
      </c>
      <c r="I83" s="39" t="str">
        <f>TEXT(Call_Centre_Data[[#This Row],[Date of Call]],"DDDD")</f>
        <v>Wednesday</v>
      </c>
      <c r="J83" s="39" t="str" cm="1">
        <f t="array" ref="J83">_xlfn.IFS(Call_Centre_Data[[#This Row],[Duration]]&lt;=10,"Under 10 Mins", Call_Centre_Data[[#This Row],[Duration]]&lt;=30,"10-30 Mins",Call_Centre_Data[[#This Row],[Duration]]&lt;=60,"30-60 Mins",Call_Centre_Data[[#This Row],[Duration]]&lt;=120,"1-2 Hours",TRUE,"More than 2 Hours")</f>
        <v>More than 2 Hours</v>
      </c>
      <c r="K83" s="91">
        <f>ROUND(Call_Centre_Data[[#This Row],[Satisfaction Rating]],0)</f>
        <v>5</v>
      </c>
    </row>
    <row r="84" spans="1:11" x14ac:dyDescent="0.35">
      <c r="A84" s="56" t="s">
        <v>1089</v>
      </c>
      <c r="B84" s="57" t="s">
        <v>1060</v>
      </c>
      <c r="C84" s="87">
        <v>109</v>
      </c>
      <c r="D84" s="57" t="s">
        <v>989</v>
      </c>
      <c r="E84" s="58">
        <v>44958</v>
      </c>
      <c r="F84" s="57">
        <v>105</v>
      </c>
      <c r="G84" s="59">
        <v>3.3</v>
      </c>
      <c r="H84" s="57">
        <f>IF(MONTH(Call_Centre_Data[[#This Row],[Date of Call]])&lt;=6,YEAR(Call_Centre_Data[[#This Row],[Date of Call]]),YEAR(Call_Centre_Data[[#This Row],[Date of Call]])+1)</f>
        <v>2023</v>
      </c>
      <c r="I84" s="39" t="str">
        <f>TEXT(Call_Centre_Data[[#This Row],[Date of Call]],"DDDD")</f>
        <v>Wednesday</v>
      </c>
      <c r="J84" s="39" t="str" cm="1">
        <f t="array" ref="J84">_xlfn.IFS(Call_Centre_Data[[#This Row],[Duration]]&lt;=10,"Under 10 Mins", Call_Centre_Data[[#This Row],[Duration]]&lt;=30,"10-30 Mins",Call_Centre_Data[[#This Row],[Duration]]&lt;=60,"30-60 Mins",Call_Centre_Data[[#This Row],[Duration]]&lt;=120,"1-2 Hours",TRUE,"More than 2 Hours")</f>
        <v>1-2 Hours</v>
      </c>
      <c r="K84" s="91">
        <f>ROUND(Call_Centre_Data[[#This Row],[Satisfaction Rating]],0)</f>
        <v>3</v>
      </c>
    </row>
    <row r="85" spans="1:11" x14ac:dyDescent="0.35">
      <c r="A85" s="56" t="s">
        <v>1090</v>
      </c>
      <c r="B85" s="57" t="s">
        <v>991</v>
      </c>
      <c r="C85" s="87">
        <v>78</v>
      </c>
      <c r="D85" s="57" t="s">
        <v>989</v>
      </c>
      <c r="E85" s="58">
        <v>44958</v>
      </c>
      <c r="F85" s="57">
        <v>62</v>
      </c>
      <c r="G85" s="59">
        <v>3.1</v>
      </c>
      <c r="H85" s="57">
        <f>IF(MONTH(Call_Centre_Data[[#This Row],[Date of Call]])&lt;=6,YEAR(Call_Centre_Data[[#This Row],[Date of Call]]),YEAR(Call_Centre_Data[[#This Row],[Date of Call]])+1)</f>
        <v>2023</v>
      </c>
      <c r="I85" s="39" t="str">
        <f>TEXT(Call_Centre_Data[[#This Row],[Date of Call]],"DDDD")</f>
        <v>Wednesday</v>
      </c>
      <c r="J85" s="39" t="str" cm="1">
        <f t="array" ref="J85">_xlfn.IFS(Call_Centre_Data[[#This Row],[Duration]]&lt;=10,"Under 10 Mins", Call_Centre_Data[[#This Row],[Duration]]&lt;=30,"10-30 Mins",Call_Centre_Data[[#This Row],[Duration]]&lt;=60,"30-60 Mins",Call_Centre_Data[[#This Row],[Duration]]&lt;=120,"1-2 Hours",TRUE,"More than 2 Hours")</f>
        <v>1-2 Hours</v>
      </c>
      <c r="K85" s="91">
        <f>ROUND(Call_Centre_Data[[#This Row],[Satisfaction Rating]],0)</f>
        <v>3</v>
      </c>
    </row>
    <row r="86" spans="1:11" x14ac:dyDescent="0.35">
      <c r="A86" s="56" t="s">
        <v>1091</v>
      </c>
      <c r="B86" s="57" t="s">
        <v>998</v>
      </c>
      <c r="C86" s="87">
        <v>137</v>
      </c>
      <c r="D86" s="57" t="s">
        <v>1004</v>
      </c>
      <c r="E86" s="58">
        <v>44958</v>
      </c>
      <c r="F86" s="57">
        <v>90</v>
      </c>
      <c r="G86" s="59">
        <v>4.0999999999999996</v>
      </c>
      <c r="H86" s="57">
        <f>IF(MONTH(Call_Centre_Data[[#This Row],[Date of Call]])&lt;=6,YEAR(Call_Centre_Data[[#This Row],[Date of Call]]),YEAR(Call_Centre_Data[[#This Row],[Date of Call]])+1)</f>
        <v>2023</v>
      </c>
      <c r="I86" s="39" t="str">
        <f>TEXT(Call_Centre_Data[[#This Row],[Date of Call]],"DDDD")</f>
        <v>Wednesday</v>
      </c>
      <c r="J86" s="39" t="str" cm="1">
        <f t="array" ref="J86">_xlfn.IFS(Call_Centre_Data[[#This Row],[Duration]]&lt;=10,"Under 10 Mins", Call_Centre_Data[[#This Row],[Duration]]&lt;=30,"10-30 Mins",Call_Centre_Data[[#This Row],[Duration]]&lt;=60,"30-60 Mins",Call_Centre_Data[[#This Row],[Duration]]&lt;=120,"1-2 Hours",TRUE,"More than 2 Hours")</f>
        <v>More than 2 Hours</v>
      </c>
      <c r="K86" s="91">
        <f>ROUND(Call_Centre_Data[[#This Row],[Satisfaction Rating]],0)</f>
        <v>4</v>
      </c>
    </row>
    <row r="87" spans="1:11" x14ac:dyDescent="0.35">
      <c r="A87" s="56" t="s">
        <v>1092</v>
      </c>
      <c r="B87" s="57" t="s">
        <v>996</v>
      </c>
      <c r="C87" s="87">
        <v>99</v>
      </c>
      <c r="D87" s="57" t="s">
        <v>989</v>
      </c>
      <c r="E87" s="58">
        <v>44959</v>
      </c>
      <c r="F87" s="57">
        <v>112</v>
      </c>
      <c r="G87" s="59">
        <v>4.9000000000000004</v>
      </c>
      <c r="H87" s="57">
        <f>IF(MONTH(Call_Centre_Data[[#This Row],[Date of Call]])&lt;=6,YEAR(Call_Centre_Data[[#This Row],[Date of Call]]),YEAR(Call_Centre_Data[[#This Row],[Date of Call]])+1)</f>
        <v>2023</v>
      </c>
      <c r="I87" s="39" t="str">
        <f>TEXT(Call_Centre_Data[[#This Row],[Date of Call]],"DDDD")</f>
        <v>Thursday</v>
      </c>
      <c r="J87" s="39" t="str" cm="1">
        <f t="array" ref="J87">_xlfn.IFS(Call_Centre_Data[[#This Row],[Duration]]&lt;=10,"Under 10 Mins", Call_Centre_Data[[#This Row],[Duration]]&lt;=30,"10-30 Mins",Call_Centre_Data[[#This Row],[Duration]]&lt;=60,"30-60 Mins",Call_Centre_Data[[#This Row],[Duration]]&lt;=120,"1-2 Hours",TRUE,"More than 2 Hours")</f>
        <v>1-2 Hours</v>
      </c>
      <c r="K87" s="91">
        <f>ROUND(Call_Centre_Data[[#This Row],[Satisfaction Rating]],0)</f>
        <v>5</v>
      </c>
    </row>
    <row r="88" spans="1:11" x14ac:dyDescent="0.35">
      <c r="A88" s="56" t="s">
        <v>1093</v>
      </c>
      <c r="B88" s="57" t="s">
        <v>1027</v>
      </c>
      <c r="C88" s="87">
        <v>100</v>
      </c>
      <c r="D88" s="57" t="s">
        <v>989</v>
      </c>
      <c r="E88" s="58">
        <v>44959</v>
      </c>
      <c r="F88" s="57">
        <v>135</v>
      </c>
      <c r="G88" s="59">
        <v>4</v>
      </c>
      <c r="H88" s="57">
        <f>IF(MONTH(Call_Centre_Data[[#This Row],[Date of Call]])&lt;=6,YEAR(Call_Centre_Data[[#This Row],[Date of Call]]),YEAR(Call_Centre_Data[[#This Row],[Date of Call]])+1)</f>
        <v>2023</v>
      </c>
      <c r="I88" s="39" t="str">
        <f>TEXT(Call_Centre_Data[[#This Row],[Date of Call]],"DDDD")</f>
        <v>Thursday</v>
      </c>
      <c r="J88" s="39" t="str" cm="1">
        <f t="array" ref="J88">_xlfn.IFS(Call_Centre_Data[[#This Row],[Duration]]&lt;=10,"Under 10 Mins", Call_Centre_Data[[#This Row],[Duration]]&lt;=30,"10-30 Mins",Call_Centre_Data[[#This Row],[Duration]]&lt;=60,"30-60 Mins",Call_Centre_Data[[#This Row],[Duration]]&lt;=120,"1-2 Hours",TRUE,"More than 2 Hours")</f>
        <v>1-2 Hours</v>
      </c>
      <c r="K88" s="91">
        <f>ROUND(Call_Centre_Data[[#This Row],[Satisfaction Rating]],0)</f>
        <v>4</v>
      </c>
    </row>
    <row r="89" spans="1:11" x14ac:dyDescent="0.35">
      <c r="A89" s="56" t="s">
        <v>1094</v>
      </c>
      <c r="B89" s="57" t="s">
        <v>991</v>
      </c>
      <c r="C89" s="87">
        <v>47</v>
      </c>
      <c r="D89" s="57" t="s">
        <v>994</v>
      </c>
      <c r="E89" s="58">
        <v>44959</v>
      </c>
      <c r="F89" s="57">
        <v>34</v>
      </c>
      <c r="G89" s="59">
        <v>2.1</v>
      </c>
      <c r="H89" s="57">
        <f>IF(MONTH(Call_Centre_Data[[#This Row],[Date of Call]])&lt;=6,YEAR(Call_Centre_Data[[#This Row],[Date of Call]]),YEAR(Call_Centre_Data[[#This Row],[Date of Call]])+1)</f>
        <v>2023</v>
      </c>
      <c r="I89" s="39" t="str">
        <f>TEXT(Call_Centre_Data[[#This Row],[Date of Call]],"DDDD")</f>
        <v>Thursday</v>
      </c>
      <c r="J89" s="39" t="str" cm="1">
        <f t="array" ref="J89">_xlfn.IFS(Call_Centre_Data[[#This Row],[Duration]]&lt;=10,"Under 10 Mins", Call_Centre_Data[[#This Row],[Duration]]&lt;=30,"10-30 Mins",Call_Centre_Data[[#This Row],[Duration]]&lt;=60,"30-60 Mins",Call_Centre_Data[[#This Row],[Duration]]&lt;=120,"1-2 Hours",TRUE,"More than 2 Hours")</f>
        <v>30-60 Mins</v>
      </c>
      <c r="K89" s="91">
        <f>ROUND(Call_Centre_Data[[#This Row],[Satisfaction Rating]],0)</f>
        <v>2</v>
      </c>
    </row>
    <row r="90" spans="1:11" x14ac:dyDescent="0.35">
      <c r="A90" s="56" t="s">
        <v>1095</v>
      </c>
      <c r="B90" s="57" t="s">
        <v>1060</v>
      </c>
      <c r="C90" s="87">
        <v>87</v>
      </c>
      <c r="D90" s="57" t="s">
        <v>999</v>
      </c>
      <c r="E90" s="58">
        <v>44959</v>
      </c>
      <c r="F90" s="57">
        <v>155</v>
      </c>
      <c r="G90" s="59">
        <v>4.5</v>
      </c>
      <c r="H90" s="57">
        <f>IF(MONTH(Call_Centre_Data[[#This Row],[Date of Call]])&lt;=6,YEAR(Call_Centre_Data[[#This Row],[Date of Call]]),YEAR(Call_Centre_Data[[#This Row],[Date of Call]])+1)</f>
        <v>2023</v>
      </c>
      <c r="I90" s="39" t="str">
        <f>TEXT(Call_Centre_Data[[#This Row],[Date of Call]],"DDDD")</f>
        <v>Thursday</v>
      </c>
      <c r="J90" s="39" t="str" cm="1">
        <f t="array" ref="J90">_xlfn.IFS(Call_Centre_Data[[#This Row],[Duration]]&lt;=10,"Under 10 Mins", Call_Centre_Data[[#This Row],[Duration]]&lt;=30,"10-30 Mins",Call_Centre_Data[[#This Row],[Duration]]&lt;=60,"30-60 Mins",Call_Centre_Data[[#This Row],[Duration]]&lt;=120,"1-2 Hours",TRUE,"More than 2 Hours")</f>
        <v>1-2 Hours</v>
      </c>
      <c r="K90" s="91">
        <f>ROUND(Call_Centre_Data[[#This Row],[Satisfaction Rating]],0)</f>
        <v>5</v>
      </c>
    </row>
    <row r="91" spans="1:11" x14ac:dyDescent="0.35">
      <c r="A91" s="56" t="s">
        <v>1096</v>
      </c>
      <c r="B91" s="57" t="s">
        <v>996</v>
      </c>
      <c r="C91" s="87">
        <v>143</v>
      </c>
      <c r="D91" s="57" t="s">
        <v>999</v>
      </c>
      <c r="E91" s="58">
        <v>44961</v>
      </c>
      <c r="F91" s="57">
        <v>124</v>
      </c>
      <c r="G91" s="59">
        <v>4.9000000000000004</v>
      </c>
      <c r="H91" s="57">
        <f>IF(MONTH(Call_Centre_Data[[#This Row],[Date of Call]])&lt;=6,YEAR(Call_Centre_Data[[#This Row],[Date of Call]]),YEAR(Call_Centre_Data[[#This Row],[Date of Call]])+1)</f>
        <v>2023</v>
      </c>
      <c r="I91" s="39" t="str">
        <f>TEXT(Call_Centre_Data[[#This Row],[Date of Call]],"DDDD")</f>
        <v>Saturday</v>
      </c>
      <c r="J91" s="39" t="str" cm="1">
        <f t="array" ref="J91">_xlfn.IFS(Call_Centre_Data[[#This Row],[Duration]]&lt;=10,"Under 10 Mins", Call_Centre_Data[[#This Row],[Duration]]&lt;=30,"10-30 Mins",Call_Centre_Data[[#This Row],[Duration]]&lt;=60,"30-60 Mins",Call_Centre_Data[[#This Row],[Duration]]&lt;=120,"1-2 Hours",TRUE,"More than 2 Hours")</f>
        <v>More than 2 Hours</v>
      </c>
      <c r="K91" s="91">
        <f>ROUND(Call_Centre_Data[[#This Row],[Satisfaction Rating]],0)</f>
        <v>5</v>
      </c>
    </row>
    <row r="92" spans="1:11" x14ac:dyDescent="0.35">
      <c r="A92" s="56" t="s">
        <v>1097</v>
      </c>
      <c r="B92" s="57" t="s">
        <v>1027</v>
      </c>
      <c r="C92" s="87">
        <v>84</v>
      </c>
      <c r="D92" s="57" t="s">
        <v>989</v>
      </c>
      <c r="E92" s="58">
        <v>44961</v>
      </c>
      <c r="F92" s="57">
        <v>195</v>
      </c>
      <c r="G92" s="59">
        <v>4.0999999999999996</v>
      </c>
      <c r="H92" s="57">
        <f>IF(MONTH(Call_Centre_Data[[#This Row],[Date of Call]])&lt;=6,YEAR(Call_Centre_Data[[#This Row],[Date of Call]]),YEAR(Call_Centre_Data[[#This Row],[Date of Call]])+1)</f>
        <v>2023</v>
      </c>
      <c r="I92" s="39" t="str">
        <f>TEXT(Call_Centre_Data[[#This Row],[Date of Call]],"DDDD")</f>
        <v>Saturday</v>
      </c>
      <c r="J92" s="39" t="str" cm="1">
        <f t="array" ref="J92">_xlfn.IFS(Call_Centre_Data[[#This Row],[Duration]]&lt;=10,"Under 10 Mins", Call_Centre_Data[[#This Row],[Duration]]&lt;=30,"10-30 Mins",Call_Centre_Data[[#This Row],[Duration]]&lt;=60,"30-60 Mins",Call_Centre_Data[[#This Row],[Duration]]&lt;=120,"1-2 Hours",TRUE,"More than 2 Hours")</f>
        <v>1-2 Hours</v>
      </c>
      <c r="K92" s="91">
        <f>ROUND(Call_Centre_Data[[#This Row],[Satisfaction Rating]],0)</f>
        <v>4</v>
      </c>
    </row>
    <row r="93" spans="1:11" x14ac:dyDescent="0.35">
      <c r="A93" s="56" t="s">
        <v>1098</v>
      </c>
      <c r="B93" s="57" t="s">
        <v>1040</v>
      </c>
      <c r="C93" s="87">
        <v>55</v>
      </c>
      <c r="D93" s="57" t="s">
        <v>999</v>
      </c>
      <c r="E93" s="58">
        <v>44962</v>
      </c>
      <c r="F93" s="57">
        <v>78</v>
      </c>
      <c r="G93" s="59">
        <v>4.5</v>
      </c>
      <c r="H93" s="57">
        <f>IF(MONTH(Call_Centre_Data[[#This Row],[Date of Call]])&lt;=6,YEAR(Call_Centre_Data[[#This Row],[Date of Call]]),YEAR(Call_Centre_Data[[#This Row],[Date of Call]])+1)</f>
        <v>2023</v>
      </c>
      <c r="I93" s="39" t="str">
        <f>TEXT(Call_Centre_Data[[#This Row],[Date of Call]],"DDDD")</f>
        <v>Sunday</v>
      </c>
      <c r="J93" s="39" t="str" cm="1">
        <f t="array" ref="J93">_xlfn.IFS(Call_Centre_Data[[#This Row],[Duration]]&lt;=10,"Under 10 Mins", Call_Centre_Data[[#This Row],[Duration]]&lt;=30,"10-30 Mins",Call_Centre_Data[[#This Row],[Duration]]&lt;=60,"30-60 Mins",Call_Centre_Data[[#This Row],[Duration]]&lt;=120,"1-2 Hours",TRUE,"More than 2 Hours")</f>
        <v>30-60 Mins</v>
      </c>
      <c r="K93" s="91">
        <f>ROUND(Call_Centre_Data[[#This Row],[Satisfaction Rating]],0)</f>
        <v>5</v>
      </c>
    </row>
    <row r="94" spans="1:11" x14ac:dyDescent="0.35">
      <c r="A94" s="56" t="s">
        <v>1099</v>
      </c>
      <c r="B94" s="57" t="s">
        <v>1002</v>
      </c>
      <c r="C94" s="87">
        <v>135</v>
      </c>
      <c r="D94" s="57" t="s">
        <v>1004</v>
      </c>
      <c r="E94" s="58">
        <v>44964</v>
      </c>
      <c r="F94" s="57">
        <v>35</v>
      </c>
      <c r="G94" s="59">
        <v>4.8</v>
      </c>
      <c r="H94" s="57">
        <f>IF(MONTH(Call_Centre_Data[[#This Row],[Date of Call]])&lt;=6,YEAR(Call_Centre_Data[[#This Row],[Date of Call]]),YEAR(Call_Centre_Data[[#This Row],[Date of Call]])+1)</f>
        <v>2023</v>
      </c>
      <c r="I94" s="39" t="str">
        <f>TEXT(Call_Centre_Data[[#This Row],[Date of Call]],"DDDD")</f>
        <v>Tuesday</v>
      </c>
      <c r="J94" s="39" t="str" cm="1">
        <f t="array" ref="J94">_xlfn.IFS(Call_Centre_Data[[#This Row],[Duration]]&lt;=10,"Under 10 Mins", Call_Centre_Data[[#This Row],[Duration]]&lt;=30,"10-30 Mins",Call_Centre_Data[[#This Row],[Duration]]&lt;=60,"30-60 Mins",Call_Centre_Data[[#This Row],[Duration]]&lt;=120,"1-2 Hours",TRUE,"More than 2 Hours")</f>
        <v>More than 2 Hours</v>
      </c>
      <c r="K94" s="91">
        <f>ROUND(Call_Centre_Data[[#This Row],[Satisfaction Rating]],0)</f>
        <v>5</v>
      </c>
    </row>
    <row r="95" spans="1:11" x14ac:dyDescent="0.35">
      <c r="A95" s="56" t="s">
        <v>1100</v>
      </c>
      <c r="B95" s="57" t="s">
        <v>1030</v>
      </c>
      <c r="C95" s="87">
        <v>152</v>
      </c>
      <c r="D95" s="57" t="s">
        <v>994</v>
      </c>
      <c r="E95" s="58">
        <v>44964</v>
      </c>
      <c r="F95" s="57">
        <v>123</v>
      </c>
      <c r="G95" s="59">
        <v>4.5999999999999996</v>
      </c>
      <c r="H95" s="57">
        <f>IF(MONTH(Call_Centre_Data[[#This Row],[Date of Call]])&lt;=6,YEAR(Call_Centre_Data[[#This Row],[Date of Call]]),YEAR(Call_Centre_Data[[#This Row],[Date of Call]])+1)</f>
        <v>2023</v>
      </c>
      <c r="I95" s="39" t="str">
        <f>TEXT(Call_Centre_Data[[#This Row],[Date of Call]],"DDDD")</f>
        <v>Tuesday</v>
      </c>
      <c r="J95" s="39" t="str" cm="1">
        <f t="array" ref="J95">_xlfn.IFS(Call_Centre_Data[[#This Row],[Duration]]&lt;=10,"Under 10 Mins", Call_Centre_Data[[#This Row],[Duration]]&lt;=30,"10-30 Mins",Call_Centre_Data[[#This Row],[Duration]]&lt;=60,"30-60 Mins",Call_Centre_Data[[#This Row],[Duration]]&lt;=120,"1-2 Hours",TRUE,"More than 2 Hours")</f>
        <v>More than 2 Hours</v>
      </c>
      <c r="K95" s="91">
        <f>ROUND(Call_Centre_Data[[#This Row],[Satisfaction Rating]],0)</f>
        <v>5</v>
      </c>
    </row>
    <row r="96" spans="1:11" x14ac:dyDescent="0.35">
      <c r="A96" s="56" t="s">
        <v>1101</v>
      </c>
      <c r="B96" s="57" t="s">
        <v>993</v>
      </c>
      <c r="C96" s="87">
        <v>132</v>
      </c>
      <c r="D96" s="57" t="s">
        <v>994</v>
      </c>
      <c r="E96" s="58">
        <v>44964</v>
      </c>
      <c r="F96" s="57">
        <v>43</v>
      </c>
      <c r="G96" s="59">
        <v>4.5999999999999996</v>
      </c>
      <c r="H96" s="57">
        <f>IF(MONTH(Call_Centre_Data[[#This Row],[Date of Call]])&lt;=6,YEAR(Call_Centre_Data[[#This Row],[Date of Call]]),YEAR(Call_Centre_Data[[#This Row],[Date of Call]])+1)</f>
        <v>2023</v>
      </c>
      <c r="I96" s="39" t="str">
        <f>TEXT(Call_Centre_Data[[#This Row],[Date of Call]],"DDDD")</f>
        <v>Tuesday</v>
      </c>
      <c r="J96" s="39" t="str" cm="1">
        <f t="array" ref="J96">_xlfn.IFS(Call_Centre_Data[[#This Row],[Duration]]&lt;=10,"Under 10 Mins", Call_Centre_Data[[#This Row],[Duration]]&lt;=30,"10-30 Mins",Call_Centre_Data[[#This Row],[Duration]]&lt;=60,"30-60 Mins",Call_Centre_Data[[#This Row],[Duration]]&lt;=120,"1-2 Hours",TRUE,"More than 2 Hours")</f>
        <v>More than 2 Hours</v>
      </c>
      <c r="K96" s="91">
        <f>ROUND(Call_Centre_Data[[#This Row],[Satisfaction Rating]],0)</f>
        <v>5</v>
      </c>
    </row>
    <row r="97" spans="1:11" x14ac:dyDescent="0.35">
      <c r="A97" s="56" t="s">
        <v>1102</v>
      </c>
      <c r="B97" s="57" t="s">
        <v>1022</v>
      </c>
      <c r="C97" s="87">
        <v>60</v>
      </c>
      <c r="D97" s="57" t="s">
        <v>989</v>
      </c>
      <c r="E97" s="58">
        <v>44965</v>
      </c>
      <c r="F97" s="57">
        <v>69</v>
      </c>
      <c r="G97" s="59">
        <v>4.3</v>
      </c>
      <c r="H97" s="57">
        <f>IF(MONTH(Call_Centre_Data[[#This Row],[Date of Call]])&lt;=6,YEAR(Call_Centre_Data[[#This Row],[Date of Call]]),YEAR(Call_Centre_Data[[#This Row],[Date of Call]])+1)</f>
        <v>2023</v>
      </c>
      <c r="I97" s="39" t="str">
        <f>TEXT(Call_Centre_Data[[#This Row],[Date of Call]],"DDDD")</f>
        <v>Wednesday</v>
      </c>
      <c r="J97" s="39" t="str" cm="1">
        <f t="array" ref="J97">_xlfn.IFS(Call_Centre_Data[[#This Row],[Duration]]&lt;=10,"Under 10 Mins", Call_Centre_Data[[#This Row],[Duration]]&lt;=30,"10-30 Mins",Call_Centre_Data[[#This Row],[Duration]]&lt;=60,"30-60 Mins",Call_Centre_Data[[#This Row],[Duration]]&lt;=120,"1-2 Hours",TRUE,"More than 2 Hours")</f>
        <v>30-60 Mins</v>
      </c>
      <c r="K97" s="91">
        <f>ROUND(Call_Centre_Data[[#This Row],[Satisfaction Rating]],0)</f>
        <v>4</v>
      </c>
    </row>
    <row r="98" spans="1:11" x14ac:dyDescent="0.35">
      <c r="A98" s="56" t="s">
        <v>1103</v>
      </c>
      <c r="B98" s="57" t="s">
        <v>1030</v>
      </c>
      <c r="C98" s="87">
        <v>95</v>
      </c>
      <c r="D98" s="57" t="s">
        <v>994</v>
      </c>
      <c r="E98" s="58">
        <v>44965</v>
      </c>
      <c r="F98" s="57">
        <v>130</v>
      </c>
      <c r="G98" s="59">
        <v>5</v>
      </c>
      <c r="H98" s="57">
        <f>IF(MONTH(Call_Centre_Data[[#This Row],[Date of Call]])&lt;=6,YEAR(Call_Centre_Data[[#This Row],[Date of Call]]),YEAR(Call_Centre_Data[[#This Row],[Date of Call]])+1)</f>
        <v>2023</v>
      </c>
      <c r="I98" s="39" t="str">
        <f>TEXT(Call_Centre_Data[[#This Row],[Date of Call]],"DDDD")</f>
        <v>Wednesday</v>
      </c>
      <c r="J98" s="39" t="str" cm="1">
        <f t="array" ref="J98">_xlfn.IFS(Call_Centre_Data[[#This Row],[Duration]]&lt;=10,"Under 10 Mins", Call_Centre_Data[[#This Row],[Duration]]&lt;=30,"10-30 Mins",Call_Centre_Data[[#This Row],[Duration]]&lt;=60,"30-60 Mins",Call_Centre_Data[[#This Row],[Duration]]&lt;=120,"1-2 Hours",TRUE,"More than 2 Hours")</f>
        <v>1-2 Hours</v>
      </c>
      <c r="K98" s="91">
        <f>ROUND(Call_Centre_Data[[#This Row],[Satisfaction Rating]],0)</f>
        <v>5</v>
      </c>
    </row>
    <row r="99" spans="1:11" x14ac:dyDescent="0.35">
      <c r="A99" s="56" t="s">
        <v>1104</v>
      </c>
      <c r="B99" s="57" t="s">
        <v>988</v>
      </c>
      <c r="C99" s="87">
        <v>96</v>
      </c>
      <c r="D99" s="57" t="s">
        <v>1008</v>
      </c>
      <c r="E99" s="58">
        <v>44965</v>
      </c>
      <c r="F99" s="57">
        <v>120</v>
      </c>
      <c r="G99" s="59">
        <v>4</v>
      </c>
      <c r="H99" s="57">
        <f>IF(MONTH(Call_Centre_Data[[#This Row],[Date of Call]])&lt;=6,YEAR(Call_Centre_Data[[#This Row],[Date of Call]]),YEAR(Call_Centre_Data[[#This Row],[Date of Call]])+1)</f>
        <v>2023</v>
      </c>
      <c r="I99" s="39" t="str">
        <f>TEXT(Call_Centre_Data[[#This Row],[Date of Call]],"DDDD")</f>
        <v>Wednesday</v>
      </c>
      <c r="J99" s="39" t="str" cm="1">
        <f t="array" ref="J99">_xlfn.IFS(Call_Centre_Data[[#This Row],[Duration]]&lt;=10,"Under 10 Mins", Call_Centre_Data[[#This Row],[Duration]]&lt;=30,"10-30 Mins",Call_Centre_Data[[#This Row],[Duration]]&lt;=60,"30-60 Mins",Call_Centre_Data[[#This Row],[Duration]]&lt;=120,"1-2 Hours",TRUE,"More than 2 Hours")</f>
        <v>1-2 Hours</v>
      </c>
      <c r="K99" s="91">
        <f>ROUND(Call_Centre_Data[[#This Row],[Satisfaction Rating]],0)</f>
        <v>4</v>
      </c>
    </row>
    <row r="100" spans="1:11" x14ac:dyDescent="0.35">
      <c r="A100" s="56" t="s">
        <v>1105</v>
      </c>
      <c r="B100" s="57" t="s">
        <v>1040</v>
      </c>
      <c r="C100" s="87">
        <v>45</v>
      </c>
      <c r="D100" s="57" t="s">
        <v>989</v>
      </c>
      <c r="E100" s="58">
        <v>44966</v>
      </c>
      <c r="F100" s="57">
        <v>84</v>
      </c>
      <c r="G100" s="59">
        <v>4.5999999999999996</v>
      </c>
      <c r="H100" s="57">
        <f>IF(MONTH(Call_Centre_Data[[#This Row],[Date of Call]])&lt;=6,YEAR(Call_Centre_Data[[#This Row],[Date of Call]]),YEAR(Call_Centre_Data[[#This Row],[Date of Call]])+1)</f>
        <v>2023</v>
      </c>
      <c r="I100" s="39" t="str">
        <f>TEXT(Call_Centre_Data[[#This Row],[Date of Call]],"DDDD")</f>
        <v>Thursday</v>
      </c>
      <c r="J100" s="39" t="str" cm="1">
        <f t="array" ref="J100">_xlfn.IFS(Call_Centre_Data[[#This Row],[Duration]]&lt;=10,"Under 10 Mins", Call_Centre_Data[[#This Row],[Duration]]&lt;=30,"10-30 Mins",Call_Centre_Data[[#This Row],[Duration]]&lt;=60,"30-60 Mins",Call_Centre_Data[[#This Row],[Duration]]&lt;=120,"1-2 Hours",TRUE,"More than 2 Hours")</f>
        <v>30-60 Mins</v>
      </c>
      <c r="K100" s="91">
        <f>ROUND(Call_Centre_Data[[#This Row],[Satisfaction Rating]],0)</f>
        <v>5</v>
      </c>
    </row>
    <row r="101" spans="1:11" x14ac:dyDescent="0.35">
      <c r="A101" s="56" t="s">
        <v>1106</v>
      </c>
      <c r="B101" s="57" t="s">
        <v>988</v>
      </c>
      <c r="C101" s="87">
        <v>132</v>
      </c>
      <c r="D101" s="57" t="s">
        <v>1008</v>
      </c>
      <c r="E101" s="58">
        <v>44967</v>
      </c>
      <c r="F101" s="57">
        <v>112</v>
      </c>
      <c r="G101" s="59">
        <v>4.5</v>
      </c>
      <c r="H101" s="57">
        <f>IF(MONTH(Call_Centre_Data[[#This Row],[Date of Call]])&lt;=6,YEAR(Call_Centre_Data[[#This Row],[Date of Call]]),YEAR(Call_Centre_Data[[#This Row],[Date of Call]])+1)</f>
        <v>2023</v>
      </c>
      <c r="I101" s="39" t="str">
        <f>TEXT(Call_Centre_Data[[#This Row],[Date of Call]],"DDDD")</f>
        <v>Friday</v>
      </c>
      <c r="J101" s="39" t="str" cm="1">
        <f t="array" ref="J101">_xlfn.IFS(Call_Centre_Data[[#This Row],[Duration]]&lt;=10,"Under 10 Mins", Call_Centre_Data[[#This Row],[Duration]]&lt;=30,"10-30 Mins",Call_Centre_Data[[#This Row],[Duration]]&lt;=60,"30-60 Mins",Call_Centre_Data[[#This Row],[Duration]]&lt;=120,"1-2 Hours",TRUE,"More than 2 Hours")</f>
        <v>More than 2 Hours</v>
      </c>
      <c r="K101" s="91">
        <f>ROUND(Call_Centre_Data[[#This Row],[Satisfaction Rating]],0)</f>
        <v>5</v>
      </c>
    </row>
    <row r="102" spans="1:11" x14ac:dyDescent="0.35">
      <c r="A102" s="56" t="s">
        <v>1107</v>
      </c>
      <c r="B102" s="57" t="s">
        <v>1011</v>
      </c>
      <c r="C102" s="87">
        <v>95</v>
      </c>
      <c r="D102" s="57" t="s">
        <v>989</v>
      </c>
      <c r="E102" s="58">
        <v>44967</v>
      </c>
      <c r="F102" s="57">
        <v>66</v>
      </c>
      <c r="G102" s="59">
        <v>4.5999999999999996</v>
      </c>
      <c r="H102" s="57">
        <f>IF(MONTH(Call_Centre_Data[[#This Row],[Date of Call]])&lt;=6,YEAR(Call_Centre_Data[[#This Row],[Date of Call]]),YEAR(Call_Centre_Data[[#This Row],[Date of Call]])+1)</f>
        <v>2023</v>
      </c>
      <c r="I102" s="39" t="str">
        <f>TEXT(Call_Centre_Data[[#This Row],[Date of Call]],"DDDD")</f>
        <v>Friday</v>
      </c>
      <c r="J102" s="39" t="str" cm="1">
        <f t="array" ref="J102">_xlfn.IFS(Call_Centre_Data[[#This Row],[Duration]]&lt;=10,"Under 10 Mins", Call_Centre_Data[[#This Row],[Duration]]&lt;=30,"10-30 Mins",Call_Centre_Data[[#This Row],[Duration]]&lt;=60,"30-60 Mins",Call_Centre_Data[[#This Row],[Duration]]&lt;=120,"1-2 Hours",TRUE,"More than 2 Hours")</f>
        <v>1-2 Hours</v>
      </c>
      <c r="K102" s="91">
        <f>ROUND(Call_Centre_Data[[#This Row],[Satisfaction Rating]],0)</f>
        <v>5</v>
      </c>
    </row>
    <row r="103" spans="1:11" x14ac:dyDescent="0.35">
      <c r="A103" s="56" t="s">
        <v>1108</v>
      </c>
      <c r="B103" s="57" t="s">
        <v>1030</v>
      </c>
      <c r="C103" s="87">
        <v>131</v>
      </c>
      <c r="D103" s="57" t="s">
        <v>999</v>
      </c>
      <c r="E103" s="58">
        <v>44967</v>
      </c>
      <c r="F103" s="57">
        <v>172</v>
      </c>
      <c r="G103" s="59">
        <v>2.6</v>
      </c>
      <c r="H103" s="57">
        <f>IF(MONTH(Call_Centre_Data[[#This Row],[Date of Call]])&lt;=6,YEAR(Call_Centre_Data[[#This Row],[Date of Call]]),YEAR(Call_Centre_Data[[#This Row],[Date of Call]])+1)</f>
        <v>2023</v>
      </c>
      <c r="I103" s="39" t="str">
        <f>TEXT(Call_Centre_Data[[#This Row],[Date of Call]],"DDDD")</f>
        <v>Friday</v>
      </c>
      <c r="J103" s="39" t="str" cm="1">
        <f t="array" ref="J103">_xlfn.IFS(Call_Centre_Data[[#This Row],[Duration]]&lt;=10,"Under 10 Mins", Call_Centre_Data[[#This Row],[Duration]]&lt;=30,"10-30 Mins",Call_Centre_Data[[#This Row],[Duration]]&lt;=60,"30-60 Mins",Call_Centre_Data[[#This Row],[Duration]]&lt;=120,"1-2 Hours",TRUE,"More than 2 Hours")</f>
        <v>More than 2 Hours</v>
      </c>
      <c r="K103" s="91">
        <f>ROUND(Call_Centre_Data[[#This Row],[Satisfaction Rating]],0)</f>
        <v>3</v>
      </c>
    </row>
    <row r="104" spans="1:11" x14ac:dyDescent="0.35">
      <c r="A104" s="56" t="s">
        <v>1109</v>
      </c>
      <c r="B104" s="57" t="s">
        <v>1019</v>
      </c>
      <c r="C104" s="87">
        <v>67</v>
      </c>
      <c r="D104" s="57" t="s">
        <v>1004</v>
      </c>
      <c r="E104" s="58">
        <v>44968</v>
      </c>
      <c r="F104" s="57">
        <v>24</v>
      </c>
      <c r="G104" s="59">
        <v>4.3</v>
      </c>
      <c r="H104" s="57">
        <f>IF(MONTH(Call_Centre_Data[[#This Row],[Date of Call]])&lt;=6,YEAR(Call_Centre_Data[[#This Row],[Date of Call]]),YEAR(Call_Centre_Data[[#This Row],[Date of Call]])+1)</f>
        <v>2023</v>
      </c>
      <c r="I104" s="39" t="str">
        <f>TEXT(Call_Centre_Data[[#This Row],[Date of Call]],"DDDD")</f>
        <v>Saturday</v>
      </c>
      <c r="J104" s="39" t="str" cm="1">
        <f t="array" ref="J104">_xlfn.IFS(Call_Centre_Data[[#This Row],[Duration]]&lt;=10,"Under 10 Mins", Call_Centre_Data[[#This Row],[Duration]]&lt;=30,"10-30 Mins",Call_Centre_Data[[#This Row],[Duration]]&lt;=60,"30-60 Mins",Call_Centre_Data[[#This Row],[Duration]]&lt;=120,"1-2 Hours",TRUE,"More than 2 Hours")</f>
        <v>1-2 Hours</v>
      </c>
      <c r="K104" s="91">
        <f>ROUND(Call_Centre_Data[[#This Row],[Satisfaction Rating]],0)</f>
        <v>4</v>
      </c>
    </row>
    <row r="105" spans="1:11" x14ac:dyDescent="0.35">
      <c r="A105" s="56" t="s">
        <v>1110</v>
      </c>
      <c r="B105" s="57" t="s">
        <v>996</v>
      </c>
      <c r="C105" s="87">
        <v>111</v>
      </c>
      <c r="D105" s="57" t="s">
        <v>999</v>
      </c>
      <c r="E105" s="58">
        <v>44969</v>
      </c>
      <c r="F105" s="57">
        <v>43</v>
      </c>
      <c r="G105" s="59">
        <v>3.9</v>
      </c>
      <c r="H105" s="57">
        <f>IF(MONTH(Call_Centre_Data[[#This Row],[Date of Call]])&lt;=6,YEAR(Call_Centre_Data[[#This Row],[Date of Call]]),YEAR(Call_Centre_Data[[#This Row],[Date of Call]])+1)</f>
        <v>2023</v>
      </c>
      <c r="I105" s="39" t="str">
        <f>TEXT(Call_Centre_Data[[#This Row],[Date of Call]],"DDDD")</f>
        <v>Sunday</v>
      </c>
      <c r="J105" s="39" t="str" cm="1">
        <f t="array" ref="J105">_xlfn.IFS(Call_Centre_Data[[#This Row],[Duration]]&lt;=10,"Under 10 Mins", Call_Centre_Data[[#This Row],[Duration]]&lt;=30,"10-30 Mins",Call_Centre_Data[[#This Row],[Duration]]&lt;=60,"30-60 Mins",Call_Centre_Data[[#This Row],[Duration]]&lt;=120,"1-2 Hours",TRUE,"More than 2 Hours")</f>
        <v>1-2 Hours</v>
      </c>
      <c r="K105" s="91">
        <f>ROUND(Call_Centre_Data[[#This Row],[Satisfaction Rating]],0)</f>
        <v>4</v>
      </c>
    </row>
    <row r="106" spans="1:11" x14ac:dyDescent="0.35">
      <c r="A106" s="56" t="s">
        <v>1111</v>
      </c>
      <c r="B106" s="57" t="s">
        <v>993</v>
      </c>
      <c r="C106" s="87">
        <v>78</v>
      </c>
      <c r="D106" s="57" t="s">
        <v>994</v>
      </c>
      <c r="E106" s="58">
        <v>44969</v>
      </c>
      <c r="F106" s="57">
        <v>23</v>
      </c>
      <c r="G106" s="59">
        <v>5</v>
      </c>
      <c r="H106" s="57">
        <f>IF(MONTH(Call_Centre_Data[[#This Row],[Date of Call]])&lt;=6,YEAR(Call_Centre_Data[[#This Row],[Date of Call]]),YEAR(Call_Centre_Data[[#This Row],[Date of Call]])+1)</f>
        <v>2023</v>
      </c>
      <c r="I106" s="39" t="str">
        <f>TEXT(Call_Centre_Data[[#This Row],[Date of Call]],"DDDD")</f>
        <v>Sunday</v>
      </c>
      <c r="J106" s="39" t="str" cm="1">
        <f t="array" ref="J106">_xlfn.IFS(Call_Centre_Data[[#This Row],[Duration]]&lt;=10,"Under 10 Mins", Call_Centre_Data[[#This Row],[Duration]]&lt;=30,"10-30 Mins",Call_Centre_Data[[#This Row],[Duration]]&lt;=60,"30-60 Mins",Call_Centre_Data[[#This Row],[Duration]]&lt;=120,"1-2 Hours",TRUE,"More than 2 Hours")</f>
        <v>1-2 Hours</v>
      </c>
      <c r="K106" s="91">
        <f>ROUND(Call_Centre_Data[[#This Row],[Satisfaction Rating]],0)</f>
        <v>5</v>
      </c>
    </row>
    <row r="107" spans="1:11" x14ac:dyDescent="0.35">
      <c r="A107" s="56" t="s">
        <v>1112</v>
      </c>
      <c r="B107" s="57" t="s">
        <v>1013</v>
      </c>
      <c r="C107" s="87">
        <v>28</v>
      </c>
      <c r="D107" s="57" t="s">
        <v>1008</v>
      </c>
      <c r="E107" s="58">
        <v>44969</v>
      </c>
      <c r="F107" s="57">
        <v>74</v>
      </c>
      <c r="G107" s="59">
        <v>3.5</v>
      </c>
      <c r="H107" s="57">
        <f>IF(MONTH(Call_Centre_Data[[#This Row],[Date of Call]])&lt;=6,YEAR(Call_Centre_Data[[#This Row],[Date of Call]]),YEAR(Call_Centre_Data[[#This Row],[Date of Call]])+1)</f>
        <v>2023</v>
      </c>
      <c r="I107" s="39" t="str">
        <f>TEXT(Call_Centre_Data[[#This Row],[Date of Call]],"DDDD")</f>
        <v>Sunday</v>
      </c>
      <c r="J107" s="39" t="str" cm="1">
        <f t="array" ref="J107">_xlfn.IFS(Call_Centre_Data[[#This Row],[Duration]]&lt;=10,"Under 10 Mins", Call_Centre_Data[[#This Row],[Duration]]&lt;=30,"10-30 Mins",Call_Centre_Data[[#This Row],[Duration]]&lt;=60,"30-60 Mins",Call_Centre_Data[[#This Row],[Duration]]&lt;=120,"1-2 Hours",TRUE,"More than 2 Hours")</f>
        <v>10-30 Mins</v>
      </c>
      <c r="K107" s="91">
        <f>ROUND(Call_Centre_Data[[#This Row],[Satisfaction Rating]],0)</f>
        <v>4</v>
      </c>
    </row>
    <row r="108" spans="1:11" x14ac:dyDescent="0.35">
      <c r="A108" s="56" t="s">
        <v>1113</v>
      </c>
      <c r="B108" s="57" t="s">
        <v>991</v>
      </c>
      <c r="C108" s="87">
        <v>127</v>
      </c>
      <c r="D108" s="57" t="s">
        <v>1004</v>
      </c>
      <c r="E108" s="58">
        <v>44970</v>
      </c>
      <c r="F108" s="57">
        <v>165</v>
      </c>
      <c r="G108" s="59">
        <v>4.7</v>
      </c>
      <c r="H108" s="57">
        <f>IF(MONTH(Call_Centre_Data[[#This Row],[Date of Call]])&lt;=6,YEAR(Call_Centre_Data[[#This Row],[Date of Call]]),YEAR(Call_Centre_Data[[#This Row],[Date of Call]])+1)</f>
        <v>2023</v>
      </c>
      <c r="I108" s="39" t="str">
        <f>TEXT(Call_Centre_Data[[#This Row],[Date of Call]],"DDDD")</f>
        <v>Monday</v>
      </c>
      <c r="J108" s="39" t="str" cm="1">
        <f t="array" ref="J108">_xlfn.IFS(Call_Centre_Data[[#This Row],[Duration]]&lt;=10,"Under 10 Mins", Call_Centre_Data[[#This Row],[Duration]]&lt;=30,"10-30 Mins",Call_Centre_Data[[#This Row],[Duration]]&lt;=60,"30-60 Mins",Call_Centre_Data[[#This Row],[Duration]]&lt;=120,"1-2 Hours",TRUE,"More than 2 Hours")</f>
        <v>More than 2 Hours</v>
      </c>
      <c r="K108" s="91">
        <f>ROUND(Call_Centre_Data[[#This Row],[Satisfaction Rating]],0)</f>
        <v>5</v>
      </c>
    </row>
    <row r="109" spans="1:11" x14ac:dyDescent="0.35">
      <c r="A109" s="56" t="s">
        <v>1114</v>
      </c>
      <c r="B109" s="57" t="s">
        <v>1027</v>
      </c>
      <c r="C109" s="87">
        <v>137</v>
      </c>
      <c r="D109" s="57" t="s">
        <v>999</v>
      </c>
      <c r="E109" s="58">
        <v>44970</v>
      </c>
      <c r="F109" s="57">
        <v>34</v>
      </c>
      <c r="G109" s="59">
        <v>2.9</v>
      </c>
      <c r="H109" s="57">
        <f>IF(MONTH(Call_Centre_Data[[#This Row],[Date of Call]])&lt;=6,YEAR(Call_Centre_Data[[#This Row],[Date of Call]]),YEAR(Call_Centre_Data[[#This Row],[Date of Call]])+1)</f>
        <v>2023</v>
      </c>
      <c r="I109" s="39" t="str">
        <f>TEXT(Call_Centre_Data[[#This Row],[Date of Call]],"DDDD")</f>
        <v>Monday</v>
      </c>
      <c r="J109" s="39" t="str" cm="1">
        <f t="array" ref="J109">_xlfn.IFS(Call_Centre_Data[[#This Row],[Duration]]&lt;=10,"Under 10 Mins", Call_Centre_Data[[#This Row],[Duration]]&lt;=30,"10-30 Mins",Call_Centre_Data[[#This Row],[Duration]]&lt;=60,"30-60 Mins",Call_Centre_Data[[#This Row],[Duration]]&lt;=120,"1-2 Hours",TRUE,"More than 2 Hours")</f>
        <v>More than 2 Hours</v>
      </c>
      <c r="K109" s="91">
        <f>ROUND(Call_Centre_Data[[#This Row],[Satisfaction Rating]],0)</f>
        <v>3</v>
      </c>
    </row>
    <row r="110" spans="1:11" x14ac:dyDescent="0.35">
      <c r="A110" s="56" t="s">
        <v>1115</v>
      </c>
      <c r="B110" s="57" t="s">
        <v>991</v>
      </c>
      <c r="C110" s="87">
        <v>76</v>
      </c>
      <c r="D110" s="57" t="s">
        <v>1008</v>
      </c>
      <c r="E110" s="58">
        <v>44970</v>
      </c>
      <c r="F110" s="57">
        <v>64</v>
      </c>
      <c r="G110" s="59">
        <v>3.4</v>
      </c>
      <c r="H110" s="57">
        <f>IF(MONTH(Call_Centre_Data[[#This Row],[Date of Call]])&lt;=6,YEAR(Call_Centre_Data[[#This Row],[Date of Call]]),YEAR(Call_Centre_Data[[#This Row],[Date of Call]])+1)</f>
        <v>2023</v>
      </c>
      <c r="I110" s="39" t="str">
        <f>TEXT(Call_Centre_Data[[#This Row],[Date of Call]],"DDDD")</f>
        <v>Monday</v>
      </c>
      <c r="J110" s="39" t="str" cm="1">
        <f t="array" ref="J110">_xlfn.IFS(Call_Centre_Data[[#This Row],[Duration]]&lt;=10,"Under 10 Mins", Call_Centre_Data[[#This Row],[Duration]]&lt;=30,"10-30 Mins",Call_Centre_Data[[#This Row],[Duration]]&lt;=60,"30-60 Mins",Call_Centre_Data[[#This Row],[Duration]]&lt;=120,"1-2 Hours",TRUE,"More than 2 Hours")</f>
        <v>1-2 Hours</v>
      </c>
      <c r="K110" s="91">
        <f>ROUND(Call_Centre_Data[[#This Row],[Satisfaction Rating]],0)</f>
        <v>3</v>
      </c>
    </row>
    <row r="111" spans="1:11" x14ac:dyDescent="0.35">
      <c r="A111" s="56" t="s">
        <v>1116</v>
      </c>
      <c r="B111" s="57" t="s">
        <v>993</v>
      </c>
      <c r="C111" s="87">
        <v>80</v>
      </c>
      <c r="D111" s="57" t="s">
        <v>1004</v>
      </c>
      <c r="E111" s="58">
        <v>44971</v>
      </c>
      <c r="F111" s="57">
        <v>155</v>
      </c>
      <c r="G111" s="59">
        <v>3.2</v>
      </c>
      <c r="H111" s="57">
        <f>IF(MONTH(Call_Centre_Data[[#This Row],[Date of Call]])&lt;=6,YEAR(Call_Centre_Data[[#This Row],[Date of Call]]),YEAR(Call_Centre_Data[[#This Row],[Date of Call]])+1)</f>
        <v>2023</v>
      </c>
      <c r="I111" s="39" t="str">
        <f>TEXT(Call_Centre_Data[[#This Row],[Date of Call]],"DDDD")</f>
        <v>Tuesday</v>
      </c>
      <c r="J111" s="39" t="str" cm="1">
        <f t="array" ref="J111">_xlfn.IFS(Call_Centre_Data[[#This Row],[Duration]]&lt;=10,"Under 10 Mins", Call_Centre_Data[[#This Row],[Duration]]&lt;=30,"10-30 Mins",Call_Centre_Data[[#This Row],[Duration]]&lt;=60,"30-60 Mins",Call_Centre_Data[[#This Row],[Duration]]&lt;=120,"1-2 Hours",TRUE,"More than 2 Hours")</f>
        <v>1-2 Hours</v>
      </c>
      <c r="K111" s="91">
        <f>ROUND(Call_Centre_Data[[#This Row],[Satisfaction Rating]],0)</f>
        <v>3</v>
      </c>
    </row>
    <row r="112" spans="1:11" x14ac:dyDescent="0.35">
      <c r="A112" s="56" t="s">
        <v>1117</v>
      </c>
      <c r="B112" s="57" t="s">
        <v>991</v>
      </c>
      <c r="C112" s="87">
        <v>95</v>
      </c>
      <c r="D112" s="57" t="s">
        <v>994</v>
      </c>
      <c r="E112" s="58">
        <v>44972</v>
      </c>
      <c r="F112" s="57">
        <v>120</v>
      </c>
      <c r="G112" s="59">
        <v>4.8</v>
      </c>
      <c r="H112" s="57">
        <f>IF(MONTH(Call_Centre_Data[[#This Row],[Date of Call]])&lt;=6,YEAR(Call_Centre_Data[[#This Row],[Date of Call]]),YEAR(Call_Centre_Data[[#This Row],[Date of Call]])+1)</f>
        <v>2023</v>
      </c>
      <c r="I112" s="39" t="str">
        <f>TEXT(Call_Centre_Data[[#This Row],[Date of Call]],"DDDD")</f>
        <v>Wednesday</v>
      </c>
      <c r="J112" s="39" t="str" cm="1">
        <f t="array" ref="J112">_xlfn.IFS(Call_Centre_Data[[#This Row],[Duration]]&lt;=10,"Under 10 Mins", Call_Centre_Data[[#This Row],[Duration]]&lt;=30,"10-30 Mins",Call_Centre_Data[[#This Row],[Duration]]&lt;=60,"30-60 Mins",Call_Centre_Data[[#This Row],[Duration]]&lt;=120,"1-2 Hours",TRUE,"More than 2 Hours")</f>
        <v>1-2 Hours</v>
      </c>
      <c r="K112" s="91">
        <f>ROUND(Call_Centre_Data[[#This Row],[Satisfaction Rating]],0)</f>
        <v>5</v>
      </c>
    </row>
    <row r="113" spans="1:11" x14ac:dyDescent="0.35">
      <c r="A113" s="56" t="s">
        <v>1118</v>
      </c>
      <c r="B113" s="57" t="s">
        <v>1022</v>
      </c>
      <c r="C113" s="87">
        <v>30</v>
      </c>
      <c r="D113" s="57" t="s">
        <v>1008</v>
      </c>
      <c r="E113" s="58">
        <v>44972</v>
      </c>
      <c r="F113" s="57">
        <v>105</v>
      </c>
      <c r="G113" s="59">
        <v>3.6</v>
      </c>
      <c r="H113" s="57">
        <f>IF(MONTH(Call_Centre_Data[[#This Row],[Date of Call]])&lt;=6,YEAR(Call_Centre_Data[[#This Row],[Date of Call]]),YEAR(Call_Centre_Data[[#This Row],[Date of Call]])+1)</f>
        <v>2023</v>
      </c>
      <c r="I113" s="39" t="str">
        <f>TEXT(Call_Centre_Data[[#This Row],[Date of Call]],"DDDD")</f>
        <v>Wednesday</v>
      </c>
      <c r="J113" s="39" t="str" cm="1">
        <f t="array" ref="J113">_xlfn.IFS(Call_Centre_Data[[#This Row],[Duration]]&lt;=10,"Under 10 Mins", Call_Centre_Data[[#This Row],[Duration]]&lt;=30,"10-30 Mins",Call_Centre_Data[[#This Row],[Duration]]&lt;=60,"30-60 Mins",Call_Centre_Data[[#This Row],[Duration]]&lt;=120,"1-2 Hours",TRUE,"More than 2 Hours")</f>
        <v>10-30 Mins</v>
      </c>
      <c r="K113" s="91">
        <f>ROUND(Call_Centre_Data[[#This Row],[Satisfaction Rating]],0)</f>
        <v>4</v>
      </c>
    </row>
    <row r="114" spans="1:11" x14ac:dyDescent="0.35">
      <c r="A114" s="56" t="s">
        <v>1119</v>
      </c>
      <c r="B114" s="57" t="s">
        <v>998</v>
      </c>
      <c r="C114" s="87">
        <v>19</v>
      </c>
      <c r="D114" s="57" t="s">
        <v>999</v>
      </c>
      <c r="E114" s="58">
        <v>44972</v>
      </c>
      <c r="F114" s="57">
        <v>28</v>
      </c>
      <c r="G114" s="59">
        <v>4.9000000000000004</v>
      </c>
      <c r="H114" s="57">
        <f>IF(MONTH(Call_Centre_Data[[#This Row],[Date of Call]])&lt;=6,YEAR(Call_Centre_Data[[#This Row],[Date of Call]]),YEAR(Call_Centre_Data[[#This Row],[Date of Call]])+1)</f>
        <v>2023</v>
      </c>
      <c r="I114" s="39" t="str">
        <f>TEXT(Call_Centre_Data[[#This Row],[Date of Call]],"DDDD")</f>
        <v>Wednesday</v>
      </c>
      <c r="J114" s="39" t="str" cm="1">
        <f t="array" ref="J114">_xlfn.IFS(Call_Centre_Data[[#This Row],[Duration]]&lt;=10,"Under 10 Mins", Call_Centre_Data[[#This Row],[Duration]]&lt;=30,"10-30 Mins",Call_Centre_Data[[#This Row],[Duration]]&lt;=60,"30-60 Mins",Call_Centre_Data[[#This Row],[Duration]]&lt;=120,"1-2 Hours",TRUE,"More than 2 Hours")</f>
        <v>10-30 Mins</v>
      </c>
      <c r="K114" s="91">
        <f>ROUND(Call_Centre_Data[[#This Row],[Satisfaction Rating]],0)</f>
        <v>5</v>
      </c>
    </row>
    <row r="115" spans="1:11" x14ac:dyDescent="0.35">
      <c r="A115" s="56" t="s">
        <v>1120</v>
      </c>
      <c r="B115" s="57" t="s">
        <v>1007</v>
      </c>
      <c r="C115" s="87">
        <v>38</v>
      </c>
      <c r="D115" s="57" t="s">
        <v>1004</v>
      </c>
      <c r="E115" s="58">
        <v>44972</v>
      </c>
      <c r="F115" s="57">
        <v>100</v>
      </c>
      <c r="G115" s="59">
        <v>4.8</v>
      </c>
      <c r="H115" s="57">
        <f>IF(MONTH(Call_Centre_Data[[#This Row],[Date of Call]])&lt;=6,YEAR(Call_Centre_Data[[#This Row],[Date of Call]]),YEAR(Call_Centre_Data[[#This Row],[Date of Call]])+1)</f>
        <v>2023</v>
      </c>
      <c r="I115" s="39" t="str">
        <f>TEXT(Call_Centre_Data[[#This Row],[Date of Call]],"DDDD")</f>
        <v>Wednesday</v>
      </c>
      <c r="J115" s="39" t="str" cm="1">
        <f t="array" ref="J115">_xlfn.IFS(Call_Centre_Data[[#This Row],[Duration]]&lt;=10,"Under 10 Mins", Call_Centre_Data[[#This Row],[Duration]]&lt;=30,"10-30 Mins",Call_Centre_Data[[#This Row],[Duration]]&lt;=60,"30-60 Mins",Call_Centre_Data[[#This Row],[Duration]]&lt;=120,"1-2 Hours",TRUE,"More than 2 Hours")</f>
        <v>30-60 Mins</v>
      </c>
      <c r="K115" s="91">
        <f>ROUND(Call_Centre_Data[[#This Row],[Satisfaction Rating]],0)</f>
        <v>5</v>
      </c>
    </row>
    <row r="116" spans="1:11" x14ac:dyDescent="0.35">
      <c r="A116" s="56" t="s">
        <v>1121</v>
      </c>
      <c r="B116" s="57" t="s">
        <v>1011</v>
      </c>
      <c r="C116" s="87">
        <v>55</v>
      </c>
      <c r="D116" s="57" t="s">
        <v>999</v>
      </c>
      <c r="E116" s="58">
        <v>44972</v>
      </c>
      <c r="F116" s="57">
        <v>23</v>
      </c>
      <c r="G116" s="59">
        <v>3.6</v>
      </c>
      <c r="H116" s="57">
        <f>IF(MONTH(Call_Centre_Data[[#This Row],[Date of Call]])&lt;=6,YEAR(Call_Centre_Data[[#This Row],[Date of Call]]),YEAR(Call_Centre_Data[[#This Row],[Date of Call]])+1)</f>
        <v>2023</v>
      </c>
      <c r="I116" s="39" t="str">
        <f>TEXT(Call_Centre_Data[[#This Row],[Date of Call]],"DDDD")</f>
        <v>Wednesday</v>
      </c>
      <c r="J116" s="39" t="str" cm="1">
        <f t="array" ref="J116">_xlfn.IFS(Call_Centre_Data[[#This Row],[Duration]]&lt;=10,"Under 10 Mins", Call_Centre_Data[[#This Row],[Duration]]&lt;=30,"10-30 Mins",Call_Centre_Data[[#This Row],[Duration]]&lt;=60,"30-60 Mins",Call_Centre_Data[[#This Row],[Duration]]&lt;=120,"1-2 Hours",TRUE,"More than 2 Hours")</f>
        <v>30-60 Mins</v>
      </c>
      <c r="K116" s="91">
        <f>ROUND(Call_Centre_Data[[#This Row],[Satisfaction Rating]],0)</f>
        <v>4</v>
      </c>
    </row>
    <row r="117" spans="1:11" x14ac:dyDescent="0.35">
      <c r="A117" s="56" t="s">
        <v>1122</v>
      </c>
      <c r="B117" s="57" t="s">
        <v>1019</v>
      </c>
      <c r="C117" s="87">
        <v>27</v>
      </c>
      <c r="D117" s="57" t="s">
        <v>1008</v>
      </c>
      <c r="E117" s="58">
        <v>44973</v>
      </c>
      <c r="F117" s="57">
        <v>70</v>
      </c>
      <c r="G117" s="59">
        <v>3.9</v>
      </c>
      <c r="H117" s="57">
        <f>IF(MONTH(Call_Centre_Data[[#This Row],[Date of Call]])&lt;=6,YEAR(Call_Centre_Data[[#This Row],[Date of Call]]),YEAR(Call_Centre_Data[[#This Row],[Date of Call]])+1)</f>
        <v>2023</v>
      </c>
      <c r="I117" s="39" t="str">
        <f>TEXT(Call_Centre_Data[[#This Row],[Date of Call]],"DDDD")</f>
        <v>Thursday</v>
      </c>
      <c r="J117" s="39" t="str" cm="1">
        <f t="array" ref="J117">_xlfn.IFS(Call_Centre_Data[[#This Row],[Duration]]&lt;=10,"Under 10 Mins", Call_Centre_Data[[#This Row],[Duration]]&lt;=30,"10-30 Mins",Call_Centre_Data[[#This Row],[Duration]]&lt;=60,"30-60 Mins",Call_Centre_Data[[#This Row],[Duration]]&lt;=120,"1-2 Hours",TRUE,"More than 2 Hours")</f>
        <v>10-30 Mins</v>
      </c>
      <c r="K117" s="91">
        <f>ROUND(Call_Centre_Data[[#This Row],[Satisfaction Rating]],0)</f>
        <v>4</v>
      </c>
    </row>
    <row r="118" spans="1:11" x14ac:dyDescent="0.35">
      <c r="A118" s="56" t="s">
        <v>1123</v>
      </c>
      <c r="B118" s="57" t="s">
        <v>1019</v>
      </c>
      <c r="C118" s="87">
        <v>32</v>
      </c>
      <c r="D118" s="57" t="s">
        <v>1008</v>
      </c>
      <c r="E118" s="58">
        <v>44973</v>
      </c>
      <c r="F118" s="57">
        <v>37</v>
      </c>
      <c r="G118" s="59">
        <v>1.9</v>
      </c>
      <c r="H118" s="57">
        <f>IF(MONTH(Call_Centre_Data[[#This Row],[Date of Call]])&lt;=6,YEAR(Call_Centre_Data[[#This Row],[Date of Call]]),YEAR(Call_Centre_Data[[#This Row],[Date of Call]])+1)</f>
        <v>2023</v>
      </c>
      <c r="I118" s="39" t="str">
        <f>TEXT(Call_Centre_Data[[#This Row],[Date of Call]],"DDDD")</f>
        <v>Thursday</v>
      </c>
      <c r="J118" s="39" t="str" cm="1">
        <f t="array" ref="J118">_xlfn.IFS(Call_Centre_Data[[#This Row],[Duration]]&lt;=10,"Under 10 Mins", Call_Centre_Data[[#This Row],[Duration]]&lt;=30,"10-30 Mins",Call_Centre_Data[[#This Row],[Duration]]&lt;=60,"30-60 Mins",Call_Centre_Data[[#This Row],[Duration]]&lt;=120,"1-2 Hours",TRUE,"More than 2 Hours")</f>
        <v>30-60 Mins</v>
      </c>
      <c r="K118" s="91">
        <f>ROUND(Call_Centre_Data[[#This Row],[Satisfaction Rating]],0)</f>
        <v>2</v>
      </c>
    </row>
    <row r="119" spans="1:11" x14ac:dyDescent="0.35">
      <c r="A119" s="56" t="s">
        <v>1124</v>
      </c>
      <c r="B119" s="57" t="s">
        <v>1013</v>
      </c>
      <c r="C119" s="87">
        <v>116</v>
      </c>
      <c r="D119" s="57" t="s">
        <v>989</v>
      </c>
      <c r="E119" s="58">
        <v>44973</v>
      </c>
      <c r="F119" s="57">
        <v>140</v>
      </c>
      <c r="G119" s="59">
        <v>3.6</v>
      </c>
      <c r="H119" s="57">
        <f>IF(MONTH(Call_Centre_Data[[#This Row],[Date of Call]])&lt;=6,YEAR(Call_Centre_Data[[#This Row],[Date of Call]]),YEAR(Call_Centre_Data[[#This Row],[Date of Call]])+1)</f>
        <v>2023</v>
      </c>
      <c r="I119" s="39" t="str">
        <f>TEXT(Call_Centre_Data[[#This Row],[Date of Call]],"DDDD")</f>
        <v>Thursday</v>
      </c>
      <c r="J119" s="39" t="str" cm="1">
        <f t="array" ref="J119">_xlfn.IFS(Call_Centre_Data[[#This Row],[Duration]]&lt;=10,"Under 10 Mins", Call_Centre_Data[[#This Row],[Duration]]&lt;=30,"10-30 Mins",Call_Centre_Data[[#This Row],[Duration]]&lt;=60,"30-60 Mins",Call_Centre_Data[[#This Row],[Duration]]&lt;=120,"1-2 Hours",TRUE,"More than 2 Hours")</f>
        <v>1-2 Hours</v>
      </c>
      <c r="K119" s="91">
        <f>ROUND(Call_Centre_Data[[#This Row],[Satisfaction Rating]],0)</f>
        <v>4</v>
      </c>
    </row>
    <row r="120" spans="1:11" x14ac:dyDescent="0.35">
      <c r="A120" s="56" t="s">
        <v>1125</v>
      </c>
      <c r="B120" s="57" t="s">
        <v>988</v>
      </c>
      <c r="C120" s="87">
        <v>99</v>
      </c>
      <c r="D120" s="57" t="s">
        <v>994</v>
      </c>
      <c r="E120" s="58">
        <v>44973</v>
      </c>
      <c r="F120" s="57">
        <v>78</v>
      </c>
      <c r="G120" s="59">
        <v>4.0999999999999996</v>
      </c>
      <c r="H120" s="57">
        <f>IF(MONTH(Call_Centre_Data[[#This Row],[Date of Call]])&lt;=6,YEAR(Call_Centre_Data[[#This Row],[Date of Call]]),YEAR(Call_Centre_Data[[#This Row],[Date of Call]])+1)</f>
        <v>2023</v>
      </c>
      <c r="I120" s="39" t="str">
        <f>TEXT(Call_Centre_Data[[#This Row],[Date of Call]],"DDDD")</f>
        <v>Thursday</v>
      </c>
      <c r="J120" s="39" t="str" cm="1">
        <f t="array" ref="J120">_xlfn.IFS(Call_Centre_Data[[#This Row],[Duration]]&lt;=10,"Under 10 Mins", Call_Centre_Data[[#This Row],[Duration]]&lt;=30,"10-30 Mins",Call_Centre_Data[[#This Row],[Duration]]&lt;=60,"30-60 Mins",Call_Centre_Data[[#This Row],[Duration]]&lt;=120,"1-2 Hours",TRUE,"More than 2 Hours")</f>
        <v>1-2 Hours</v>
      </c>
      <c r="K120" s="91">
        <f>ROUND(Call_Centre_Data[[#This Row],[Satisfaction Rating]],0)</f>
        <v>4</v>
      </c>
    </row>
    <row r="121" spans="1:11" x14ac:dyDescent="0.35">
      <c r="A121" s="56" t="s">
        <v>1126</v>
      </c>
      <c r="B121" s="57" t="s">
        <v>991</v>
      </c>
      <c r="C121" s="87">
        <v>75</v>
      </c>
      <c r="D121" s="57" t="s">
        <v>1008</v>
      </c>
      <c r="E121" s="58">
        <v>44974</v>
      </c>
      <c r="F121" s="57">
        <v>21</v>
      </c>
      <c r="G121" s="59">
        <v>4.2</v>
      </c>
      <c r="H121" s="57">
        <f>IF(MONTH(Call_Centre_Data[[#This Row],[Date of Call]])&lt;=6,YEAR(Call_Centre_Data[[#This Row],[Date of Call]]),YEAR(Call_Centre_Data[[#This Row],[Date of Call]])+1)</f>
        <v>2023</v>
      </c>
      <c r="I121" s="39" t="str">
        <f>TEXT(Call_Centre_Data[[#This Row],[Date of Call]],"DDDD")</f>
        <v>Friday</v>
      </c>
      <c r="J121" s="39" t="str" cm="1">
        <f t="array" ref="J121">_xlfn.IFS(Call_Centre_Data[[#This Row],[Duration]]&lt;=10,"Under 10 Mins", Call_Centre_Data[[#This Row],[Duration]]&lt;=30,"10-30 Mins",Call_Centre_Data[[#This Row],[Duration]]&lt;=60,"30-60 Mins",Call_Centre_Data[[#This Row],[Duration]]&lt;=120,"1-2 Hours",TRUE,"More than 2 Hours")</f>
        <v>1-2 Hours</v>
      </c>
      <c r="K121" s="91">
        <f>ROUND(Call_Centre_Data[[#This Row],[Satisfaction Rating]],0)</f>
        <v>4</v>
      </c>
    </row>
    <row r="122" spans="1:11" x14ac:dyDescent="0.35">
      <c r="A122" s="56" t="s">
        <v>1127</v>
      </c>
      <c r="B122" s="57" t="s">
        <v>993</v>
      </c>
      <c r="C122" s="87">
        <v>57</v>
      </c>
      <c r="D122" s="57" t="s">
        <v>989</v>
      </c>
      <c r="E122" s="58">
        <v>44974</v>
      </c>
      <c r="F122" s="57">
        <v>88</v>
      </c>
      <c r="G122" s="59">
        <v>4.3</v>
      </c>
      <c r="H122" s="57">
        <f>IF(MONTH(Call_Centre_Data[[#This Row],[Date of Call]])&lt;=6,YEAR(Call_Centre_Data[[#This Row],[Date of Call]]),YEAR(Call_Centre_Data[[#This Row],[Date of Call]])+1)</f>
        <v>2023</v>
      </c>
      <c r="I122" s="39" t="str">
        <f>TEXT(Call_Centre_Data[[#This Row],[Date of Call]],"DDDD")</f>
        <v>Friday</v>
      </c>
      <c r="J122" s="39" t="str" cm="1">
        <f t="array" ref="J122">_xlfn.IFS(Call_Centre_Data[[#This Row],[Duration]]&lt;=10,"Under 10 Mins", Call_Centre_Data[[#This Row],[Duration]]&lt;=30,"10-30 Mins",Call_Centre_Data[[#This Row],[Duration]]&lt;=60,"30-60 Mins",Call_Centre_Data[[#This Row],[Duration]]&lt;=120,"1-2 Hours",TRUE,"More than 2 Hours")</f>
        <v>30-60 Mins</v>
      </c>
      <c r="K122" s="91">
        <f>ROUND(Call_Centre_Data[[#This Row],[Satisfaction Rating]],0)</f>
        <v>4</v>
      </c>
    </row>
    <row r="123" spans="1:11" x14ac:dyDescent="0.35">
      <c r="A123" s="56" t="s">
        <v>1128</v>
      </c>
      <c r="B123" s="57" t="s">
        <v>1002</v>
      </c>
      <c r="C123" s="87">
        <v>155</v>
      </c>
      <c r="D123" s="57" t="s">
        <v>989</v>
      </c>
      <c r="E123" s="58">
        <v>44975</v>
      </c>
      <c r="F123" s="57">
        <v>180</v>
      </c>
      <c r="G123" s="59">
        <v>2.2000000000000002</v>
      </c>
      <c r="H123" s="57">
        <f>IF(MONTH(Call_Centre_Data[[#This Row],[Date of Call]])&lt;=6,YEAR(Call_Centre_Data[[#This Row],[Date of Call]]),YEAR(Call_Centre_Data[[#This Row],[Date of Call]])+1)</f>
        <v>2023</v>
      </c>
      <c r="I123" s="39" t="str">
        <f>TEXT(Call_Centre_Data[[#This Row],[Date of Call]],"DDDD")</f>
        <v>Saturday</v>
      </c>
      <c r="J123" s="39" t="str" cm="1">
        <f t="array" ref="J123">_xlfn.IFS(Call_Centre_Data[[#This Row],[Duration]]&lt;=10,"Under 10 Mins", Call_Centre_Data[[#This Row],[Duration]]&lt;=30,"10-30 Mins",Call_Centre_Data[[#This Row],[Duration]]&lt;=60,"30-60 Mins",Call_Centre_Data[[#This Row],[Duration]]&lt;=120,"1-2 Hours",TRUE,"More than 2 Hours")</f>
        <v>More than 2 Hours</v>
      </c>
      <c r="K123" s="91">
        <f>ROUND(Call_Centre_Data[[#This Row],[Satisfaction Rating]],0)</f>
        <v>2</v>
      </c>
    </row>
    <row r="124" spans="1:11" x14ac:dyDescent="0.35">
      <c r="A124" s="56" t="s">
        <v>1129</v>
      </c>
      <c r="B124" s="57" t="s">
        <v>988</v>
      </c>
      <c r="C124" s="87">
        <v>68</v>
      </c>
      <c r="D124" s="57" t="s">
        <v>994</v>
      </c>
      <c r="E124" s="58">
        <v>44975</v>
      </c>
      <c r="F124" s="57">
        <v>22</v>
      </c>
      <c r="G124" s="59">
        <v>3.3</v>
      </c>
      <c r="H124" s="57">
        <f>IF(MONTH(Call_Centre_Data[[#This Row],[Date of Call]])&lt;=6,YEAR(Call_Centre_Data[[#This Row],[Date of Call]]),YEAR(Call_Centre_Data[[#This Row],[Date of Call]])+1)</f>
        <v>2023</v>
      </c>
      <c r="I124" s="39" t="str">
        <f>TEXT(Call_Centre_Data[[#This Row],[Date of Call]],"DDDD")</f>
        <v>Saturday</v>
      </c>
      <c r="J124" s="39" t="str" cm="1">
        <f t="array" ref="J124">_xlfn.IFS(Call_Centre_Data[[#This Row],[Duration]]&lt;=10,"Under 10 Mins", Call_Centre_Data[[#This Row],[Duration]]&lt;=30,"10-30 Mins",Call_Centre_Data[[#This Row],[Duration]]&lt;=60,"30-60 Mins",Call_Centre_Data[[#This Row],[Duration]]&lt;=120,"1-2 Hours",TRUE,"More than 2 Hours")</f>
        <v>1-2 Hours</v>
      </c>
      <c r="K124" s="91">
        <f>ROUND(Call_Centre_Data[[#This Row],[Satisfaction Rating]],0)</f>
        <v>3</v>
      </c>
    </row>
    <row r="125" spans="1:11" x14ac:dyDescent="0.35">
      <c r="A125" s="56" t="s">
        <v>1130</v>
      </c>
      <c r="B125" s="57" t="s">
        <v>1007</v>
      </c>
      <c r="C125" s="87">
        <v>95</v>
      </c>
      <c r="D125" s="57" t="s">
        <v>994</v>
      </c>
      <c r="E125" s="58">
        <v>44975</v>
      </c>
      <c r="F125" s="57">
        <v>52</v>
      </c>
      <c r="G125" s="59">
        <v>4.8</v>
      </c>
      <c r="H125" s="57">
        <f>IF(MONTH(Call_Centre_Data[[#This Row],[Date of Call]])&lt;=6,YEAR(Call_Centre_Data[[#This Row],[Date of Call]]),YEAR(Call_Centre_Data[[#This Row],[Date of Call]])+1)</f>
        <v>2023</v>
      </c>
      <c r="I125" s="39" t="str">
        <f>TEXT(Call_Centre_Data[[#This Row],[Date of Call]],"DDDD")</f>
        <v>Saturday</v>
      </c>
      <c r="J125" s="39" t="str" cm="1">
        <f t="array" ref="J125">_xlfn.IFS(Call_Centre_Data[[#This Row],[Duration]]&lt;=10,"Under 10 Mins", Call_Centre_Data[[#This Row],[Duration]]&lt;=30,"10-30 Mins",Call_Centre_Data[[#This Row],[Duration]]&lt;=60,"30-60 Mins",Call_Centre_Data[[#This Row],[Duration]]&lt;=120,"1-2 Hours",TRUE,"More than 2 Hours")</f>
        <v>1-2 Hours</v>
      </c>
      <c r="K125" s="91">
        <f>ROUND(Call_Centre_Data[[#This Row],[Satisfaction Rating]],0)</f>
        <v>5</v>
      </c>
    </row>
    <row r="126" spans="1:11" x14ac:dyDescent="0.35">
      <c r="A126" s="56" t="s">
        <v>1131</v>
      </c>
      <c r="B126" s="57" t="s">
        <v>1027</v>
      </c>
      <c r="C126" s="87">
        <v>65</v>
      </c>
      <c r="D126" s="57" t="s">
        <v>989</v>
      </c>
      <c r="E126" s="58">
        <v>44976</v>
      </c>
      <c r="F126" s="57">
        <v>80</v>
      </c>
      <c r="G126" s="59">
        <v>4</v>
      </c>
      <c r="H126" s="57">
        <f>IF(MONTH(Call_Centre_Data[[#This Row],[Date of Call]])&lt;=6,YEAR(Call_Centre_Data[[#This Row],[Date of Call]]),YEAR(Call_Centre_Data[[#This Row],[Date of Call]])+1)</f>
        <v>2023</v>
      </c>
      <c r="I126" s="39" t="str">
        <f>TEXT(Call_Centre_Data[[#This Row],[Date of Call]],"DDDD")</f>
        <v>Sunday</v>
      </c>
      <c r="J126" s="39" t="str" cm="1">
        <f t="array" ref="J126">_xlfn.IFS(Call_Centre_Data[[#This Row],[Duration]]&lt;=10,"Under 10 Mins", Call_Centre_Data[[#This Row],[Duration]]&lt;=30,"10-30 Mins",Call_Centre_Data[[#This Row],[Duration]]&lt;=60,"30-60 Mins",Call_Centre_Data[[#This Row],[Duration]]&lt;=120,"1-2 Hours",TRUE,"More than 2 Hours")</f>
        <v>1-2 Hours</v>
      </c>
      <c r="K126" s="91">
        <f>ROUND(Call_Centre_Data[[#This Row],[Satisfaction Rating]],0)</f>
        <v>4</v>
      </c>
    </row>
    <row r="127" spans="1:11" x14ac:dyDescent="0.35">
      <c r="A127" s="56" t="s">
        <v>1132</v>
      </c>
      <c r="B127" s="57" t="s">
        <v>998</v>
      </c>
      <c r="C127" s="87">
        <v>114</v>
      </c>
      <c r="D127" s="57" t="s">
        <v>999</v>
      </c>
      <c r="E127" s="58">
        <v>44976</v>
      </c>
      <c r="F127" s="57">
        <v>54</v>
      </c>
      <c r="G127" s="59">
        <v>1.1000000000000001</v>
      </c>
      <c r="H127" s="57">
        <f>IF(MONTH(Call_Centre_Data[[#This Row],[Date of Call]])&lt;=6,YEAR(Call_Centre_Data[[#This Row],[Date of Call]]),YEAR(Call_Centre_Data[[#This Row],[Date of Call]])+1)</f>
        <v>2023</v>
      </c>
      <c r="I127" s="39" t="str">
        <f>TEXT(Call_Centre_Data[[#This Row],[Date of Call]],"DDDD")</f>
        <v>Sunday</v>
      </c>
      <c r="J127" s="39" t="str" cm="1">
        <f t="array" ref="J127">_xlfn.IFS(Call_Centre_Data[[#This Row],[Duration]]&lt;=10,"Under 10 Mins", Call_Centre_Data[[#This Row],[Duration]]&lt;=30,"10-30 Mins",Call_Centre_Data[[#This Row],[Duration]]&lt;=60,"30-60 Mins",Call_Centre_Data[[#This Row],[Duration]]&lt;=120,"1-2 Hours",TRUE,"More than 2 Hours")</f>
        <v>1-2 Hours</v>
      </c>
      <c r="K127" s="91">
        <f>ROUND(Call_Centre_Data[[#This Row],[Satisfaction Rating]],0)</f>
        <v>1</v>
      </c>
    </row>
    <row r="128" spans="1:11" x14ac:dyDescent="0.35">
      <c r="A128" s="56" t="s">
        <v>1133</v>
      </c>
      <c r="B128" s="57" t="s">
        <v>991</v>
      </c>
      <c r="C128" s="87">
        <v>155</v>
      </c>
      <c r="D128" s="57" t="s">
        <v>999</v>
      </c>
      <c r="E128" s="58">
        <v>44977</v>
      </c>
      <c r="F128" s="57">
        <v>80</v>
      </c>
      <c r="G128" s="59">
        <v>3.9</v>
      </c>
      <c r="H128" s="57">
        <f>IF(MONTH(Call_Centre_Data[[#This Row],[Date of Call]])&lt;=6,YEAR(Call_Centre_Data[[#This Row],[Date of Call]]),YEAR(Call_Centre_Data[[#This Row],[Date of Call]])+1)</f>
        <v>2023</v>
      </c>
      <c r="I128" s="39" t="str">
        <f>TEXT(Call_Centre_Data[[#This Row],[Date of Call]],"DDDD")</f>
        <v>Monday</v>
      </c>
      <c r="J128" s="39" t="str" cm="1">
        <f t="array" ref="J128">_xlfn.IFS(Call_Centre_Data[[#This Row],[Duration]]&lt;=10,"Under 10 Mins", Call_Centre_Data[[#This Row],[Duration]]&lt;=30,"10-30 Mins",Call_Centre_Data[[#This Row],[Duration]]&lt;=60,"30-60 Mins",Call_Centre_Data[[#This Row],[Duration]]&lt;=120,"1-2 Hours",TRUE,"More than 2 Hours")</f>
        <v>More than 2 Hours</v>
      </c>
      <c r="K128" s="91">
        <f>ROUND(Call_Centre_Data[[#This Row],[Satisfaction Rating]],0)</f>
        <v>4</v>
      </c>
    </row>
    <row r="129" spans="1:11" x14ac:dyDescent="0.35">
      <c r="A129" s="56" t="s">
        <v>1134</v>
      </c>
      <c r="B129" s="57" t="s">
        <v>1027</v>
      </c>
      <c r="C129" s="87">
        <v>114</v>
      </c>
      <c r="D129" s="57" t="s">
        <v>989</v>
      </c>
      <c r="E129" s="58">
        <v>44978</v>
      </c>
      <c r="F129" s="57">
        <v>120</v>
      </c>
      <c r="G129" s="59">
        <v>1.8</v>
      </c>
      <c r="H129" s="57">
        <f>IF(MONTH(Call_Centre_Data[[#This Row],[Date of Call]])&lt;=6,YEAR(Call_Centre_Data[[#This Row],[Date of Call]]),YEAR(Call_Centre_Data[[#This Row],[Date of Call]])+1)</f>
        <v>2023</v>
      </c>
      <c r="I129" s="39" t="str">
        <f>TEXT(Call_Centre_Data[[#This Row],[Date of Call]],"DDDD")</f>
        <v>Tuesday</v>
      </c>
      <c r="J129" s="39" t="str" cm="1">
        <f t="array" ref="J129">_xlfn.IFS(Call_Centre_Data[[#This Row],[Duration]]&lt;=10,"Under 10 Mins", Call_Centre_Data[[#This Row],[Duration]]&lt;=30,"10-30 Mins",Call_Centre_Data[[#This Row],[Duration]]&lt;=60,"30-60 Mins",Call_Centre_Data[[#This Row],[Duration]]&lt;=120,"1-2 Hours",TRUE,"More than 2 Hours")</f>
        <v>1-2 Hours</v>
      </c>
      <c r="K129" s="91">
        <f>ROUND(Call_Centre_Data[[#This Row],[Satisfaction Rating]],0)</f>
        <v>2</v>
      </c>
    </row>
    <row r="130" spans="1:11" x14ac:dyDescent="0.35">
      <c r="A130" s="56" t="s">
        <v>1135</v>
      </c>
      <c r="B130" s="57" t="s">
        <v>1002</v>
      </c>
      <c r="C130" s="87">
        <v>130</v>
      </c>
      <c r="D130" s="57" t="s">
        <v>1004</v>
      </c>
      <c r="E130" s="58">
        <v>44978</v>
      </c>
      <c r="F130" s="57">
        <v>150</v>
      </c>
      <c r="G130" s="59">
        <v>1</v>
      </c>
      <c r="H130" s="57">
        <f>IF(MONTH(Call_Centre_Data[[#This Row],[Date of Call]])&lt;=6,YEAR(Call_Centre_Data[[#This Row],[Date of Call]]),YEAR(Call_Centre_Data[[#This Row],[Date of Call]])+1)</f>
        <v>2023</v>
      </c>
      <c r="I130" s="39" t="str">
        <f>TEXT(Call_Centre_Data[[#This Row],[Date of Call]],"DDDD")</f>
        <v>Tuesday</v>
      </c>
      <c r="J130" s="39" t="str" cm="1">
        <f t="array" ref="J130">_xlfn.IFS(Call_Centre_Data[[#This Row],[Duration]]&lt;=10,"Under 10 Mins", Call_Centre_Data[[#This Row],[Duration]]&lt;=30,"10-30 Mins",Call_Centre_Data[[#This Row],[Duration]]&lt;=60,"30-60 Mins",Call_Centre_Data[[#This Row],[Duration]]&lt;=120,"1-2 Hours",TRUE,"More than 2 Hours")</f>
        <v>More than 2 Hours</v>
      </c>
      <c r="K130" s="91">
        <f>ROUND(Call_Centre_Data[[#This Row],[Satisfaction Rating]],0)</f>
        <v>1</v>
      </c>
    </row>
    <row r="131" spans="1:11" x14ac:dyDescent="0.35">
      <c r="A131" s="56" t="s">
        <v>1136</v>
      </c>
      <c r="B131" s="57" t="s">
        <v>991</v>
      </c>
      <c r="C131" s="87">
        <v>89</v>
      </c>
      <c r="D131" s="57" t="s">
        <v>989</v>
      </c>
      <c r="E131" s="58">
        <v>44978</v>
      </c>
      <c r="F131" s="57">
        <v>90</v>
      </c>
      <c r="G131" s="59">
        <v>4.3</v>
      </c>
      <c r="H131" s="57">
        <f>IF(MONTH(Call_Centre_Data[[#This Row],[Date of Call]])&lt;=6,YEAR(Call_Centre_Data[[#This Row],[Date of Call]]),YEAR(Call_Centre_Data[[#This Row],[Date of Call]])+1)</f>
        <v>2023</v>
      </c>
      <c r="I131" s="39" t="str">
        <f>TEXT(Call_Centre_Data[[#This Row],[Date of Call]],"DDDD")</f>
        <v>Tuesday</v>
      </c>
      <c r="J131" s="39" t="str" cm="1">
        <f t="array" ref="J131">_xlfn.IFS(Call_Centre_Data[[#This Row],[Duration]]&lt;=10,"Under 10 Mins", Call_Centre_Data[[#This Row],[Duration]]&lt;=30,"10-30 Mins",Call_Centre_Data[[#This Row],[Duration]]&lt;=60,"30-60 Mins",Call_Centre_Data[[#This Row],[Duration]]&lt;=120,"1-2 Hours",TRUE,"More than 2 Hours")</f>
        <v>1-2 Hours</v>
      </c>
      <c r="K131" s="91">
        <f>ROUND(Call_Centre_Data[[#This Row],[Satisfaction Rating]],0)</f>
        <v>4</v>
      </c>
    </row>
    <row r="132" spans="1:11" x14ac:dyDescent="0.35">
      <c r="A132" s="56" t="s">
        <v>1137</v>
      </c>
      <c r="B132" s="57" t="s">
        <v>1040</v>
      </c>
      <c r="C132" s="87">
        <v>61</v>
      </c>
      <c r="D132" s="57" t="s">
        <v>1008</v>
      </c>
      <c r="E132" s="58">
        <v>44979</v>
      </c>
      <c r="F132" s="57">
        <v>140</v>
      </c>
      <c r="G132" s="59">
        <v>3.4</v>
      </c>
      <c r="H132" s="57">
        <f>IF(MONTH(Call_Centre_Data[[#This Row],[Date of Call]])&lt;=6,YEAR(Call_Centre_Data[[#This Row],[Date of Call]]),YEAR(Call_Centre_Data[[#This Row],[Date of Call]])+1)</f>
        <v>2023</v>
      </c>
      <c r="I132" s="39" t="str">
        <f>TEXT(Call_Centre_Data[[#This Row],[Date of Call]],"DDDD")</f>
        <v>Wednesday</v>
      </c>
      <c r="J132" s="39" t="str" cm="1">
        <f t="array" ref="J132">_xlfn.IFS(Call_Centre_Data[[#This Row],[Duration]]&lt;=10,"Under 10 Mins", Call_Centre_Data[[#This Row],[Duration]]&lt;=30,"10-30 Mins",Call_Centre_Data[[#This Row],[Duration]]&lt;=60,"30-60 Mins",Call_Centre_Data[[#This Row],[Duration]]&lt;=120,"1-2 Hours",TRUE,"More than 2 Hours")</f>
        <v>1-2 Hours</v>
      </c>
      <c r="K132" s="91">
        <f>ROUND(Call_Centre_Data[[#This Row],[Satisfaction Rating]],0)</f>
        <v>3</v>
      </c>
    </row>
    <row r="133" spans="1:11" x14ac:dyDescent="0.35">
      <c r="A133" s="56" t="s">
        <v>1138</v>
      </c>
      <c r="B133" s="57" t="s">
        <v>1007</v>
      </c>
      <c r="C133" s="87">
        <v>154</v>
      </c>
      <c r="D133" s="57" t="s">
        <v>999</v>
      </c>
      <c r="E133" s="58">
        <v>44979</v>
      </c>
      <c r="F133" s="57">
        <v>22</v>
      </c>
      <c r="G133" s="59">
        <v>3.4</v>
      </c>
      <c r="H133" s="57">
        <f>IF(MONTH(Call_Centre_Data[[#This Row],[Date of Call]])&lt;=6,YEAR(Call_Centre_Data[[#This Row],[Date of Call]]),YEAR(Call_Centre_Data[[#This Row],[Date of Call]])+1)</f>
        <v>2023</v>
      </c>
      <c r="I133" s="39" t="str">
        <f>TEXT(Call_Centre_Data[[#This Row],[Date of Call]],"DDDD")</f>
        <v>Wednesday</v>
      </c>
      <c r="J133" s="39" t="str" cm="1">
        <f t="array" ref="J133">_xlfn.IFS(Call_Centre_Data[[#This Row],[Duration]]&lt;=10,"Under 10 Mins", Call_Centre_Data[[#This Row],[Duration]]&lt;=30,"10-30 Mins",Call_Centre_Data[[#This Row],[Duration]]&lt;=60,"30-60 Mins",Call_Centre_Data[[#This Row],[Duration]]&lt;=120,"1-2 Hours",TRUE,"More than 2 Hours")</f>
        <v>More than 2 Hours</v>
      </c>
      <c r="K133" s="91">
        <f>ROUND(Call_Centre_Data[[#This Row],[Satisfaction Rating]],0)</f>
        <v>3</v>
      </c>
    </row>
    <row r="134" spans="1:11" x14ac:dyDescent="0.35">
      <c r="A134" s="56" t="s">
        <v>1139</v>
      </c>
      <c r="B134" s="57" t="s">
        <v>1027</v>
      </c>
      <c r="C134" s="87">
        <v>115</v>
      </c>
      <c r="D134" s="57" t="s">
        <v>1004</v>
      </c>
      <c r="E134" s="58">
        <v>44980</v>
      </c>
      <c r="F134" s="57">
        <v>150</v>
      </c>
      <c r="G134" s="59">
        <v>4.0999999999999996</v>
      </c>
      <c r="H134" s="57">
        <f>IF(MONTH(Call_Centre_Data[[#This Row],[Date of Call]])&lt;=6,YEAR(Call_Centre_Data[[#This Row],[Date of Call]]),YEAR(Call_Centre_Data[[#This Row],[Date of Call]])+1)</f>
        <v>2023</v>
      </c>
      <c r="I134" s="39" t="str">
        <f>TEXT(Call_Centre_Data[[#This Row],[Date of Call]],"DDDD")</f>
        <v>Thursday</v>
      </c>
      <c r="J134" s="39" t="str" cm="1">
        <f t="array" ref="J134">_xlfn.IFS(Call_Centre_Data[[#This Row],[Duration]]&lt;=10,"Under 10 Mins", Call_Centre_Data[[#This Row],[Duration]]&lt;=30,"10-30 Mins",Call_Centre_Data[[#This Row],[Duration]]&lt;=60,"30-60 Mins",Call_Centre_Data[[#This Row],[Duration]]&lt;=120,"1-2 Hours",TRUE,"More than 2 Hours")</f>
        <v>1-2 Hours</v>
      </c>
      <c r="K134" s="91">
        <f>ROUND(Call_Centre_Data[[#This Row],[Satisfaction Rating]],0)</f>
        <v>4</v>
      </c>
    </row>
    <row r="135" spans="1:11" x14ac:dyDescent="0.35">
      <c r="A135" s="56" t="s">
        <v>1140</v>
      </c>
      <c r="B135" s="57" t="s">
        <v>1060</v>
      </c>
      <c r="C135" s="87">
        <v>138</v>
      </c>
      <c r="D135" s="57" t="s">
        <v>994</v>
      </c>
      <c r="E135" s="58">
        <v>44981</v>
      </c>
      <c r="F135" s="57">
        <v>35</v>
      </c>
      <c r="G135" s="59">
        <v>4.8</v>
      </c>
      <c r="H135" s="57">
        <f>IF(MONTH(Call_Centre_Data[[#This Row],[Date of Call]])&lt;=6,YEAR(Call_Centre_Data[[#This Row],[Date of Call]]),YEAR(Call_Centre_Data[[#This Row],[Date of Call]])+1)</f>
        <v>2023</v>
      </c>
      <c r="I135" s="39" t="str">
        <f>TEXT(Call_Centre_Data[[#This Row],[Date of Call]],"DDDD")</f>
        <v>Friday</v>
      </c>
      <c r="J135" s="39" t="str" cm="1">
        <f t="array" ref="J135">_xlfn.IFS(Call_Centre_Data[[#This Row],[Duration]]&lt;=10,"Under 10 Mins", Call_Centre_Data[[#This Row],[Duration]]&lt;=30,"10-30 Mins",Call_Centre_Data[[#This Row],[Duration]]&lt;=60,"30-60 Mins",Call_Centre_Data[[#This Row],[Duration]]&lt;=120,"1-2 Hours",TRUE,"More than 2 Hours")</f>
        <v>More than 2 Hours</v>
      </c>
      <c r="K135" s="91">
        <f>ROUND(Call_Centre_Data[[#This Row],[Satisfaction Rating]],0)</f>
        <v>5</v>
      </c>
    </row>
    <row r="136" spans="1:11" x14ac:dyDescent="0.35">
      <c r="A136" s="56" t="s">
        <v>1141</v>
      </c>
      <c r="B136" s="57" t="s">
        <v>996</v>
      </c>
      <c r="C136" s="87">
        <v>153</v>
      </c>
      <c r="D136" s="57" t="s">
        <v>989</v>
      </c>
      <c r="E136" s="58">
        <v>44981</v>
      </c>
      <c r="F136" s="57">
        <v>200</v>
      </c>
      <c r="G136" s="59">
        <v>2</v>
      </c>
      <c r="H136" s="57">
        <f>IF(MONTH(Call_Centre_Data[[#This Row],[Date of Call]])&lt;=6,YEAR(Call_Centre_Data[[#This Row],[Date of Call]]),YEAR(Call_Centre_Data[[#This Row],[Date of Call]])+1)</f>
        <v>2023</v>
      </c>
      <c r="I136" s="39" t="str">
        <f>TEXT(Call_Centre_Data[[#This Row],[Date of Call]],"DDDD")</f>
        <v>Friday</v>
      </c>
      <c r="J136" s="39" t="str" cm="1">
        <f t="array" ref="J136">_xlfn.IFS(Call_Centre_Data[[#This Row],[Duration]]&lt;=10,"Under 10 Mins", Call_Centre_Data[[#This Row],[Duration]]&lt;=30,"10-30 Mins",Call_Centre_Data[[#This Row],[Duration]]&lt;=60,"30-60 Mins",Call_Centre_Data[[#This Row],[Duration]]&lt;=120,"1-2 Hours",TRUE,"More than 2 Hours")</f>
        <v>More than 2 Hours</v>
      </c>
      <c r="K136" s="91">
        <f>ROUND(Call_Centre_Data[[#This Row],[Satisfaction Rating]],0)</f>
        <v>2</v>
      </c>
    </row>
    <row r="137" spans="1:11" x14ac:dyDescent="0.35">
      <c r="A137" s="56" t="s">
        <v>1142</v>
      </c>
      <c r="B137" s="57" t="s">
        <v>1027</v>
      </c>
      <c r="C137" s="87">
        <v>61</v>
      </c>
      <c r="D137" s="57" t="s">
        <v>1008</v>
      </c>
      <c r="E137" s="58">
        <v>44982</v>
      </c>
      <c r="F137" s="57">
        <v>150</v>
      </c>
      <c r="G137" s="59">
        <v>4.5999999999999996</v>
      </c>
      <c r="H137" s="57">
        <f>IF(MONTH(Call_Centre_Data[[#This Row],[Date of Call]])&lt;=6,YEAR(Call_Centre_Data[[#This Row],[Date of Call]]),YEAR(Call_Centre_Data[[#This Row],[Date of Call]])+1)</f>
        <v>2023</v>
      </c>
      <c r="I137" s="39" t="str">
        <f>TEXT(Call_Centre_Data[[#This Row],[Date of Call]],"DDDD")</f>
        <v>Saturday</v>
      </c>
      <c r="J137" s="39" t="str" cm="1">
        <f t="array" ref="J137">_xlfn.IFS(Call_Centre_Data[[#This Row],[Duration]]&lt;=10,"Under 10 Mins", Call_Centre_Data[[#This Row],[Duration]]&lt;=30,"10-30 Mins",Call_Centre_Data[[#This Row],[Duration]]&lt;=60,"30-60 Mins",Call_Centre_Data[[#This Row],[Duration]]&lt;=120,"1-2 Hours",TRUE,"More than 2 Hours")</f>
        <v>1-2 Hours</v>
      </c>
      <c r="K137" s="91">
        <f>ROUND(Call_Centre_Data[[#This Row],[Satisfaction Rating]],0)</f>
        <v>5</v>
      </c>
    </row>
    <row r="138" spans="1:11" x14ac:dyDescent="0.35">
      <c r="A138" s="56" t="s">
        <v>1143</v>
      </c>
      <c r="B138" s="57" t="s">
        <v>1019</v>
      </c>
      <c r="C138" s="87">
        <v>62</v>
      </c>
      <c r="D138" s="57" t="s">
        <v>989</v>
      </c>
      <c r="E138" s="58">
        <v>44982</v>
      </c>
      <c r="F138" s="57">
        <v>21</v>
      </c>
      <c r="G138" s="59">
        <v>2.6</v>
      </c>
      <c r="H138" s="57">
        <f>IF(MONTH(Call_Centre_Data[[#This Row],[Date of Call]])&lt;=6,YEAR(Call_Centre_Data[[#This Row],[Date of Call]]),YEAR(Call_Centre_Data[[#This Row],[Date of Call]])+1)</f>
        <v>2023</v>
      </c>
      <c r="I138" s="39" t="str">
        <f>TEXT(Call_Centre_Data[[#This Row],[Date of Call]],"DDDD")</f>
        <v>Saturday</v>
      </c>
      <c r="J138" s="39" t="str" cm="1">
        <f t="array" ref="J138">_xlfn.IFS(Call_Centre_Data[[#This Row],[Duration]]&lt;=10,"Under 10 Mins", Call_Centre_Data[[#This Row],[Duration]]&lt;=30,"10-30 Mins",Call_Centre_Data[[#This Row],[Duration]]&lt;=60,"30-60 Mins",Call_Centre_Data[[#This Row],[Duration]]&lt;=120,"1-2 Hours",TRUE,"More than 2 Hours")</f>
        <v>1-2 Hours</v>
      </c>
      <c r="K138" s="91">
        <f>ROUND(Call_Centre_Data[[#This Row],[Satisfaction Rating]],0)</f>
        <v>3</v>
      </c>
    </row>
    <row r="139" spans="1:11" x14ac:dyDescent="0.35">
      <c r="A139" s="56" t="s">
        <v>1144</v>
      </c>
      <c r="B139" s="57" t="s">
        <v>1040</v>
      </c>
      <c r="C139" s="87">
        <v>151</v>
      </c>
      <c r="D139" s="57" t="s">
        <v>1004</v>
      </c>
      <c r="E139" s="58">
        <v>44983</v>
      </c>
      <c r="F139" s="57">
        <v>46</v>
      </c>
      <c r="G139" s="59">
        <v>4.9000000000000004</v>
      </c>
      <c r="H139" s="57">
        <f>IF(MONTH(Call_Centre_Data[[#This Row],[Date of Call]])&lt;=6,YEAR(Call_Centre_Data[[#This Row],[Date of Call]]),YEAR(Call_Centre_Data[[#This Row],[Date of Call]])+1)</f>
        <v>2023</v>
      </c>
      <c r="I139" s="39" t="str">
        <f>TEXT(Call_Centre_Data[[#This Row],[Date of Call]],"DDDD")</f>
        <v>Sunday</v>
      </c>
      <c r="J139" s="39" t="str" cm="1">
        <f t="array" ref="J139">_xlfn.IFS(Call_Centre_Data[[#This Row],[Duration]]&lt;=10,"Under 10 Mins", Call_Centre_Data[[#This Row],[Duration]]&lt;=30,"10-30 Mins",Call_Centre_Data[[#This Row],[Duration]]&lt;=60,"30-60 Mins",Call_Centre_Data[[#This Row],[Duration]]&lt;=120,"1-2 Hours",TRUE,"More than 2 Hours")</f>
        <v>More than 2 Hours</v>
      </c>
      <c r="K139" s="91">
        <f>ROUND(Call_Centre_Data[[#This Row],[Satisfaction Rating]],0)</f>
        <v>5</v>
      </c>
    </row>
    <row r="140" spans="1:11" x14ac:dyDescent="0.35">
      <c r="A140" s="56" t="s">
        <v>1145</v>
      </c>
      <c r="B140" s="57" t="s">
        <v>1030</v>
      </c>
      <c r="C140" s="87">
        <v>102</v>
      </c>
      <c r="D140" s="57" t="s">
        <v>999</v>
      </c>
      <c r="E140" s="58">
        <v>44983</v>
      </c>
      <c r="F140" s="57">
        <v>165</v>
      </c>
      <c r="G140" s="59">
        <v>2.7</v>
      </c>
      <c r="H140" s="57">
        <f>IF(MONTH(Call_Centre_Data[[#This Row],[Date of Call]])&lt;=6,YEAR(Call_Centre_Data[[#This Row],[Date of Call]]),YEAR(Call_Centre_Data[[#This Row],[Date of Call]])+1)</f>
        <v>2023</v>
      </c>
      <c r="I140" s="39" t="str">
        <f>TEXT(Call_Centre_Data[[#This Row],[Date of Call]],"DDDD")</f>
        <v>Sunday</v>
      </c>
      <c r="J140" s="39" t="str" cm="1">
        <f t="array" ref="J140">_xlfn.IFS(Call_Centre_Data[[#This Row],[Duration]]&lt;=10,"Under 10 Mins", Call_Centre_Data[[#This Row],[Duration]]&lt;=30,"10-30 Mins",Call_Centre_Data[[#This Row],[Duration]]&lt;=60,"30-60 Mins",Call_Centre_Data[[#This Row],[Duration]]&lt;=120,"1-2 Hours",TRUE,"More than 2 Hours")</f>
        <v>1-2 Hours</v>
      </c>
      <c r="K140" s="91">
        <f>ROUND(Call_Centre_Data[[#This Row],[Satisfaction Rating]],0)</f>
        <v>3</v>
      </c>
    </row>
    <row r="141" spans="1:11" x14ac:dyDescent="0.35">
      <c r="A141" s="56" t="s">
        <v>1146</v>
      </c>
      <c r="B141" s="57" t="s">
        <v>1022</v>
      </c>
      <c r="C141" s="87">
        <v>64</v>
      </c>
      <c r="D141" s="57" t="s">
        <v>989</v>
      </c>
      <c r="E141" s="58">
        <v>44983</v>
      </c>
      <c r="F141" s="57">
        <v>84</v>
      </c>
      <c r="G141" s="59">
        <v>4.0999999999999996</v>
      </c>
      <c r="H141" s="57">
        <f>IF(MONTH(Call_Centre_Data[[#This Row],[Date of Call]])&lt;=6,YEAR(Call_Centre_Data[[#This Row],[Date of Call]]),YEAR(Call_Centre_Data[[#This Row],[Date of Call]])+1)</f>
        <v>2023</v>
      </c>
      <c r="I141" s="39" t="str">
        <f>TEXT(Call_Centre_Data[[#This Row],[Date of Call]],"DDDD")</f>
        <v>Sunday</v>
      </c>
      <c r="J141" s="39" t="str" cm="1">
        <f t="array" ref="J141">_xlfn.IFS(Call_Centre_Data[[#This Row],[Duration]]&lt;=10,"Under 10 Mins", Call_Centre_Data[[#This Row],[Duration]]&lt;=30,"10-30 Mins",Call_Centre_Data[[#This Row],[Duration]]&lt;=60,"30-60 Mins",Call_Centre_Data[[#This Row],[Duration]]&lt;=120,"1-2 Hours",TRUE,"More than 2 Hours")</f>
        <v>1-2 Hours</v>
      </c>
      <c r="K141" s="91">
        <f>ROUND(Call_Centre_Data[[#This Row],[Satisfaction Rating]],0)</f>
        <v>4</v>
      </c>
    </row>
    <row r="142" spans="1:11" x14ac:dyDescent="0.35">
      <c r="A142" s="56" t="s">
        <v>1147</v>
      </c>
      <c r="B142" s="57" t="s">
        <v>991</v>
      </c>
      <c r="C142" s="87">
        <v>6</v>
      </c>
      <c r="D142" s="57" t="s">
        <v>999</v>
      </c>
      <c r="E142" s="58">
        <v>44984</v>
      </c>
      <c r="F142" s="57">
        <v>102</v>
      </c>
      <c r="G142" s="59">
        <v>4.4000000000000004</v>
      </c>
      <c r="H142" s="57">
        <f>IF(MONTH(Call_Centre_Data[[#This Row],[Date of Call]])&lt;=6,YEAR(Call_Centre_Data[[#This Row],[Date of Call]]),YEAR(Call_Centre_Data[[#This Row],[Date of Call]])+1)</f>
        <v>2023</v>
      </c>
      <c r="I142" s="39" t="str">
        <f>TEXT(Call_Centre_Data[[#This Row],[Date of Call]],"DDDD")</f>
        <v>Monday</v>
      </c>
      <c r="J142" s="39" t="str" cm="1">
        <f t="array" ref="J142">_xlfn.IFS(Call_Centre_Data[[#This Row],[Duration]]&lt;=10,"Under 10 Mins", Call_Centre_Data[[#This Row],[Duration]]&lt;=30,"10-30 Mins",Call_Centre_Data[[#This Row],[Duration]]&lt;=60,"30-60 Mins",Call_Centre_Data[[#This Row],[Duration]]&lt;=120,"1-2 Hours",TRUE,"More than 2 Hours")</f>
        <v>Under 10 Mins</v>
      </c>
      <c r="K142" s="91">
        <f>ROUND(Call_Centre_Data[[#This Row],[Satisfaction Rating]],0)</f>
        <v>4</v>
      </c>
    </row>
    <row r="143" spans="1:11" x14ac:dyDescent="0.35">
      <c r="A143" s="56" t="s">
        <v>1148</v>
      </c>
      <c r="B143" s="57" t="s">
        <v>1022</v>
      </c>
      <c r="C143" s="87">
        <v>129</v>
      </c>
      <c r="D143" s="57" t="s">
        <v>989</v>
      </c>
      <c r="E143" s="58">
        <v>44984</v>
      </c>
      <c r="F143" s="57">
        <v>180</v>
      </c>
      <c r="G143" s="59">
        <v>4.8</v>
      </c>
      <c r="H143" s="57">
        <f>IF(MONTH(Call_Centre_Data[[#This Row],[Date of Call]])&lt;=6,YEAR(Call_Centre_Data[[#This Row],[Date of Call]]),YEAR(Call_Centre_Data[[#This Row],[Date of Call]])+1)</f>
        <v>2023</v>
      </c>
      <c r="I143" s="39" t="str">
        <f>TEXT(Call_Centre_Data[[#This Row],[Date of Call]],"DDDD")</f>
        <v>Monday</v>
      </c>
      <c r="J143" s="39" t="str" cm="1">
        <f t="array" ref="J143">_xlfn.IFS(Call_Centre_Data[[#This Row],[Duration]]&lt;=10,"Under 10 Mins", Call_Centre_Data[[#This Row],[Duration]]&lt;=30,"10-30 Mins",Call_Centre_Data[[#This Row],[Duration]]&lt;=60,"30-60 Mins",Call_Centre_Data[[#This Row],[Duration]]&lt;=120,"1-2 Hours",TRUE,"More than 2 Hours")</f>
        <v>More than 2 Hours</v>
      </c>
      <c r="K143" s="91">
        <f>ROUND(Call_Centre_Data[[#This Row],[Satisfaction Rating]],0)</f>
        <v>5</v>
      </c>
    </row>
    <row r="144" spans="1:11" x14ac:dyDescent="0.35">
      <c r="A144" s="56" t="s">
        <v>1149</v>
      </c>
      <c r="B144" s="57" t="s">
        <v>1019</v>
      </c>
      <c r="C144" s="87">
        <v>42</v>
      </c>
      <c r="D144" s="57" t="s">
        <v>1004</v>
      </c>
      <c r="E144" s="58">
        <v>44985</v>
      </c>
      <c r="F144" s="57">
        <v>111</v>
      </c>
      <c r="G144" s="59">
        <v>3</v>
      </c>
      <c r="H144" s="57">
        <f>IF(MONTH(Call_Centre_Data[[#This Row],[Date of Call]])&lt;=6,YEAR(Call_Centre_Data[[#This Row],[Date of Call]]),YEAR(Call_Centre_Data[[#This Row],[Date of Call]])+1)</f>
        <v>2023</v>
      </c>
      <c r="I144" s="39" t="str">
        <f>TEXT(Call_Centre_Data[[#This Row],[Date of Call]],"DDDD")</f>
        <v>Tuesday</v>
      </c>
      <c r="J144" s="39" t="str" cm="1">
        <f t="array" ref="J144">_xlfn.IFS(Call_Centre_Data[[#This Row],[Duration]]&lt;=10,"Under 10 Mins", Call_Centre_Data[[#This Row],[Duration]]&lt;=30,"10-30 Mins",Call_Centre_Data[[#This Row],[Duration]]&lt;=60,"30-60 Mins",Call_Centre_Data[[#This Row],[Duration]]&lt;=120,"1-2 Hours",TRUE,"More than 2 Hours")</f>
        <v>30-60 Mins</v>
      </c>
      <c r="K144" s="91">
        <f>ROUND(Call_Centre_Data[[#This Row],[Satisfaction Rating]],0)</f>
        <v>3</v>
      </c>
    </row>
    <row r="145" spans="1:11" x14ac:dyDescent="0.35">
      <c r="A145" s="56" t="s">
        <v>1150</v>
      </c>
      <c r="B145" s="57" t="s">
        <v>1019</v>
      </c>
      <c r="C145" s="87">
        <v>71</v>
      </c>
      <c r="D145" s="57" t="s">
        <v>1008</v>
      </c>
      <c r="E145" s="58">
        <v>44985</v>
      </c>
      <c r="F145" s="57">
        <v>104</v>
      </c>
      <c r="G145" s="59">
        <v>3.1</v>
      </c>
      <c r="H145" s="57">
        <f>IF(MONTH(Call_Centre_Data[[#This Row],[Date of Call]])&lt;=6,YEAR(Call_Centre_Data[[#This Row],[Date of Call]]),YEAR(Call_Centre_Data[[#This Row],[Date of Call]])+1)</f>
        <v>2023</v>
      </c>
      <c r="I145" s="39" t="str">
        <f>TEXT(Call_Centre_Data[[#This Row],[Date of Call]],"DDDD")</f>
        <v>Tuesday</v>
      </c>
      <c r="J145" s="39" t="str" cm="1">
        <f t="array" ref="J145">_xlfn.IFS(Call_Centre_Data[[#This Row],[Duration]]&lt;=10,"Under 10 Mins", Call_Centre_Data[[#This Row],[Duration]]&lt;=30,"10-30 Mins",Call_Centre_Data[[#This Row],[Duration]]&lt;=60,"30-60 Mins",Call_Centre_Data[[#This Row],[Duration]]&lt;=120,"1-2 Hours",TRUE,"More than 2 Hours")</f>
        <v>1-2 Hours</v>
      </c>
      <c r="K145" s="91">
        <f>ROUND(Call_Centre_Data[[#This Row],[Satisfaction Rating]],0)</f>
        <v>3</v>
      </c>
    </row>
    <row r="146" spans="1:11" x14ac:dyDescent="0.35">
      <c r="A146" s="56" t="s">
        <v>1151</v>
      </c>
      <c r="B146" s="57" t="s">
        <v>993</v>
      </c>
      <c r="C146" s="87">
        <v>53</v>
      </c>
      <c r="D146" s="57" t="s">
        <v>999</v>
      </c>
      <c r="E146" s="58">
        <v>44985</v>
      </c>
      <c r="F146" s="57">
        <v>80</v>
      </c>
      <c r="G146" s="59">
        <v>2.6</v>
      </c>
      <c r="H146" s="57">
        <f>IF(MONTH(Call_Centre_Data[[#This Row],[Date of Call]])&lt;=6,YEAR(Call_Centre_Data[[#This Row],[Date of Call]]),YEAR(Call_Centre_Data[[#This Row],[Date of Call]])+1)</f>
        <v>2023</v>
      </c>
      <c r="I146" s="39" t="str">
        <f>TEXT(Call_Centre_Data[[#This Row],[Date of Call]],"DDDD")</f>
        <v>Tuesday</v>
      </c>
      <c r="J146" s="39" t="str" cm="1">
        <f t="array" ref="J146">_xlfn.IFS(Call_Centre_Data[[#This Row],[Duration]]&lt;=10,"Under 10 Mins", Call_Centre_Data[[#This Row],[Duration]]&lt;=30,"10-30 Mins",Call_Centre_Data[[#This Row],[Duration]]&lt;=60,"30-60 Mins",Call_Centre_Data[[#This Row],[Duration]]&lt;=120,"1-2 Hours",TRUE,"More than 2 Hours")</f>
        <v>30-60 Mins</v>
      </c>
      <c r="K146" s="91">
        <f>ROUND(Call_Centre_Data[[#This Row],[Satisfaction Rating]],0)</f>
        <v>3</v>
      </c>
    </row>
    <row r="147" spans="1:11" x14ac:dyDescent="0.35">
      <c r="A147" s="56" t="s">
        <v>1152</v>
      </c>
      <c r="B147" s="57" t="s">
        <v>998</v>
      </c>
      <c r="C147" s="87">
        <v>155</v>
      </c>
      <c r="D147" s="57" t="s">
        <v>1008</v>
      </c>
      <c r="E147" s="58">
        <v>44986</v>
      </c>
      <c r="F147" s="57">
        <v>132</v>
      </c>
      <c r="G147" s="59">
        <v>4.5999999999999996</v>
      </c>
      <c r="H147" s="57">
        <f>IF(MONTH(Call_Centre_Data[[#This Row],[Date of Call]])&lt;=6,YEAR(Call_Centre_Data[[#This Row],[Date of Call]]),YEAR(Call_Centre_Data[[#This Row],[Date of Call]])+1)</f>
        <v>2023</v>
      </c>
      <c r="I147" s="39" t="str">
        <f>TEXT(Call_Centre_Data[[#This Row],[Date of Call]],"DDDD")</f>
        <v>Wednesday</v>
      </c>
      <c r="J147" s="39" t="str" cm="1">
        <f t="array" ref="J147">_xlfn.IFS(Call_Centre_Data[[#This Row],[Duration]]&lt;=10,"Under 10 Mins", Call_Centre_Data[[#This Row],[Duration]]&lt;=30,"10-30 Mins",Call_Centre_Data[[#This Row],[Duration]]&lt;=60,"30-60 Mins",Call_Centre_Data[[#This Row],[Duration]]&lt;=120,"1-2 Hours",TRUE,"More than 2 Hours")</f>
        <v>More than 2 Hours</v>
      </c>
      <c r="K147" s="91">
        <f>ROUND(Call_Centre_Data[[#This Row],[Satisfaction Rating]],0)</f>
        <v>5</v>
      </c>
    </row>
    <row r="148" spans="1:11" x14ac:dyDescent="0.35">
      <c r="A148" s="56" t="s">
        <v>1153</v>
      </c>
      <c r="B148" s="57" t="s">
        <v>998</v>
      </c>
      <c r="C148" s="87">
        <v>90</v>
      </c>
      <c r="D148" s="57" t="s">
        <v>1004</v>
      </c>
      <c r="E148" s="58">
        <v>44986</v>
      </c>
      <c r="F148" s="57">
        <v>170</v>
      </c>
      <c r="G148" s="59">
        <v>3.7</v>
      </c>
      <c r="H148" s="57">
        <f>IF(MONTH(Call_Centre_Data[[#This Row],[Date of Call]])&lt;=6,YEAR(Call_Centre_Data[[#This Row],[Date of Call]]),YEAR(Call_Centre_Data[[#This Row],[Date of Call]])+1)</f>
        <v>2023</v>
      </c>
      <c r="I148" s="39" t="str">
        <f>TEXT(Call_Centre_Data[[#This Row],[Date of Call]],"DDDD")</f>
        <v>Wednesday</v>
      </c>
      <c r="J148" s="39" t="str" cm="1">
        <f t="array" ref="J148">_xlfn.IFS(Call_Centre_Data[[#This Row],[Duration]]&lt;=10,"Under 10 Mins", Call_Centre_Data[[#This Row],[Duration]]&lt;=30,"10-30 Mins",Call_Centre_Data[[#This Row],[Duration]]&lt;=60,"30-60 Mins",Call_Centre_Data[[#This Row],[Duration]]&lt;=120,"1-2 Hours",TRUE,"More than 2 Hours")</f>
        <v>1-2 Hours</v>
      </c>
      <c r="K148" s="91">
        <f>ROUND(Call_Centre_Data[[#This Row],[Satisfaction Rating]],0)</f>
        <v>4</v>
      </c>
    </row>
    <row r="149" spans="1:11" x14ac:dyDescent="0.35">
      <c r="A149" s="56" t="s">
        <v>1154</v>
      </c>
      <c r="B149" s="57" t="s">
        <v>1022</v>
      </c>
      <c r="C149" s="87">
        <v>166</v>
      </c>
      <c r="D149" s="57" t="s">
        <v>994</v>
      </c>
      <c r="E149" s="58">
        <v>44986</v>
      </c>
      <c r="F149" s="57">
        <v>36</v>
      </c>
      <c r="G149" s="59">
        <v>3.8</v>
      </c>
      <c r="H149" s="57">
        <f>IF(MONTH(Call_Centre_Data[[#This Row],[Date of Call]])&lt;=6,YEAR(Call_Centre_Data[[#This Row],[Date of Call]]),YEAR(Call_Centre_Data[[#This Row],[Date of Call]])+1)</f>
        <v>2023</v>
      </c>
      <c r="I149" s="39" t="str">
        <f>TEXT(Call_Centre_Data[[#This Row],[Date of Call]],"DDDD")</f>
        <v>Wednesday</v>
      </c>
      <c r="J149" s="39" t="str" cm="1">
        <f t="array" ref="J149">_xlfn.IFS(Call_Centre_Data[[#This Row],[Duration]]&lt;=10,"Under 10 Mins", Call_Centre_Data[[#This Row],[Duration]]&lt;=30,"10-30 Mins",Call_Centre_Data[[#This Row],[Duration]]&lt;=60,"30-60 Mins",Call_Centre_Data[[#This Row],[Duration]]&lt;=120,"1-2 Hours",TRUE,"More than 2 Hours")</f>
        <v>More than 2 Hours</v>
      </c>
      <c r="K149" s="91">
        <f>ROUND(Call_Centre_Data[[#This Row],[Satisfaction Rating]],0)</f>
        <v>4</v>
      </c>
    </row>
    <row r="150" spans="1:11" x14ac:dyDescent="0.35">
      <c r="A150" s="56" t="s">
        <v>1155</v>
      </c>
      <c r="B150" s="57" t="s">
        <v>1013</v>
      </c>
      <c r="C150" s="87">
        <v>89</v>
      </c>
      <c r="D150" s="57" t="s">
        <v>1008</v>
      </c>
      <c r="E150" s="58">
        <v>44986</v>
      </c>
      <c r="F150" s="57">
        <v>126</v>
      </c>
      <c r="G150" s="59">
        <v>3.6</v>
      </c>
      <c r="H150" s="57">
        <f>IF(MONTH(Call_Centre_Data[[#This Row],[Date of Call]])&lt;=6,YEAR(Call_Centre_Data[[#This Row],[Date of Call]]),YEAR(Call_Centre_Data[[#This Row],[Date of Call]])+1)</f>
        <v>2023</v>
      </c>
      <c r="I150" s="39" t="str">
        <f>TEXT(Call_Centre_Data[[#This Row],[Date of Call]],"DDDD")</f>
        <v>Wednesday</v>
      </c>
      <c r="J150" s="39" t="str" cm="1">
        <f t="array" ref="J150">_xlfn.IFS(Call_Centre_Data[[#This Row],[Duration]]&lt;=10,"Under 10 Mins", Call_Centre_Data[[#This Row],[Duration]]&lt;=30,"10-30 Mins",Call_Centre_Data[[#This Row],[Duration]]&lt;=60,"30-60 Mins",Call_Centre_Data[[#This Row],[Duration]]&lt;=120,"1-2 Hours",TRUE,"More than 2 Hours")</f>
        <v>1-2 Hours</v>
      </c>
      <c r="K150" s="91">
        <f>ROUND(Call_Centre_Data[[#This Row],[Satisfaction Rating]],0)</f>
        <v>4</v>
      </c>
    </row>
    <row r="151" spans="1:11" x14ac:dyDescent="0.35">
      <c r="A151" s="56" t="s">
        <v>1156</v>
      </c>
      <c r="B151" s="57" t="s">
        <v>1027</v>
      </c>
      <c r="C151" s="87">
        <v>152</v>
      </c>
      <c r="D151" s="57" t="s">
        <v>999</v>
      </c>
      <c r="E151" s="58">
        <v>44986</v>
      </c>
      <c r="F151" s="57">
        <v>215</v>
      </c>
      <c r="G151" s="59">
        <v>4.4000000000000004</v>
      </c>
      <c r="H151" s="57">
        <f>IF(MONTH(Call_Centre_Data[[#This Row],[Date of Call]])&lt;=6,YEAR(Call_Centre_Data[[#This Row],[Date of Call]]),YEAR(Call_Centre_Data[[#This Row],[Date of Call]])+1)</f>
        <v>2023</v>
      </c>
      <c r="I151" s="39" t="str">
        <f>TEXT(Call_Centre_Data[[#This Row],[Date of Call]],"DDDD")</f>
        <v>Wednesday</v>
      </c>
      <c r="J151" s="39" t="str" cm="1">
        <f t="array" ref="J151">_xlfn.IFS(Call_Centre_Data[[#This Row],[Duration]]&lt;=10,"Under 10 Mins", Call_Centre_Data[[#This Row],[Duration]]&lt;=30,"10-30 Mins",Call_Centre_Data[[#This Row],[Duration]]&lt;=60,"30-60 Mins",Call_Centre_Data[[#This Row],[Duration]]&lt;=120,"1-2 Hours",TRUE,"More than 2 Hours")</f>
        <v>More than 2 Hours</v>
      </c>
      <c r="K151" s="91">
        <f>ROUND(Call_Centre_Data[[#This Row],[Satisfaction Rating]],0)</f>
        <v>4</v>
      </c>
    </row>
    <row r="152" spans="1:11" x14ac:dyDescent="0.35">
      <c r="A152" s="56" t="s">
        <v>1157</v>
      </c>
      <c r="B152" s="57" t="s">
        <v>1013</v>
      </c>
      <c r="C152" s="87">
        <v>137</v>
      </c>
      <c r="D152" s="57" t="s">
        <v>1004</v>
      </c>
      <c r="E152" s="58">
        <v>44986</v>
      </c>
      <c r="F152" s="57">
        <v>114</v>
      </c>
      <c r="G152" s="59">
        <v>3.2</v>
      </c>
      <c r="H152" s="57">
        <f>IF(MONTH(Call_Centre_Data[[#This Row],[Date of Call]])&lt;=6,YEAR(Call_Centre_Data[[#This Row],[Date of Call]]),YEAR(Call_Centre_Data[[#This Row],[Date of Call]])+1)</f>
        <v>2023</v>
      </c>
      <c r="I152" s="39" t="str">
        <f>TEXT(Call_Centre_Data[[#This Row],[Date of Call]],"DDDD")</f>
        <v>Wednesday</v>
      </c>
      <c r="J152" s="39" t="str" cm="1">
        <f t="array" ref="J152">_xlfn.IFS(Call_Centre_Data[[#This Row],[Duration]]&lt;=10,"Under 10 Mins", Call_Centre_Data[[#This Row],[Duration]]&lt;=30,"10-30 Mins",Call_Centre_Data[[#This Row],[Duration]]&lt;=60,"30-60 Mins",Call_Centre_Data[[#This Row],[Duration]]&lt;=120,"1-2 Hours",TRUE,"More than 2 Hours")</f>
        <v>More than 2 Hours</v>
      </c>
      <c r="K152" s="91">
        <f>ROUND(Call_Centre_Data[[#This Row],[Satisfaction Rating]],0)</f>
        <v>3</v>
      </c>
    </row>
    <row r="153" spans="1:11" x14ac:dyDescent="0.35">
      <c r="A153" s="56" t="s">
        <v>1158</v>
      </c>
      <c r="B153" s="57" t="s">
        <v>1013</v>
      </c>
      <c r="C153" s="87">
        <v>43</v>
      </c>
      <c r="D153" s="57" t="s">
        <v>1004</v>
      </c>
      <c r="E153" s="58">
        <v>44986</v>
      </c>
      <c r="F153" s="57">
        <v>99</v>
      </c>
      <c r="G153" s="59">
        <v>4.7</v>
      </c>
      <c r="H153" s="57">
        <f>IF(MONTH(Call_Centre_Data[[#This Row],[Date of Call]])&lt;=6,YEAR(Call_Centre_Data[[#This Row],[Date of Call]]),YEAR(Call_Centre_Data[[#This Row],[Date of Call]])+1)</f>
        <v>2023</v>
      </c>
      <c r="I153" s="39" t="str">
        <f>TEXT(Call_Centre_Data[[#This Row],[Date of Call]],"DDDD")</f>
        <v>Wednesday</v>
      </c>
      <c r="J153" s="39" t="str" cm="1">
        <f t="array" ref="J153">_xlfn.IFS(Call_Centre_Data[[#This Row],[Duration]]&lt;=10,"Under 10 Mins", Call_Centre_Data[[#This Row],[Duration]]&lt;=30,"10-30 Mins",Call_Centre_Data[[#This Row],[Duration]]&lt;=60,"30-60 Mins",Call_Centre_Data[[#This Row],[Duration]]&lt;=120,"1-2 Hours",TRUE,"More than 2 Hours")</f>
        <v>30-60 Mins</v>
      </c>
      <c r="K153" s="91">
        <f>ROUND(Call_Centre_Data[[#This Row],[Satisfaction Rating]],0)</f>
        <v>5</v>
      </c>
    </row>
    <row r="154" spans="1:11" x14ac:dyDescent="0.35">
      <c r="A154" s="56" t="s">
        <v>1159</v>
      </c>
      <c r="B154" s="57" t="s">
        <v>1007</v>
      </c>
      <c r="C154" s="87">
        <v>114</v>
      </c>
      <c r="D154" s="57" t="s">
        <v>1004</v>
      </c>
      <c r="E154" s="58">
        <v>44987</v>
      </c>
      <c r="F154" s="57">
        <v>23</v>
      </c>
      <c r="G154" s="59">
        <v>4.8</v>
      </c>
      <c r="H154" s="57">
        <f>IF(MONTH(Call_Centre_Data[[#This Row],[Date of Call]])&lt;=6,YEAR(Call_Centre_Data[[#This Row],[Date of Call]]),YEAR(Call_Centre_Data[[#This Row],[Date of Call]])+1)</f>
        <v>2023</v>
      </c>
      <c r="I154" s="39" t="str">
        <f>TEXT(Call_Centre_Data[[#This Row],[Date of Call]],"DDDD")</f>
        <v>Thursday</v>
      </c>
      <c r="J154" s="39" t="str" cm="1">
        <f t="array" ref="J154">_xlfn.IFS(Call_Centre_Data[[#This Row],[Duration]]&lt;=10,"Under 10 Mins", Call_Centre_Data[[#This Row],[Duration]]&lt;=30,"10-30 Mins",Call_Centre_Data[[#This Row],[Duration]]&lt;=60,"30-60 Mins",Call_Centre_Data[[#This Row],[Duration]]&lt;=120,"1-2 Hours",TRUE,"More than 2 Hours")</f>
        <v>1-2 Hours</v>
      </c>
      <c r="K154" s="91">
        <f>ROUND(Call_Centre_Data[[#This Row],[Satisfaction Rating]],0)</f>
        <v>5</v>
      </c>
    </row>
    <row r="155" spans="1:11" x14ac:dyDescent="0.35">
      <c r="A155" s="56" t="s">
        <v>1160</v>
      </c>
      <c r="B155" s="57" t="s">
        <v>996</v>
      </c>
      <c r="C155" s="87">
        <v>103</v>
      </c>
      <c r="D155" s="57" t="s">
        <v>1008</v>
      </c>
      <c r="E155" s="58">
        <v>44987</v>
      </c>
      <c r="F155" s="57">
        <v>75</v>
      </c>
      <c r="G155" s="59">
        <v>2.7</v>
      </c>
      <c r="H155" s="57">
        <f>IF(MONTH(Call_Centre_Data[[#This Row],[Date of Call]])&lt;=6,YEAR(Call_Centre_Data[[#This Row],[Date of Call]]),YEAR(Call_Centre_Data[[#This Row],[Date of Call]])+1)</f>
        <v>2023</v>
      </c>
      <c r="I155" s="39" t="str">
        <f>TEXT(Call_Centre_Data[[#This Row],[Date of Call]],"DDDD")</f>
        <v>Thursday</v>
      </c>
      <c r="J155" s="39" t="str" cm="1">
        <f t="array" ref="J155">_xlfn.IFS(Call_Centre_Data[[#This Row],[Duration]]&lt;=10,"Under 10 Mins", Call_Centre_Data[[#This Row],[Duration]]&lt;=30,"10-30 Mins",Call_Centre_Data[[#This Row],[Duration]]&lt;=60,"30-60 Mins",Call_Centre_Data[[#This Row],[Duration]]&lt;=120,"1-2 Hours",TRUE,"More than 2 Hours")</f>
        <v>1-2 Hours</v>
      </c>
      <c r="K155" s="91">
        <f>ROUND(Call_Centre_Data[[#This Row],[Satisfaction Rating]],0)</f>
        <v>3</v>
      </c>
    </row>
    <row r="156" spans="1:11" x14ac:dyDescent="0.35">
      <c r="A156" s="56" t="s">
        <v>1161</v>
      </c>
      <c r="B156" s="57" t="s">
        <v>1013</v>
      </c>
      <c r="C156" s="87">
        <v>98</v>
      </c>
      <c r="D156" s="57" t="s">
        <v>999</v>
      </c>
      <c r="E156" s="58">
        <v>44987</v>
      </c>
      <c r="F156" s="57">
        <v>100</v>
      </c>
      <c r="G156" s="59">
        <v>3.8</v>
      </c>
      <c r="H156" s="57">
        <f>IF(MONTH(Call_Centre_Data[[#This Row],[Date of Call]])&lt;=6,YEAR(Call_Centre_Data[[#This Row],[Date of Call]]),YEAR(Call_Centre_Data[[#This Row],[Date of Call]])+1)</f>
        <v>2023</v>
      </c>
      <c r="I156" s="39" t="str">
        <f>TEXT(Call_Centre_Data[[#This Row],[Date of Call]],"DDDD")</f>
        <v>Thursday</v>
      </c>
      <c r="J156" s="39" t="str" cm="1">
        <f t="array" ref="J156">_xlfn.IFS(Call_Centre_Data[[#This Row],[Duration]]&lt;=10,"Under 10 Mins", Call_Centre_Data[[#This Row],[Duration]]&lt;=30,"10-30 Mins",Call_Centre_Data[[#This Row],[Duration]]&lt;=60,"30-60 Mins",Call_Centre_Data[[#This Row],[Duration]]&lt;=120,"1-2 Hours",TRUE,"More than 2 Hours")</f>
        <v>1-2 Hours</v>
      </c>
      <c r="K156" s="91">
        <f>ROUND(Call_Centre_Data[[#This Row],[Satisfaction Rating]],0)</f>
        <v>4</v>
      </c>
    </row>
    <row r="157" spans="1:11" x14ac:dyDescent="0.35">
      <c r="A157" s="56" t="s">
        <v>1162</v>
      </c>
      <c r="B157" s="57" t="s">
        <v>1022</v>
      </c>
      <c r="C157" s="87">
        <v>106</v>
      </c>
      <c r="D157" s="57" t="s">
        <v>994</v>
      </c>
      <c r="E157" s="58">
        <v>44987</v>
      </c>
      <c r="F157" s="57">
        <v>108</v>
      </c>
      <c r="G157" s="59">
        <v>4.3</v>
      </c>
      <c r="H157" s="57">
        <f>IF(MONTH(Call_Centre_Data[[#This Row],[Date of Call]])&lt;=6,YEAR(Call_Centre_Data[[#This Row],[Date of Call]]),YEAR(Call_Centre_Data[[#This Row],[Date of Call]])+1)</f>
        <v>2023</v>
      </c>
      <c r="I157" s="39" t="str">
        <f>TEXT(Call_Centre_Data[[#This Row],[Date of Call]],"DDDD")</f>
        <v>Thursday</v>
      </c>
      <c r="J157" s="39" t="str" cm="1">
        <f t="array" ref="J157">_xlfn.IFS(Call_Centre_Data[[#This Row],[Duration]]&lt;=10,"Under 10 Mins", Call_Centre_Data[[#This Row],[Duration]]&lt;=30,"10-30 Mins",Call_Centre_Data[[#This Row],[Duration]]&lt;=60,"30-60 Mins",Call_Centre_Data[[#This Row],[Duration]]&lt;=120,"1-2 Hours",TRUE,"More than 2 Hours")</f>
        <v>1-2 Hours</v>
      </c>
      <c r="K157" s="91">
        <f>ROUND(Call_Centre_Data[[#This Row],[Satisfaction Rating]],0)</f>
        <v>4</v>
      </c>
    </row>
    <row r="158" spans="1:11" x14ac:dyDescent="0.35">
      <c r="A158" s="56" t="s">
        <v>1163</v>
      </c>
      <c r="B158" s="57" t="s">
        <v>991</v>
      </c>
      <c r="C158" s="87">
        <v>96</v>
      </c>
      <c r="D158" s="57" t="s">
        <v>994</v>
      </c>
      <c r="E158" s="58">
        <v>44987</v>
      </c>
      <c r="F158" s="57">
        <v>108</v>
      </c>
      <c r="G158" s="59">
        <v>5</v>
      </c>
      <c r="H158" s="57">
        <f>IF(MONTH(Call_Centre_Data[[#This Row],[Date of Call]])&lt;=6,YEAR(Call_Centre_Data[[#This Row],[Date of Call]]),YEAR(Call_Centre_Data[[#This Row],[Date of Call]])+1)</f>
        <v>2023</v>
      </c>
      <c r="I158" s="39" t="str">
        <f>TEXT(Call_Centre_Data[[#This Row],[Date of Call]],"DDDD")</f>
        <v>Thursday</v>
      </c>
      <c r="J158" s="39" t="str" cm="1">
        <f t="array" ref="J158">_xlfn.IFS(Call_Centre_Data[[#This Row],[Duration]]&lt;=10,"Under 10 Mins", Call_Centre_Data[[#This Row],[Duration]]&lt;=30,"10-30 Mins",Call_Centre_Data[[#This Row],[Duration]]&lt;=60,"30-60 Mins",Call_Centre_Data[[#This Row],[Duration]]&lt;=120,"1-2 Hours",TRUE,"More than 2 Hours")</f>
        <v>1-2 Hours</v>
      </c>
      <c r="K158" s="91">
        <f>ROUND(Call_Centre_Data[[#This Row],[Satisfaction Rating]],0)</f>
        <v>5</v>
      </c>
    </row>
    <row r="159" spans="1:11" x14ac:dyDescent="0.35">
      <c r="A159" s="56" t="s">
        <v>1164</v>
      </c>
      <c r="B159" s="57" t="s">
        <v>996</v>
      </c>
      <c r="C159" s="87">
        <v>70</v>
      </c>
      <c r="D159" s="57" t="s">
        <v>994</v>
      </c>
      <c r="E159" s="58">
        <v>44987</v>
      </c>
      <c r="F159" s="57">
        <v>28</v>
      </c>
      <c r="G159" s="59">
        <v>4.8</v>
      </c>
      <c r="H159" s="57">
        <f>IF(MONTH(Call_Centre_Data[[#This Row],[Date of Call]])&lt;=6,YEAR(Call_Centre_Data[[#This Row],[Date of Call]]),YEAR(Call_Centre_Data[[#This Row],[Date of Call]])+1)</f>
        <v>2023</v>
      </c>
      <c r="I159" s="39" t="str">
        <f>TEXT(Call_Centre_Data[[#This Row],[Date of Call]],"DDDD")</f>
        <v>Thursday</v>
      </c>
      <c r="J159" s="39" t="str" cm="1">
        <f t="array" ref="J159">_xlfn.IFS(Call_Centre_Data[[#This Row],[Duration]]&lt;=10,"Under 10 Mins", Call_Centre_Data[[#This Row],[Duration]]&lt;=30,"10-30 Mins",Call_Centre_Data[[#This Row],[Duration]]&lt;=60,"30-60 Mins",Call_Centre_Data[[#This Row],[Duration]]&lt;=120,"1-2 Hours",TRUE,"More than 2 Hours")</f>
        <v>1-2 Hours</v>
      </c>
      <c r="K159" s="91">
        <f>ROUND(Call_Centre_Data[[#This Row],[Satisfaction Rating]],0)</f>
        <v>5</v>
      </c>
    </row>
    <row r="160" spans="1:11" x14ac:dyDescent="0.35">
      <c r="A160" s="56" t="s">
        <v>1165</v>
      </c>
      <c r="B160" s="57" t="s">
        <v>1019</v>
      </c>
      <c r="C160" s="87">
        <v>86</v>
      </c>
      <c r="D160" s="57" t="s">
        <v>989</v>
      </c>
      <c r="E160" s="58">
        <v>44988</v>
      </c>
      <c r="F160" s="57">
        <v>70</v>
      </c>
      <c r="G160" s="59">
        <v>4.9000000000000004</v>
      </c>
      <c r="H160" s="57">
        <f>IF(MONTH(Call_Centre_Data[[#This Row],[Date of Call]])&lt;=6,YEAR(Call_Centre_Data[[#This Row],[Date of Call]]),YEAR(Call_Centre_Data[[#This Row],[Date of Call]])+1)</f>
        <v>2023</v>
      </c>
      <c r="I160" s="39" t="str">
        <f>TEXT(Call_Centre_Data[[#This Row],[Date of Call]],"DDDD")</f>
        <v>Friday</v>
      </c>
      <c r="J160" s="39" t="str" cm="1">
        <f t="array" ref="J160">_xlfn.IFS(Call_Centre_Data[[#This Row],[Duration]]&lt;=10,"Under 10 Mins", Call_Centre_Data[[#This Row],[Duration]]&lt;=30,"10-30 Mins",Call_Centre_Data[[#This Row],[Duration]]&lt;=60,"30-60 Mins",Call_Centre_Data[[#This Row],[Duration]]&lt;=120,"1-2 Hours",TRUE,"More than 2 Hours")</f>
        <v>1-2 Hours</v>
      </c>
      <c r="K160" s="91">
        <f>ROUND(Call_Centre_Data[[#This Row],[Satisfaction Rating]],0)</f>
        <v>5</v>
      </c>
    </row>
    <row r="161" spans="1:11" x14ac:dyDescent="0.35">
      <c r="A161" s="56" t="s">
        <v>1166</v>
      </c>
      <c r="B161" s="57" t="s">
        <v>993</v>
      </c>
      <c r="C161" s="87">
        <v>64</v>
      </c>
      <c r="D161" s="57" t="s">
        <v>989</v>
      </c>
      <c r="E161" s="58">
        <v>44988</v>
      </c>
      <c r="F161" s="57">
        <v>172</v>
      </c>
      <c r="G161" s="59">
        <v>4.0999999999999996</v>
      </c>
      <c r="H161" s="57">
        <f>IF(MONTH(Call_Centre_Data[[#This Row],[Date of Call]])&lt;=6,YEAR(Call_Centre_Data[[#This Row],[Date of Call]]),YEAR(Call_Centre_Data[[#This Row],[Date of Call]])+1)</f>
        <v>2023</v>
      </c>
      <c r="I161" s="39" t="str">
        <f>TEXT(Call_Centre_Data[[#This Row],[Date of Call]],"DDDD")</f>
        <v>Friday</v>
      </c>
      <c r="J161" s="39" t="str" cm="1">
        <f t="array" ref="J161">_xlfn.IFS(Call_Centre_Data[[#This Row],[Duration]]&lt;=10,"Under 10 Mins", Call_Centre_Data[[#This Row],[Duration]]&lt;=30,"10-30 Mins",Call_Centre_Data[[#This Row],[Duration]]&lt;=60,"30-60 Mins",Call_Centre_Data[[#This Row],[Duration]]&lt;=120,"1-2 Hours",TRUE,"More than 2 Hours")</f>
        <v>1-2 Hours</v>
      </c>
      <c r="K161" s="91">
        <f>ROUND(Call_Centre_Data[[#This Row],[Satisfaction Rating]],0)</f>
        <v>4</v>
      </c>
    </row>
    <row r="162" spans="1:11" x14ac:dyDescent="0.35">
      <c r="A162" s="56" t="s">
        <v>1167</v>
      </c>
      <c r="B162" s="57" t="s">
        <v>991</v>
      </c>
      <c r="C162" s="87">
        <v>113</v>
      </c>
      <c r="D162" s="57" t="s">
        <v>999</v>
      </c>
      <c r="E162" s="58">
        <v>44988</v>
      </c>
      <c r="F162" s="57">
        <v>123</v>
      </c>
      <c r="G162" s="59">
        <v>4.4000000000000004</v>
      </c>
      <c r="H162" s="57">
        <f>IF(MONTH(Call_Centre_Data[[#This Row],[Date of Call]])&lt;=6,YEAR(Call_Centre_Data[[#This Row],[Date of Call]]),YEAR(Call_Centre_Data[[#This Row],[Date of Call]])+1)</f>
        <v>2023</v>
      </c>
      <c r="I162" s="39" t="str">
        <f>TEXT(Call_Centre_Data[[#This Row],[Date of Call]],"DDDD")</f>
        <v>Friday</v>
      </c>
      <c r="J162" s="39" t="str" cm="1">
        <f t="array" ref="J162">_xlfn.IFS(Call_Centre_Data[[#This Row],[Duration]]&lt;=10,"Under 10 Mins", Call_Centre_Data[[#This Row],[Duration]]&lt;=30,"10-30 Mins",Call_Centre_Data[[#This Row],[Duration]]&lt;=60,"30-60 Mins",Call_Centre_Data[[#This Row],[Duration]]&lt;=120,"1-2 Hours",TRUE,"More than 2 Hours")</f>
        <v>1-2 Hours</v>
      </c>
      <c r="K162" s="91">
        <f>ROUND(Call_Centre_Data[[#This Row],[Satisfaction Rating]],0)</f>
        <v>4</v>
      </c>
    </row>
    <row r="163" spans="1:11" x14ac:dyDescent="0.35">
      <c r="A163" s="56" t="s">
        <v>1168</v>
      </c>
      <c r="B163" s="57" t="s">
        <v>991</v>
      </c>
      <c r="C163" s="87">
        <v>21</v>
      </c>
      <c r="D163" s="57" t="s">
        <v>994</v>
      </c>
      <c r="E163" s="58">
        <v>44988</v>
      </c>
      <c r="F163" s="57">
        <v>93</v>
      </c>
      <c r="G163" s="59">
        <v>3.4</v>
      </c>
      <c r="H163" s="57">
        <f>IF(MONTH(Call_Centre_Data[[#This Row],[Date of Call]])&lt;=6,YEAR(Call_Centre_Data[[#This Row],[Date of Call]]),YEAR(Call_Centre_Data[[#This Row],[Date of Call]])+1)</f>
        <v>2023</v>
      </c>
      <c r="I163" s="39" t="str">
        <f>TEXT(Call_Centre_Data[[#This Row],[Date of Call]],"DDDD")</f>
        <v>Friday</v>
      </c>
      <c r="J163" s="39" t="str" cm="1">
        <f t="array" ref="J163">_xlfn.IFS(Call_Centre_Data[[#This Row],[Duration]]&lt;=10,"Under 10 Mins", Call_Centre_Data[[#This Row],[Duration]]&lt;=30,"10-30 Mins",Call_Centre_Data[[#This Row],[Duration]]&lt;=60,"30-60 Mins",Call_Centre_Data[[#This Row],[Duration]]&lt;=120,"1-2 Hours",TRUE,"More than 2 Hours")</f>
        <v>10-30 Mins</v>
      </c>
      <c r="K163" s="91">
        <f>ROUND(Call_Centre_Data[[#This Row],[Satisfaction Rating]],0)</f>
        <v>3</v>
      </c>
    </row>
    <row r="164" spans="1:11" x14ac:dyDescent="0.35">
      <c r="A164" s="56" t="s">
        <v>1169</v>
      </c>
      <c r="B164" s="57" t="s">
        <v>1030</v>
      </c>
      <c r="C164" s="87">
        <v>107</v>
      </c>
      <c r="D164" s="57" t="s">
        <v>989</v>
      </c>
      <c r="E164" s="58">
        <v>44988</v>
      </c>
      <c r="F164" s="57">
        <v>66</v>
      </c>
      <c r="G164" s="59">
        <v>4</v>
      </c>
      <c r="H164" s="57">
        <f>IF(MONTH(Call_Centre_Data[[#This Row],[Date of Call]])&lt;=6,YEAR(Call_Centre_Data[[#This Row],[Date of Call]]),YEAR(Call_Centre_Data[[#This Row],[Date of Call]])+1)</f>
        <v>2023</v>
      </c>
      <c r="I164" s="39" t="str">
        <f>TEXT(Call_Centre_Data[[#This Row],[Date of Call]],"DDDD")</f>
        <v>Friday</v>
      </c>
      <c r="J164" s="39" t="str" cm="1">
        <f t="array" ref="J164">_xlfn.IFS(Call_Centre_Data[[#This Row],[Duration]]&lt;=10,"Under 10 Mins", Call_Centre_Data[[#This Row],[Duration]]&lt;=30,"10-30 Mins",Call_Centre_Data[[#This Row],[Duration]]&lt;=60,"30-60 Mins",Call_Centre_Data[[#This Row],[Duration]]&lt;=120,"1-2 Hours",TRUE,"More than 2 Hours")</f>
        <v>1-2 Hours</v>
      </c>
      <c r="K164" s="91">
        <f>ROUND(Call_Centre_Data[[#This Row],[Satisfaction Rating]],0)</f>
        <v>4</v>
      </c>
    </row>
    <row r="165" spans="1:11" x14ac:dyDescent="0.35">
      <c r="A165" s="56" t="s">
        <v>1170</v>
      </c>
      <c r="B165" s="57" t="s">
        <v>1030</v>
      </c>
      <c r="C165" s="87">
        <v>131</v>
      </c>
      <c r="D165" s="57" t="s">
        <v>994</v>
      </c>
      <c r="E165" s="58">
        <v>44988</v>
      </c>
      <c r="F165" s="57">
        <v>39</v>
      </c>
      <c r="G165" s="59">
        <v>2.4</v>
      </c>
      <c r="H165" s="57">
        <f>IF(MONTH(Call_Centre_Data[[#This Row],[Date of Call]])&lt;=6,YEAR(Call_Centre_Data[[#This Row],[Date of Call]]),YEAR(Call_Centre_Data[[#This Row],[Date of Call]])+1)</f>
        <v>2023</v>
      </c>
      <c r="I165" s="39" t="str">
        <f>TEXT(Call_Centre_Data[[#This Row],[Date of Call]],"DDDD")</f>
        <v>Friday</v>
      </c>
      <c r="J165" s="39" t="str" cm="1">
        <f t="array" ref="J165">_xlfn.IFS(Call_Centre_Data[[#This Row],[Duration]]&lt;=10,"Under 10 Mins", Call_Centre_Data[[#This Row],[Duration]]&lt;=30,"10-30 Mins",Call_Centre_Data[[#This Row],[Duration]]&lt;=60,"30-60 Mins",Call_Centre_Data[[#This Row],[Duration]]&lt;=120,"1-2 Hours",TRUE,"More than 2 Hours")</f>
        <v>More than 2 Hours</v>
      </c>
      <c r="K165" s="91">
        <f>ROUND(Call_Centre_Data[[#This Row],[Satisfaction Rating]],0)</f>
        <v>2</v>
      </c>
    </row>
    <row r="166" spans="1:11" x14ac:dyDescent="0.35">
      <c r="A166" s="56" t="s">
        <v>1171</v>
      </c>
      <c r="B166" s="57" t="s">
        <v>988</v>
      </c>
      <c r="C166" s="87">
        <v>11</v>
      </c>
      <c r="D166" s="57" t="s">
        <v>1008</v>
      </c>
      <c r="E166" s="58">
        <v>44988</v>
      </c>
      <c r="F166" s="57">
        <v>25</v>
      </c>
      <c r="G166" s="59">
        <v>2.1</v>
      </c>
      <c r="H166" s="57">
        <f>IF(MONTH(Call_Centre_Data[[#This Row],[Date of Call]])&lt;=6,YEAR(Call_Centre_Data[[#This Row],[Date of Call]]),YEAR(Call_Centre_Data[[#This Row],[Date of Call]])+1)</f>
        <v>2023</v>
      </c>
      <c r="I166" s="39" t="str">
        <f>TEXT(Call_Centre_Data[[#This Row],[Date of Call]],"DDDD")</f>
        <v>Friday</v>
      </c>
      <c r="J166" s="39" t="str" cm="1">
        <f t="array" ref="J166">_xlfn.IFS(Call_Centre_Data[[#This Row],[Duration]]&lt;=10,"Under 10 Mins", Call_Centre_Data[[#This Row],[Duration]]&lt;=30,"10-30 Mins",Call_Centre_Data[[#This Row],[Duration]]&lt;=60,"30-60 Mins",Call_Centre_Data[[#This Row],[Duration]]&lt;=120,"1-2 Hours",TRUE,"More than 2 Hours")</f>
        <v>10-30 Mins</v>
      </c>
      <c r="K166" s="91">
        <f>ROUND(Call_Centre_Data[[#This Row],[Satisfaction Rating]],0)</f>
        <v>2</v>
      </c>
    </row>
    <row r="167" spans="1:11" x14ac:dyDescent="0.35">
      <c r="A167" s="56" t="s">
        <v>1172</v>
      </c>
      <c r="B167" s="57" t="s">
        <v>1040</v>
      </c>
      <c r="C167" s="87">
        <v>86</v>
      </c>
      <c r="D167" s="57" t="s">
        <v>999</v>
      </c>
      <c r="E167" s="58">
        <v>44988</v>
      </c>
      <c r="F167" s="57">
        <v>68</v>
      </c>
      <c r="G167" s="59">
        <v>3</v>
      </c>
      <c r="H167" s="57">
        <f>IF(MONTH(Call_Centre_Data[[#This Row],[Date of Call]])&lt;=6,YEAR(Call_Centre_Data[[#This Row],[Date of Call]]),YEAR(Call_Centre_Data[[#This Row],[Date of Call]])+1)</f>
        <v>2023</v>
      </c>
      <c r="I167" s="39" t="str">
        <f>TEXT(Call_Centre_Data[[#This Row],[Date of Call]],"DDDD")</f>
        <v>Friday</v>
      </c>
      <c r="J167" s="39" t="str" cm="1">
        <f t="array" ref="J167">_xlfn.IFS(Call_Centre_Data[[#This Row],[Duration]]&lt;=10,"Under 10 Mins", Call_Centre_Data[[#This Row],[Duration]]&lt;=30,"10-30 Mins",Call_Centre_Data[[#This Row],[Duration]]&lt;=60,"30-60 Mins",Call_Centre_Data[[#This Row],[Duration]]&lt;=120,"1-2 Hours",TRUE,"More than 2 Hours")</f>
        <v>1-2 Hours</v>
      </c>
      <c r="K167" s="91">
        <f>ROUND(Call_Centre_Data[[#This Row],[Satisfaction Rating]],0)</f>
        <v>3</v>
      </c>
    </row>
    <row r="168" spans="1:11" x14ac:dyDescent="0.35">
      <c r="A168" s="56" t="s">
        <v>1173</v>
      </c>
      <c r="B168" s="57" t="s">
        <v>993</v>
      </c>
      <c r="C168" s="87">
        <v>28</v>
      </c>
      <c r="D168" s="57" t="s">
        <v>1008</v>
      </c>
      <c r="E168" s="58">
        <v>44988</v>
      </c>
      <c r="F168" s="57">
        <v>84</v>
      </c>
      <c r="G168" s="59">
        <v>3.2</v>
      </c>
      <c r="H168" s="57">
        <f>IF(MONTH(Call_Centre_Data[[#This Row],[Date of Call]])&lt;=6,YEAR(Call_Centre_Data[[#This Row],[Date of Call]]),YEAR(Call_Centre_Data[[#This Row],[Date of Call]])+1)</f>
        <v>2023</v>
      </c>
      <c r="I168" s="39" t="str">
        <f>TEXT(Call_Centre_Data[[#This Row],[Date of Call]],"DDDD")</f>
        <v>Friday</v>
      </c>
      <c r="J168" s="39" t="str" cm="1">
        <f t="array" ref="J168">_xlfn.IFS(Call_Centre_Data[[#This Row],[Duration]]&lt;=10,"Under 10 Mins", Call_Centre_Data[[#This Row],[Duration]]&lt;=30,"10-30 Mins",Call_Centre_Data[[#This Row],[Duration]]&lt;=60,"30-60 Mins",Call_Centre_Data[[#This Row],[Duration]]&lt;=120,"1-2 Hours",TRUE,"More than 2 Hours")</f>
        <v>10-30 Mins</v>
      </c>
      <c r="K168" s="91">
        <f>ROUND(Call_Centre_Data[[#This Row],[Satisfaction Rating]],0)</f>
        <v>3</v>
      </c>
    </row>
    <row r="169" spans="1:11" x14ac:dyDescent="0.35">
      <c r="A169" s="56" t="s">
        <v>1174</v>
      </c>
      <c r="B169" s="57" t="s">
        <v>998</v>
      </c>
      <c r="C169" s="87">
        <v>139</v>
      </c>
      <c r="D169" s="57" t="s">
        <v>994</v>
      </c>
      <c r="E169" s="58">
        <v>44989</v>
      </c>
      <c r="F169" s="57">
        <v>88</v>
      </c>
      <c r="G169" s="59">
        <v>3.4</v>
      </c>
      <c r="H169" s="57">
        <f>IF(MONTH(Call_Centre_Data[[#This Row],[Date of Call]])&lt;=6,YEAR(Call_Centre_Data[[#This Row],[Date of Call]]),YEAR(Call_Centre_Data[[#This Row],[Date of Call]])+1)</f>
        <v>2023</v>
      </c>
      <c r="I169" s="39" t="str">
        <f>TEXT(Call_Centre_Data[[#This Row],[Date of Call]],"DDDD")</f>
        <v>Saturday</v>
      </c>
      <c r="J169" s="39" t="str" cm="1">
        <f t="array" ref="J169">_xlfn.IFS(Call_Centre_Data[[#This Row],[Duration]]&lt;=10,"Under 10 Mins", Call_Centre_Data[[#This Row],[Duration]]&lt;=30,"10-30 Mins",Call_Centre_Data[[#This Row],[Duration]]&lt;=60,"30-60 Mins",Call_Centre_Data[[#This Row],[Duration]]&lt;=120,"1-2 Hours",TRUE,"More than 2 Hours")</f>
        <v>More than 2 Hours</v>
      </c>
      <c r="K169" s="91">
        <f>ROUND(Call_Centre_Data[[#This Row],[Satisfaction Rating]],0)</f>
        <v>3</v>
      </c>
    </row>
    <row r="170" spans="1:11" x14ac:dyDescent="0.35">
      <c r="A170" s="56" t="s">
        <v>1175</v>
      </c>
      <c r="B170" s="57" t="s">
        <v>1022</v>
      </c>
      <c r="C170" s="87">
        <v>82</v>
      </c>
      <c r="D170" s="57" t="s">
        <v>999</v>
      </c>
      <c r="E170" s="58">
        <v>44989</v>
      </c>
      <c r="F170" s="57">
        <v>93</v>
      </c>
      <c r="G170" s="59">
        <v>2.7</v>
      </c>
      <c r="H170" s="57">
        <f>IF(MONTH(Call_Centre_Data[[#This Row],[Date of Call]])&lt;=6,YEAR(Call_Centre_Data[[#This Row],[Date of Call]]),YEAR(Call_Centre_Data[[#This Row],[Date of Call]])+1)</f>
        <v>2023</v>
      </c>
      <c r="I170" s="39" t="str">
        <f>TEXT(Call_Centre_Data[[#This Row],[Date of Call]],"DDDD")</f>
        <v>Saturday</v>
      </c>
      <c r="J170" s="39" t="str" cm="1">
        <f t="array" ref="J170">_xlfn.IFS(Call_Centre_Data[[#This Row],[Duration]]&lt;=10,"Under 10 Mins", Call_Centre_Data[[#This Row],[Duration]]&lt;=30,"10-30 Mins",Call_Centre_Data[[#This Row],[Duration]]&lt;=60,"30-60 Mins",Call_Centre_Data[[#This Row],[Duration]]&lt;=120,"1-2 Hours",TRUE,"More than 2 Hours")</f>
        <v>1-2 Hours</v>
      </c>
      <c r="K170" s="91">
        <f>ROUND(Call_Centre_Data[[#This Row],[Satisfaction Rating]],0)</f>
        <v>3</v>
      </c>
    </row>
    <row r="171" spans="1:11" x14ac:dyDescent="0.35">
      <c r="A171" s="56" t="s">
        <v>1176</v>
      </c>
      <c r="B171" s="57" t="s">
        <v>991</v>
      </c>
      <c r="C171" s="87">
        <v>101</v>
      </c>
      <c r="D171" s="57" t="s">
        <v>1008</v>
      </c>
      <c r="E171" s="58">
        <v>44989</v>
      </c>
      <c r="F171" s="57">
        <v>128</v>
      </c>
      <c r="G171" s="59">
        <v>5</v>
      </c>
      <c r="H171" s="57">
        <f>IF(MONTH(Call_Centre_Data[[#This Row],[Date of Call]])&lt;=6,YEAR(Call_Centre_Data[[#This Row],[Date of Call]]),YEAR(Call_Centre_Data[[#This Row],[Date of Call]])+1)</f>
        <v>2023</v>
      </c>
      <c r="I171" s="39" t="str">
        <f>TEXT(Call_Centre_Data[[#This Row],[Date of Call]],"DDDD")</f>
        <v>Saturday</v>
      </c>
      <c r="J171" s="39" t="str" cm="1">
        <f t="array" ref="J171">_xlfn.IFS(Call_Centre_Data[[#This Row],[Duration]]&lt;=10,"Under 10 Mins", Call_Centre_Data[[#This Row],[Duration]]&lt;=30,"10-30 Mins",Call_Centre_Data[[#This Row],[Duration]]&lt;=60,"30-60 Mins",Call_Centre_Data[[#This Row],[Duration]]&lt;=120,"1-2 Hours",TRUE,"More than 2 Hours")</f>
        <v>1-2 Hours</v>
      </c>
      <c r="K171" s="91">
        <f>ROUND(Call_Centre_Data[[#This Row],[Satisfaction Rating]],0)</f>
        <v>5</v>
      </c>
    </row>
    <row r="172" spans="1:11" x14ac:dyDescent="0.35">
      <c r="A172" s="56" t="s">
        <v>1177</v>
      </c>
      <c r="B172" s="57" t="s">
        <v>993</v>
      </c>
      <c r="C172" s="87">
        <v>75</v>
      </c>
      <c r="D172" s="57" t="s">
        <v>1004</v>
      </c>
      <c r="E172" s="58">
        <v>44989</v>
      </c>
      <c r="F172" s="57">
        <v>40</v>
      </c>
      <c r="G172" s="59">
        <v>3.4</v>
      </c>
      <c r="H172" s="57">
        <f>IF(MONTH(Call_Centre_Data[[#This Row],[Date of Call]])&lt;=6,YEAR(Call_Centre_Data[[#This Row],[Date of Call]]),YEAR(Call_Centre_Data[[#This Row],[Date of Call]])+1)</f>
        <v>2023</v>
      </c>
      <c r="I172" s="39" t="str">
        <f>TEXT(Call_Centre_Data[[#This Row],[Date of Call]],"DDDD")</f>
        <v>Saturday</v>
      </c>
      <c r="J172" s="39" t="str" cm="1">
        <f t="array" ref="J172">_xlfn.IFS(Call_Centre_Data[[#This Row],[Duration]]&lt;=10,"Under 10 Mins", Call_Centre_Data[[#This Row],[Duration]]&lt;=30,"10-30 Mins",Call_Centre_Data[[#This Row],[Duration]]&lt;=60,"30-60 Mins",Call_Centre_Data[[#This Row],[Duration]]&lt;=120,"1-2 Hours",TRUE,"More than 2 Hours")</f>
        <v>1-2 Hours</v>
      </c>
      <c r="K172" s="91">
        <f>ROUND(Call_Centre_Data[[#This Row],[Satisfaction Rating]],0)</f>
        <v>3</v>
      </c>
    </row>
    <row r="173" spans="1:11" x14ac:dyDescent="0.35">
      <c r="A173" s="56" t="s">
        <v>1178</v>
      </c>
      <c r="B173" s="57" t="s">
        <v>1007</v>
      </c>
      <c r="C173" s="87">
        <v>40</v>
      </c>
      <c r="D173" s="57" t="s">
        <v>1008</v>
      </c>
      <c r="E173" s="58">
        <v>44990</v>
      </c>
      <c r="F173" s="57">
        <v>92</v>
      </c>
      <c r="G173" s="59">
        <v>4.7</v>
      </c>
      <c r="H173" s="57">
        <f>IF(MONTH(Call_Centre_Data[[#This Row],[Date of Call]])&lt;=6,YEAR(Call_Centre_Data[[#This Row],[Date of Call]]),YEAR(Call_Centre_Data[[#This Row],[Date of Call]])+1)</f>
        <v>2023</v>
      </c>
      <c r="I173" s="39" t="str">
        <f>TEXT(Call_Centre_Data[[#This Row],[Date of Call]],"DDDD")</f>
        <v>Sunday</v>
      </c>
      <c r="J173" s="39" t="str" cm="1">
        <f t="array" ref="J173">_xlfn.IFS(Call_Centre_Data[[#This Row],[Duration]]&lt;=10,"Under 10 Mins", Call_Centre_Data[[#This Row],[Duration]]&lt;=30,"10-30 Mins",Call_Centre_Data[[#This Row],[Duration]]&lt;=60,"30-60 Mins",Call_Centre_Data[[#This Row],[Duration]]&lt;=120,"1-2 Hours",TRUE,"More than 2 Hours")</f>
        <v>30-60 Mins</v>
      </c>
      <c r="K173" s="91">
        <f>ROUND(Call_Centre_Data[[#This Row],[Satisfaction Rating]],0)</f>
        <v>5</v>
      </c>
    </row>
    <row r="174" spans="1:11" x14ac:dyDescent="0.35">
      <c r="A174" s="56" t="s">
        <v>1179</v>
      </c>
      <c r="B174" s="57" t="s">
        <v>1013</v>
      </c>
      <c r="C174" s="87">
        <v>86</v>
      </c>
      <c r="D174" s="57" t="s">
        <v>994</v>
      </c>
      <c r="E174" s="58">
        <v>44990</v>
      </c>
      <c r="F174" s="57">
        <v>27</v>
      </c>
      <c r="G174" s="59">
        <v>4.5</v>
      </c>
      <c r="H174" s="57">
        <f>IF(MONTH(Call_Centre_Data[[#This Row],[Date of Call]])&lt;=6,YEAR(Call_Centre_Data[[#This Row],[Date of Call]]),YEAR(Call_Centre_Data[[#This Row],[Date of Call]])+1)</f>
        <v>2023</v>
      </c>
      <c r="I174" s="39" t="str">
        <f>TEXT(Call_Centre_Data[[#This Row],[Date of Call]],"DDDD")</f>
        <v>Sunday</v>
      </c>
      <c r="J174" s="39" t="str" cm="1">
        <f t="array" ref="J174">_xlfn.IFS(Call_Centre_Data[[#This Row],[Duration]]&lt;=10,"Under 10 Mins", Call_Centre_Data[[#This Row],[Duration]]&lt;=30,"10-30 Mins",Call_Centre_Data[[#This Row],[Duration]]&lt;=60,"30-60 Mins",Call_Centre_Data[[#This Row],[Duration]]&lt;=120,"1-2 Hours",TRUE,"More than 2 Hours")</f>
        <v>1-2 Hours</v>
      </c>
      <c r="K174" s="91">
        <f>ROUND(Call_Centre_Data[[#This Row],[Satisfaction Rating]],0)</f>
        <v>5</v>
      </c>
    </row>
    <row r="175" spans="1:11" x14ac:dyDescent="0.35">
      <c r="A175" s="56" t="s">
        <v>1180</v>
      </c>
      <c r="B175" s="57" t="s">
        <v>1002</v>
      </c>
      <c r="C175" s="87">
        <v>131</v>
      </c>
      <c r="D175" s="57" t="s">
        <v>989</v>
      </c>
      <c r="E175" s="58">
        <v>44990</v>
      </c>
      <c r="F175" s="57">
        <v>140</v>
      </c>
      <c r="G175" s="59">
        <v>4.0999999999999996</v>
      </c>
      <c r="H175" s="57">
        <f>IF(MONTH(Call_Centre_Data[[#This Row],[Date of Call]])&lt;=6,YEAR(Call_Centre_Data[[#This Row],[Date of Call]]),YEAR(Call_Centre_Data[[#This Row],[Date of Call]])+1)</f>
        <v>2023</v>
      </c>
      <c r="I175" s="39" t="str">
        <f>TEXT(Call_Centre_Data[[#This Row],[Date of Call]],"DDDD")</f>
        <v>Sunday</v>
      </c>
      <c r="J175" s="39" t="str" cm="1">
        <f t="array" ref="J175">_xlfn.IFS(Call_Centre_Data[[#This Row],[Duration]]&lt;=10,"Under 10 Mins", Call_Centre_Data[[#This Row],[Duration]]&lt;=30,"10-30 Mins",Call_Centre_Data[[#This Row],[Duration]]&lt;=60,"30-60 Mins",Call_Centre_Data[[#This Row],[Duration]]&lt;=120,"1-2 Hours",TRUE,"More than 2 Hours")</f>
        <v>More than 2 Hours</v>
      </c>
      <c r="K175" s="91">
        <f>ROUND(Call_Centre_Data[[#This Row],[Satisfaction Rating]],0)</f>
        <v>4</v>
      </c>
    </row>
    <row r="176" spans="1:11" x14ac:dyDescent="0.35">
      <c r="A176" s="56" t="s">
        <v>1181</v>
      </c>
      <c r="B176" s="57" t="s">
        <v>1030</v>
      </c>
      <c r="C176" s="87">
        <v>67</v>
      </c>
      <c r="D176" s="57" t="s">
        <v>999</v>
      </c>
      <c r="E176" s="58">
        <v>44990</v>
      </c>
      <c r="F176" s="57">
        <v>40</v>
      </c>
      <c r="G176" s="59">
        <v>5</v>
      </c>
      <c r="H176" s="57">
        <f>IF(MONTH(Call_Centre_Data[[#This Row],[Date of Call]])&lt;=6,YEAR(Call_Centre_Data[[#This Row],[Date of Call]]),YEAR(Call_Centre_Data[[#This Row],[Date of Call]])+1)</f>
        <v>2023</v>
      </c>
      <c r="I176" s="39" t="str">
        <f>TEXT(Call_Centre_Data[[#This Row],[Date of Call]],"DDDD")</f>
        <v>Sunday</v>
      </c>
      <c r="J176" s="39" t="str" cm="1">
        <f t="array" ref="J176">_xlfn.IFS(Call_Centre_Data[[#This Row],[Duration]]&lt;=10,"Under 10 Mins", Call_Centre_Data[[#This Row],[Duration]]&lt;=30,"10-30 Mins",Call_Centre_Data[[#This Row],[Duration]]&lt;=60,"30-60 Mins",Call_Centre_Data[[#This Row],[Duration]]&lt;=120,"1-2 Hours",TRUE,"More than 2 Hours")</f>
        <v>1-2 Hours</v>
      </c>
      <c r="K176" s="91">
        <f>ROUND(Call_Centre_Data[[#This Row],[Satisfaction Rating]],0)</f>
        <v>5</v>
      </c>
    </row>
    <row r="177" spans="1:11" x14ac:dyDescent="0.35">
      <c r="A177" s="56" t="s">
        <v>1182</v>
      </c>
      <c r="B177" s="57" t="s">
        <v>1060</v>
      </c>
      <c r="C177" s="87">
        <v>71</v>
      </c>
      <c r="D177" s="57" t="s">
        <v>1008</v>
      </c>
      <c r="E177" s="58">
        <v>44990</v>
      </c>
      <c r="F177" s="57">
        <v>102</v>
      </c>
      <c r="G177" s="59">
        <v>4.7</v>
      </c>
      <c r="H177" s="57">
        <f>IF(MONTH(Call_Centre_Data[[#This Row],[Date of Call]])&lt;=6,YEAR(Call_Centre_Data[[#This Row],[Date of Call]]),YEAR(Call_Centre_Data[[#This Row],[Date of Call]])+1)</f>
        <v>2023</v>
      </c>
      <c r="I177" s="39" t="str">
        <f>TEXT(Call_Centre_Data[[#This Row],[Date of Call]],"DDDD")</f>
        <v>Sunday</v>
      </c>
      <c r="J177" s="39" t="str" cm="1">
        <f t="array" ref="J177">_xlfn.IFS(Call_Centre_Data[[#This Row],[Duration]]&lt;=10,"Under 10 Mins", Call_Centre_Data[[#This Row],[Duration]]&lt;=30,"10-30 Mins",Call_Centre_Data[[#This Row],[Duration]]&lt;=60,"30-60 Mins",Call_Centre_Data[[#This Row],[Duration]]&lt;=120,"1-2 Hours",TRUE,"More than 2 Hours")</f>
        <v>1-2 Hours</v>
      </c>
      <c r="K177" s="91">
        <f>ROUND(Call_Centre_Data[[#This Row],[Satisfaction Rating]],0)</f>
        <v>5</v>
      </c>
    </row>
    <row r="178" spans="1:11" x14ac:dyDescent="0.35">
      <c r="A178" s="56" t="s">
        <v>1183</v>
      </c>
      <c r="B178" s="57" t="s">
        <v>1002</v>
      </c>
      <c r="C178" s="87">
        <v>113</v>
      </c>
      <c r="D178" s="57" t="s">
        <v>989</v>
      </c>
      <c r="E178" s="58">
        <v>44990</v>
      </c>
      <c r="F178" s="57">
        <v>42</v>
      </c>
      <c r="G178" s="59">
        <v>4.2</v>
      </c>
      <c r="H178" s="57">
        <f>IF(MONTH(Call_Centre_Data[[#This Row],[Date of Call]])&lt;=6,YEAR(Call_Centre_Data[[#This Row],[Date of Call]]),YEAR(Call_Centre_Data[[#This Row],[Date of Call]])+1)</f>
        <v>2023</v>
      </c>
      <c r="I178" s="39" t="str">
        <f>TEXT(Call_Centre_Data[[#This Row],[Date of Call]],"DDDD")</f>
        <v>Sunday</v>
      </c>
      <c r="J178" s="39" t="str" cm="1">
        <f t="array" ref="J178">_xlfn.IFS(Call_Centre_Data[[#This Row],[Duration]]&lt;=10,"Under 10 Mins", Call_Centre_Data[[#This Row],[Duration]]&lt;=30,"10-30 Mins",Call_Centre_Data[[#This Row],[Duration]]&lt;=60,"30-60 Mins",Call_Centre_Data[[#This Row],[Duration]]&lt;=120,"1-2 Hours",TRUE,"More than 2 Hours")</f>
        <v>1-2 Hours</v>
      </c>
      <c r="K178" s="91">
        <f>ROUND(Call_Centre_Data[[#This Row],[Satisfaction Rating]],0)</f>
        <v>4</v>
      </c>
    </row>
    <row r="179" spans="1:11" x14ac:dyDescent="0.35">
      <c r="A179" s="56" t="s">
        <v>1184</v>
      </c>
      <c r="B179" s="57" t="s">
        <v>1022</v>
      </c>
      <c r="C179" s="87">
        <v>53</v>
      </c>
      <c r="D179" s="57" t="s">
        <v>994</v>
      </c>
      <c r="E179" s="58">
        <v>44991</v>
      </c>
      <c r="F179" s="57">
        <v>210</v>
      </c>
      <c r="G179" s="59">
        <v>3.9</v>
      </c>
      <c r="H179" s="57">
        <f>IF(MONTH(Call_Centre_Data[[#This Row],[Date of Call]])&lt;=6,YEAR(Call_Centre_Data[[#This Row],[Date of Call]]),YEAR(Call_Centre_Data[[#This Row],[Date of Call]])+1)</f>
        <v>2023</v>
      </c>
      <c r="I179" s="39" t="str">
        <f>TEXT(Call_Centre_Data[[#This Row],[Date of Call]],"DDDD")</f>
        <v>Monday</v>
      </c>
      <c r="J179" s="39" t="str" cm="1">
        <f t="array" ref="J179">_xlfn.IFS(Call_Centre_Data[[#This Row],[Duration]]&lt;=10,"Under 10 Mins", Call_Centre_Data[[#This Row],[Duration]]&lt;=30,"10-30 Mins",Call_Centre_Data[[#This Row],[Duration]]&lt;=60,"30-60 Mins",Call_Centre_Data[[#This Row],[Duration]]&lt;=120,"1-2 Hours",TRUE,"More than 2 Hours")</f>
        <v>30-60 Mins</v>
      </c>
      <c r="K179" s="91">
        <f>ROUND(Call_Centre_Data[[#This Row],[Satisfaction Rating]],0)</f>
        <v>4</v>
      </c>
    </row>
    <row r="180" spans="1:11" x14ac:dyDescent="0.35">
      <c r="A180" s="56" t="s">
        <v>1185</v>
      </c>
      <c r="B180" s="57" t="s">
        <v>1002</v>
      </c>
      <c r="C180" s="87">
        <v>153</v>
      </c>
      <c r="D180" s="57" t="s">
        <v>999</v>
      </c>
      <c r="E180" s="58">
        <v>44991</v>
      </c>
      <c r="F180" s="57">
        <v>34</v>
      </c>
      <c r="G180" s="59">
        <v>3</v>
      </c>
      <c r="H180" s="57">
        <f>IF(MONTH(Call_Centre_Data[[#This Row],[Date of Call]])&lt;=6,YEAR(Call_Centre_Data[[#This Row],[Date of Call]]),YEAR(Call_Centre_Data[[#This Row],[Date of Call]])+1)</f>
        <v>2023</v>
      </c>
      <c r="I180" s="39" t="str">
        <f>TEXT(Call_Centre_Data[[#This Row],[Date of Call]],"DDDD")</f>
        <v>Monday</v>
      </c>
      <c r="J180" s="39" t="str" cm="1">
        <f t="array" ref="J180">_xlfn.IFS(Call_Centre_Data[[#This Row],[Duration]]&lt;=10,"Under 10 Mins", Call_Centre_Data[[#This Row],[Duration]]&lt;=30,"10-30 Mins",Call_Centre_Data[[#This Row],[Duration]]&lt;=60,"30-60 Mins",Call_Centre_Data[[#This Row],[Duration]]&lt;=120,"1-2 Hours",TRUE,"More than 2 Hours")</f>
        <v>More than 2 Hours</v>
      </c>
      <c r="K180" s="91">
        <f>ROUND(Call_Centre_Data[[#This Row],[Satisfaction Rating]],0)</f>
        <v>3</v>
      </c>
    </row>
    <row r="181" spans="1:11" x14ac:dyDescent="0.35">
      <c r="A181" s="56" t="s">
        <v>1186</v>
      </c>
      <c r="B181" s="57" t="s">
        <v>1030</v>
      </c>
      <c r="C181" s="87">
        <v>73</v>
      </c>
      <c r="D181" s="57" t="s">
        <v>1004</v>
      </c>
      <c r="E181" s="58">
        <v>44991</v>
      </c>
      <c r="F181" s="57">
        <v>215</v>
      </c>
      <c r="G181" s="59">
        <v>3.6</v>
      </c>
      <c r="H181" s="57">
        <f>IF(MONTH(Call_Centre_Data[[#This Row],[Date of Call]])&lt;=6,YEAR(Call_Centre_Data[[#This Row],[Date of Call]]),YEAR(Call_Centre_Data[[#This Row],[Date of Call]])+1)</f>
        <v>2023</v>
      </c>
      <c r="I181" s="39" t="str">
        <f>TEXT(Call_Centre_Data[[#This Row],[Date of Call]],"DDDD")</f>
        <v>Monday</v>
      </c>
      <c r="J181" s="39" t="str" cm="1">
        <f t="array" ref="J181">_xlfn.IFS(Call_Centre_Data[[#This Row],[Duration]]&lt;=10,"Under 10 Mins", Call_Centre_Data[[#This Row],[Duration]]&lt;=30,"10-30 Mins",Call_Centre_Data[[#This Row],[Duration]]&lt;=60,"30-60 Mins",Call_Centre_Data[[#This Row],[Duration]]&lt;=120,"1-2 Hours",TRUE,"More than 2 Hours")</f>
        <v>1-2 Hours</v>
      </c>
      <c r="K181" s="91">
        <f>ROUND(Call_Centre_Data[[#This Row],[Satisfaction Rating]],0)</f>
        <v>4</v>
      </c>
    </row>
    <row r="182" spans="1:11" x14ac:dyDescent="0.35">
      <c r="A182" s="56" t="s">
        <v>1187</v>
      </c>
      <c r="B182" s="57" t="s">
        <v>1019</v>
      </c>
      <c r="C182" s="87">
        <v>62</v>
      </c>
      <c r="D182" s="57" t="s">
        <v>1004</v>
      </c>
      <c r="E182" s="58">
        <v>44991</v>
      </c>
      <c r="F182" s="57">
        <v>32</v>
      </c>
      <c r="G182" s="59">
        <v>0.7</v>
      </c>
      <c r="H182" s="57">
        <f>IF(MONTH(Call_Centre_Data[[#This Row],[Date of Call]])&lt;=6,YEAR(Call_Centre_Data[[#This Row],[Date of Call]]),YEAR(Call_Centre_Data[[#This Row],[Date of Call]])+1)</f>
        <v>2023</v>
      </c>
      <c r="I182" s="39" t="str">
        <f>TEXT(Call_Centre_Data[[#This Row],[Date of Call]],"DDDD")</f>
        <v>Monday</v>
      </c>
      <c r="J182" s="39" t="str" cm="1">
        <f t="array" ref="J182">_xlfn.IFS(Call_Centre_Data[[#This Row],[Duration]]&lt;=10,"Under 10 Mins", Call_Centre_Data[[#This Row],[Duration]]&lt;=30,"10-30 Mins",Call_Centre_Data[[#This Row],[Duration]]&lt;=60,"30-60 Mins",Call_Centre_Data[[#This Row],[Duration]]&lt;=120,"1-2 Hours",TRUE,"More than 2 Hours")</f>
        <v>1-2 Hours</v>
      </c>
      <c r="K182" s="91">
        <f>ROUND(Call_Centre_Data[[#This Row],[Satisfaction Rating]],0)</f>
        <v>1</v>
      </c>
    </row>
    <row r="183" spans="1:11" x14ac:dyDescent="0.35">
      <c r="A183" s="56" t="s">
        <v>1188</v>
      </c>
      <c r="B183" s="57" t="s">
        <v>998</v>
      </c>
      <c r="C183" s="87">
        <v>115</v>
      </c>
      <c r="D183" s="57" t="s">
        <v>994</v>
      </c>
      <c r="E183" s="58">
        <v>44992</v>
      </c>
      <c r="F183" s="57">
        <v>48</v>
      </c>
      <c r="G183" s="59">
        <v>4.7</v>
      </c>
      <c r="H183" s="57">
        <f>IF(MONTH(Call_Centre_Data[[#This Row],[Date of Call]])&lt;=6,YEAR(Call_Centre_Data[[#This Row],[Date of Call]]),YEAR(Call_Centre_Data[[#This Row],[Date of Call]])+1)</f>
        <v>2023</v>
      </c>
      <c r="I183" s="39" t="str">
        <f>TEXT(Call_Centre_Data[[#This Row],[Date of Call]],"DDDD")</f>
        <v>Tuesday</v>
      </c>
      <c r="J183" s="39" t="str" cm="1">
        <f t="array" ref="J183">_xlfn.IFS(Call_Centre_Data[[#This Row],[Duration]]&lt;=10,"Under 10 Mins", Call_Centre_Data[[#This Row],[Duration]]&lt;=30,"10-30 Mins",Call_Centre_Data[[#This Row],[Duration]]&lt;=60,"30-60 Mins",Call_Centre_Data[[#This Row],[Duration]]&lt;=120,"1-2 Hours",TRUE,"More than 2 Hours")</f>
        <v>1-2 Hours</v>
      </c>
      <c r="K183" s="91">
        <f>ROUND(Call_Centre_Data[[#This Row],[Satisfaction Rating]],0)</f>
        <v>5</v>
      </c>
    </row>
    <row r="184" spans="1:11" x14ac:dyDescent="0.35">
      <c r="A184" s="56" t="s">
        <v>1189</v>
      </c>
      <c r="B184" s="57" t="s">
        <v>1002</v>
      </c>
      <c r="C184" s="87">
        <v>69</v>
      </c>
      <c r="D184" s="57" t="s">
        <v>994</v>
      </c>
      <c r="E184" s="58">
        <v>44992</v>
      </c>
      <c r="F184" s="57">
        <v>132</v>
      </c>
      <c r="G184" s="59">
        <v>4.5</v>
      </c>
      <c r="H184" s="57">
        <f>IF(MONTH(Call_Centre_Data[[#This Row],[Date of Call]])&lt;=6,YEAR(Call_Centre_Data[[#This Row],[Date of Call]]),YEAR(Call_Centre_Data[[#This Row],[Date of Call]])+1)</f>
        <v>2023</v>
      </c>
      <c r="I184" s="39" t="str">
        <f>TEXT(Call_Centre_Data[[#This Row],[Date of Call]],"DDDD")</f>
        <v>Tuesday</v>
      </c>
      <c r="J184" s="39" t="str" cm="1">
        <f t="array" ref="J184">_xlfn.IFS(Call_Centre_Data[[#This Row],[Duration]]&lt;=10,"Under 10 Mins", Call_Centre_Data[[#This Row],[Duration]]&lt;=30,"10-30 Mins",Call_Centre_Data[[#This Row],[Duration]]&lt;=60,"30-60 Mins",Call_Centre_Data[[#This Row],[Duration]]&lt;=120,"1-2 Hours",TRUE,"More than 2 Hours")</f>
        <v>1-2 Hours</v>
      </c>
      <c r="K184" s="91">
        <f>ROUND(Call_Centre_Data[[#This Row],[Satisfaction Rating]],0)</f>
        <v>5</v>
      </c>
    </row>
    <row r="185" spans="1:11" x14ac:dyDescent="0.35">
      <c r="A185" s="56" t="s">
        <v>1190</v>
      </c>
      <c r="B185" s="57" t="s">
        <v>1013</v>
      </c>
      <c r="C185" s="87">
        <v>103</v>
      </c>
      <c r="D185" s="57" t="s">
        <v>989</v>
      </c>
      <c r="E185" s="58">
        <v>44992</v>
      </c>
      <c r="F185" s="57">
        <v>172</v>
      </c>
      <c r="G185" s="59">
        <v>4.3</v>
      </c>
      <c r="H185" s="57">
        <f>IF(MONTH(Call_Centre_Data[[#This Row],[Date of Call]])&lt;=6,YEAR(Call_Centre_Data[[#This Row],[Date of Call]]),YEAR(Call_Centre_Data[[#This Row],[Date of Call]])+1)</f>
        <v>2023</v>
      </c>
      <c r="I185" s="39" t="str">
        <f>TEXT(Call_Centre_Data[[#This Row],[Date of Call]],"DDDD")</f>
        <v>Tuesday</v>
      </c>
      <c r="J185" s="39" t="str" cm="1">
        <f t="array" ref="J185">_xlfn.IFS(Call_Centre_Data[[#This Row],[Duration]]&lt;=10,"Under 10 Mins", Call_Centre_Data[[#This Row],[Duration]]&lt;=30,"10-30 Mins",Call_Centre_Data[[#This Row],[Duration]]&lt;=60,"30-60 Mins",Call_Centre_Data[[#This Row],[Duration]]&lt;=120,"1-2 Hours",TRUE,"More than 2 Hours")</f>
        <v>1-2 Hours</v>
      </c>
      <c r="K185" s="91">
        <f>ROUND(Call_Centre_Data[[#This Row],[Satisfaction Rating]],0)</f>
        <v>4</v>
      </c>
    </row>
    <row r="186" spans="1:11" x14ac:dyDescent="0.35">
      <c r="A186" s="56" t="s">
        <v>1191</v>
      </c>
      <c r="B186" s="57" t="s">
        <v>1013</v>
      </c>
      <c r="C186" s="87">
        <v>75</v>
      </c>
      <c r="D186" s="57" t="s">
        <v>989</v>
      </c>
      <c r="E186" s="58">
        <v>44992</v>
      </c>
      <c r="F186" s="57">
        <v>111</v>
      </c>
      <c r="G186" s="59">
        <v>3.4</v>
      </c>
      <c r="H186" s="57">
        <f>IF(MONTH(Call_Centre_Data[[#This Row],[Date of Call]])&lt;=6,YEAR(Call_Centre_Data[[#This Row],[Date of Call]]),YEAR(Call_Centre_Data[[#This Row],[Date of Call]])+1)</f>
        <v>2023</v>
      </c>
      <c r="I186" s="39" t="str">
        <f>TEXT(Call_Centre_Data[[#This Row],[Date of Call]],"DDDD")</f>
        <v>Tuesday</v>
      </c>
      <c r="J186" s="39" t="str" cm="1">
        <f t="array" ref="J186">_xlfn.IFS(Call_Centre_Data[[#This Row],[Duration]]&lt;=10,"Under 10 Mins", Call_Centre_Data[[#This Row],[Duration]]&lt;=30,"10-30 Mins",Call_Centre_Data[[#This Row],[Duration]]&lt;=60,"30-60 Mins",Call_Centre_Data[[#This Row],[Duration]]&lt;=120,"1-2 Hours",TRUE,"More than 2 Hours")</f>
        <v>1-2 Hours</v>
      </c>
      <c r="K186" s="91">
        <f>ROUND(Call_Centre_Data[[#This Row],[Satisfaction Rating]],0)</f>
        <v>3</v>
      </c>
    </row>
    <row r="187" spans="1:11" x14ac:dyDescent="0.35">
      <c r="A187" s="56" t="s">
        <v>1192</v>
      </c>
      <c r="B187" s="57" t="s">
        <v>1011</v>
      </c>
      <c r="C187" s="87">
        <v>92</v>
      </c>
      <c r="D187" s="57" t="s">
        <v>989</v>
      </c>
      <c r="E187" s="58">
        <v>44992</v>
      </c>
      <c r="F187" s="57">
        <v>58</v>
      </c>
      <c r="G187" s="59">
        <v>3.6</v>
      </c>
      <c r="H187" s="57">
        <f>IF(MONTH(Call_Centre_Data[[#This Row],[Date of Call]])&lt;=6,YEAR(Call_Centre_Data[[#This Row],[Date of Call]]),YEAR(Call_Centre_Data[[#This Row],[Date of Call]])+1)</f>
        <v>2023</v>
      </c>
      <c r="I187" s="39" t="str">
        <f>TEXT(Call_Centre_Data[[#This Row],[Date of Call]],"DDDD")</f>
        <v>Tuesday</v>
      </c>
      <c r="J187" s="39" t="str" cm="1">
        <f t="array" ref="J187">_xlfn.IFS(Call_Centre_Data[[#This Row],[Duration]]&lt;=10,"Under 10 Mins", Call_Centre_Data[[#This Row],[Duration]]&lt;=30,"10-30 Mins",Call_Centre_Data[[#This Row],[Duration]]&lt;=60,"30-60 Mins",Call_Centre_Data[[#This Row],[Duration]]&lt;=120,"1-2 Hours",TRUE,"More than 2 Hours")</f>
        <v>1-2 Hours</v>
      </c>
      <c r="K187" s="91">
        <f>ROUND(Call_Centre_Data[[#This Row],[Satisfaction Rating]],0)</f>
        <v>4</v>
      </c>
    </row>
    <row r="188" spans="1:11" x14ac:dyDescent="0.35">
      <c r="A188" s="56" t="s">
        <v>1193</v>
      </c>
      <c r="B188" s="57" t="s">
        <v>1011</v>
      </c>
      <c r="C188" s="87">
        <v>41</v>
      </c>
      <c r="D188" s="57" t="s">
        <v>1004</v>
      </c>
      <c r="E188" s="58">
        <v>44992</v>
      </c>
      <c r="F188" s="57">
        <v>68</v>
      </c>
      <c r="G188" s="59">
        <v>4</v>
      </c>
      <c r="H188" s="57">
        <f>IF(MONTH(Call_Centre_Data[[#This Row],[Date of Call]])&lt;=6,YEAR(Call_Centre_Data[[#This Row],[Date of Call]]),YEAR(Call_Centre_Data[[#This Row],[Date of Call]])+1)</f>
        <v>2023</v>
      </c>
      <c r="I188" s="39" t="str">
        <f>TEXT(Call_Centre_Data[[#This Row],[Date of Call]],"DDDD")</f>
        <v>Tuesday</v>
      </c>
      <c r="J188" s="39" t="str" cm="1">
        <f t="array" ref="J188">_xlfn.IFS(Call_Centre_Data[[#This Row],[Duration]]&lt;=10,"Under 10 Mins", Call_Centre_Data[[#This Row],[Duration]]&lt;=30,"10-30 Mins",Call_Centre_Data[[#This Row],[Duration]]&lt;=60,"30-60 Mins",Call_Centre_Data[[#This Row],[Duration]]&lt;=120,"1-2 Hours",TRUE,"More than 2 Hours")</f>
        <v>30-60 Mins</v>
      </c>
      <c r="K188" s="91">
        <f>ROUND(Call_Centre_Data[[#This Row],[Satisfaction Rating]],0)</f>
        <v>4</v>
      </c>
    </row>
    <row r="189" spans="1:11" x14ac:dyDescent="0.35">
      <c r="A189" s="56" t="s">
        <v>1194</v>
      </c>
      <c r="B189" s="57" t="s">
        <v>1013</v>
      </c>
      <c r="C189" s="87">
        <v>134</v>
      </c>
      <c r="D189" s="57" t="s">
        <v>999</v>
      </c>
      <c r="E189" s="58">
        <v>44992</v>
      </c>
      <c r="F189" s="57">
        <v>160</v>
      </c>
      <c r="G189" s="59">
        <v>4.5</v>
      </c>
      <c r="H189" s="57">
        <f>IF(MONTH(Call_Centre_Data[[#This Row],[Date of Call]])&lt;=6,YEAR(Call_Centre_Data[[#This Row],[Date of Call]]),YEAR(Call_Centre_Data[[#This Row],[Date of Call]])+1)</f>
        <v>2023</v>
      </c>
      <c r="I189" s="39" t="str">
        <f>TEXT(Call_Centre_Data[[#This Row],[Date of Call]],"DDDD")</f>
        <v>Tuesday</v>
      </c>
      <c r="J189" s="39" t="str" cm="1">
        <f t="array" ref="J189">_xlfn.IFS(Call_Centre_Data[[#This Row],[Duration]]&lt;=10,"Under 10 Mins", Call_Centre_Data[[#This Row],[Duration]]&lt;=30,"10-30 Mins",Call_Centre_Data[[#This Row],[Duration]]&lt;=60,"30-60 Mins",Call_Centre_Data[[#This Row],[Duration]]&lt;=120,"1-2 Hours",TRUE,"More than 2 Hours")</f>
        <v>More than 2 Hours</v>
      </c>
      <c r="K189" s="91">
        <f>ROUND(Call_Centre_Data[[#This Row],[Satisfaction Rating]],0)</f>
        <v>5</v>
      </c>
    </row>
    <row r="190" spans="1:11" x14ac:dyDescent="0.35">
      <c r="A190" s="56" t="s">
        <v>1195</v>
      </c>
      <c r="B190" s="57" t="s">
        <v>1040</v>
      </c>
      <c r="C190" s="87">
        <v>80</v>
      </c>
      <c r="D190" s="57" t="s">
        <v>1008</v>
      </c>
      <c r="E190" s="58">
        <v>44992</v>
      </c>
      <c r="F190" s="57">
        <v>45</v>
      </c>
      <c r="G190" s="59">
        <v>3</v>
      </c>
      <c r="H190" s="57">
        <f>IF(MONTH(Call_Centre_Data[[#This Row],[Date of Call]])&lt;=6,YEAR(Call_Centre_Data[[#This Row],[Date of Call]]),YEAR(Call_Centre_Data[[#This Row],[Date of Call]])+1)</f>
        <v>2023</v>
      </c>
      <c r="I190" s="39" t="str">
        <f>TEXT(Call_Centre_Data[[#This Row],[Date of Call]],"DDDD")</f>
        <v>Tuesday</v>
      </c>
      <c r="J190" s="39" t="str" cm="1">
        <f t="array" ref="J190">_xlfn.IFS(Call_Centre_Data[[#This Row],[Duration]]&lt;=10,"Under 10 Mins", Call_Centre_Data[[#This Row],[Duration]]&lt;=30,"10-30 Mins",Call_Centre_Data[[#This Row],[Duration]]&lt;=60,"30-60 Mins",Call_Centre_Data[[#This Row],[Duration]]&lt;=120,"1-2 Hours",TRUE,"More than 2 Hours")</f>
        <v>1-2 Hours</v>
      </c>
      <c r="K190" s="91">
        <f>ROUND(Call_Centre_Data[[#This Row],[Satisfaction Rating]],0)</f>
        <v>3</v>
      </c>
    </row>
    <row r="191" spans="1:11" x14ac:dyDescent="0.35">
      <c r="A191" s="56" t="s">
        <v>1196</v>
      </c>
      <c r="B191" s="57" t="s">
        <v>1060</v>
      </c>
      <c r="C191" s="87">
        <v>103</v>
      </c>
      <c r="D191" s="57" t="s">
        <v>994</v>
      </c>
      <c r="E191" s="58">
        <v>44993</v>
      </c>
      <c r="F191" s="57">
        <v>117</v>
      </c>
      <c r="G191" s="59">
        <v>3</v>
      </c>
      <c r="H191" s="57">
        <f>IF(MONTH(Call_Centre_Data[[#This Row],[Date of Call]])&lt;=6,YEAR(Call_Centre_Data[[#This Row],[Date of Call]]),YEAR(Call_Centre_Data[[#This Row],[Date of Call]])+1)</f>
        <v>2023</v>
      </c>
      <c r="I191" s="39" t="str">
        <f>TEXT(Call_Centre_Data[[#This Row],[Date of Call]],"DDDD")</f>
        <v>Wednesday</v>
      </c>
      <c r="J191" s="39" t="str" cm="1">
        <f t="array" ref="J191">_xlfn.IFS(Call_Centre_Data[[#This Row],[Duration]]&lt;=10,"Under 10 Mins", Call_Centre_Data[[#This Row],[Duration]]&lt;=30,"10-30 Mins",Call_Centre_Data[[#This Row],[Duration]]&lt;=60,"30-60 Mins",Call_Centre_Data[[#This Row],[Duration]]&lt;=120,"1-2 Hours",TRUE,"More than 2 Hours")</f>
        <v>1-2 Hours</v>
      </c>
      <c r="K191" s="91">
        <f>ROUND(Call_Centre_Data[[#This Row],[Satisfaction Rating]],0)</f>
        <v>3</v>
      </c>
    </row>
    <row r="192" spans="1:11" x14ac:dyDescent="0.35">
      <c r="A192" s="56" t="s">
        <v>1197</v>
      </c>
      <c r="B192" s="57" t="s">
        <v>1022</v>
      </c>
      <c r="C192" s="87">
        <v>20</v>
      </c>
      <c r="D192" s="57" t="s">
        <v>989</v>
      </c>
      <c r="E192" s="58">
        <v>44994</v>
      </c>
      <c r="F192" s="57">
        <v>22</v>
      </c>
      <c r="G192" s="59">
        <v>1.6</v>
      </c>
      <c r="H192" s="57">
        <f>IF(MONTH(Call_Centre_Data[[#This Row],[Date of Call]])&lt;=6,YEAR(Call_Centre_Data[[#This Row],[Date of Call]]),YEAR(Call_Centre_Data[[#This Row],[Date of Call]])+1)</f>
        <v>2023</v>
      </c>
      <c r="I192" s="39" t="str">
        <f>TEXT(Call_Centre_Data[[#This Row],[Date of Call]],"DDDD")</f>
        <v>Thursday</v>
      </c>
      <c r="J192" s="39" t="str" cm="1">
        <f t="array" ref="J192">_xlfn.IFS(Call_Centre_Data[[#This Row],[Duration]]&lt;=10,"Under 10 Mins", Call_Centre_Data[[#This Row],[Duration]]&lt;=30,"10-30 Mins",Call_Centre_Data[[#This Row],[Duration]]&lt;=60,"30-60 Mins",Call_Centre_Data[[#This Row],[Duration]]&lt;=120,"1-2 Hours",TRUE,"More than 2 Hours")</f>
        <v>10-30 Mins</v>
      </c>
      <c r="K192" s="91">
        <f>ROUND(Call_Centre_Data[[#This Row],[Satisfaction Rating]],0)</f>
        <v>2</v>
      </c>
    </row>
    <row r="193" spans="1:11" x14ac:dyDescent="0.35">
      <c r="A193" s="56" t="s">
        <v>1198</v>
      </c>
      <c r="B193" s="57" t="s">
        <v>1060</v>
      </c>
      <c r="C193" s="87">
        <v>75</v>
      </c>
      <c r="D193" s="57" t="s">
        <v>1008</v>
      </c>
      <c r="E193" s="58">
        <v>44994</v>
      </c>
      <c r="F193" s="57">
        <v>195</v>
      </c>
      <c r="G193" s="59">
        <v>3</v>
      </c>
      <c r="H193" s="57">
        <f>IF(MONTH(Call_Centre_Data[[#This Row],[Date of Call]])&lt;=6,YEAR(Call_Centre_Data[[#This Row],[Date of Call]]),YEAR(Call_Centre_Data[[#This Row],[Date of Call]])+1)</f>
        <v>2023</v>
      </c>
      <c r="I193" s="39" t="str">
        <f>TEXT(Call_Centre_Data[[#This Row],[Date of Call]],"DDDD")</f>
        <v>Thursday</v>
      </c>
      <c r="J193" s="39" t="str" cm="1">
        <f t="array" ref="J193">_xlfn.IFS(Call_Centre_Data[[#This Row],[Duration]]&lt;=10,"Under 10 Mins", Call_Centre_Data[[#This Row],[Duration]]&lt;=30,"10-30 Mins",Call_Centre_Data[[#This Row],[Duration]]&lt;=60,"30-60 Mins",Call_Centre_Data[[#This Row],[Duration]]&lt;=120,"1-2 Hours",TRUE,"More than 2 Hours")</f>
        <v>1-2 Hours</v>
      </c>
      <c r="K193" s="91">
        <f>ROUND(Call_Centre_Data[[#This Row],[Satisfaction Rating]],0)</f>
        <v>3</v>
      </c>
    </row>
    <row r="194" spans="1:11" x14ac:dyDescent="0.35">
      <c r="A194" s="56" t="s">
        <v>1199</v>
      </c>
      <c r="B194" s="57" t="s">
        <v>1011</v>
      </c>
      <c r="C194" s="87">
        <v>80</v>
      </c>
      <c r="D194" s="57" t="s">
        <v>999</v>
      </c>
      <c r="E194" s="58">
        <v>44994</v>
      </c>
      <c r="F194" s="57">
        <v>168</v>
      </c>
      <c r="G194" s="59">
        <v>3.7</v>
      </c>
      <c r="H194" s="57">
        <f>IF(MONTH(Call_Centre_Data[[#This Row],[Date of Call]])&lt;=6,YEAR(Call_Centre_Data[[#This Row],[Date of Call]]),YEAR(Call_Centre_Data[[#This Row],[Date of Call]])+1)</f>
        <v>2023</v>
      </c>
      <c r="I194" s="39" t="str">
        <f>TEXT(Call_Centre_Data[[#This Row],[Date of Call]],"DDDD")</f>
        <v>Thursday</v>
      </c>
      <c r="J194" s="39" t="str" cm="1">
        <f t="array" ref="J194">_xlfn.IFS(Call_Centre_Data[[#This Row],[Duration]]&lt;=10,"Under 10 Mins", Call_Centre_Data[[#This Row],[Duration]]&lt;=30,"10-30 Mins",Call_Centre_Data[[#This Row],[Duration]]&lt;=60,"30-60 Mins",Call_Centre_Data[[#This Row],[Duration]]&lt;=120,"1-2 Hours",TRUE,"More than 2 Hours")</f>
        <v>1-2 Hours</v>
      </c>
      <c r="K194" s="91">
        <f>ROUND(Call_Centre_Data[[#This Row],[Satisfaction Rating]],0)</f>
        <v>4</v>
      </c>
    </row>
    <row r="195" spans="1:11" x14ac:dyDescent="0.35">
      <c r="A195" s="56" t="s">
        <v>1200</v>
      </c>
      <c r="B195" s="57" t="s">
        <v>1002</v>
      </c>
      <c r="C195" s="87">
        <v>85</v>
      </c>
      <c r="D195" s="57" t="s">
        <v>1004</v>
      </c>
      <c r="E195" s="58">
        <v>44995</v>
      </c>
      <c r="F195" s="57">
        <v>46</v>
      </c>
      <c r="G195" s="59">
        <v>4.9000000000000004</v>
      </c>
      <c r="H195" s="57">
        <f>IF(MONTH(Call_Centre_Data[[#This Row],[Date of Call]])&lt;=6,YEAR(Call_Centre_Data[[#This Row],[Date of Call]]),YEAR(Call_Centre_Data[[#This Row],[Date of Call]])+1)</f>
        <v>2023</v>
      </c>
      <c r="I195" s="39" t="str">
        <f>TEXT(Call_Centre_Data[[#This Row],[Date of Call]],"DDDD")</f>
        <v>Friday</v>
      </c>
      <c r="J195" s="39" t="str" cm="1">
        <f t="array" ref="J195">_xlfn.IFS(Call_Centre_Data[[#This Row],[Duration]]&lt;=10,"Under 10 Mins", Call_Centre_Data[[#This Row],[Duration]]&lt;=30,"10-30 Mins",Call_Centre_Data[[#This Row],[Duration]]&lt;=60,"30-60 Mins",Call_Centre_Data[[#This Row],[Duration]]&lt;=120,"1-2 Hours",TRUE,"More than 2 Hours")</f>
        <v>1-2 Hours</v>
      </c>
      <c r="K195" s="91">
        <f>ROUND(Call_Centre_Data[[#This Row],[Satisfaction Rating]],0)</f>
        <v>5</v>
      </c>
    </row>
    <row r="196" spans="1:11" x14ac:dyDescent="0.35">
      <c r="A196" s="56" t="s">
        <v>1201</v>
      </c>
      <c r="B196" s="57" t="s">
        <v>991</v>
      </c>
      <c r="C196" s="87">
        <v>155</v>
      </c>
      <c r="D196" s="57" t="s">
        <v>989</v>
      </c>
      <c r="E196" s="58">
        <v>44995</v>
      </c>
      <c r="F196" s="57">
        <v>164</v>
      </c>
      <c r="G196" s="59">
        <v>3.4</v>
      </c>
      <c r="H196" s="57">
        <f>IF(MONTH(Call_Centre_Data[[#This Row],[Date of Call]])&lt;=6,YEAR(Call_Centre_Data[[#This Row],[Date of Call]]),YEAR(Call_Centre_Data[[#This Row],[Date of Call]])+1)</f>
        <v>2023</v>
      </c>
      <c r="I196" s="39" t="str">
        <f>TEXT(Call_Centre_Data[[#This Row],[Date of Call]],"DDDD")</f>
        <v>Friday</v>
      </c>
      <c r="J196" s="39" t="str" cm="1">
        <f t="array" ref="J196">_xlfn.IFS(Call_Centre_Data[[#This Row],[Duration]]&lt;=10,"Under 10 Mins", Call_Centre_Data[[#This Row],[Duration]]&lt;=30,"10-30 Mins",Call_Centre_Data[[#This Row],[Duration]]&lt;=60,"30-60 Mins",Call_Centre_Data[[#This Row],[Duration]]&lt;=120,"1-2 Hours",TRUE,"More than 2 Hours")</f>
        <v>More than 2 Hours</v>
      </c>
      <c r="K196" s="91">
        <f>ROUND(Call_Centre_Data[[#This Row],[Satisfaction Rating]],0)</f>
        <v>3</v>
      </c>
    </row>
    <row r="197" spans="1:11" x14ac:dyDescent="0.35">
      <c r="A197" s="56" t="s">
        <v>1202</v>
      </c>
      <c r="B197" s="57" t="s">
        <v>1002</v>
      </c>
      <c r="C197" s="87">
        <v>63</v>
      </c>
      <c r="D197" s="57" t="s">
        <v>1004</v>
      </c>
      <c r="E197" s="58">
        <v>44995</v>
      </c>
      <c r="F197" s="57">
        <v>48</v>
      </c>
      <c r="G197" s="59">
        <v>5</v>
      </c>
      <c r="H197" s="57">
        <f>IF(MONTH(Call_Centre_Data[[#This Row],[Date of Call]])&lt;=6,YEAR(Call_Centre_Data[[#This Row],[Date of Call]]),YEAR(Call_Centre_Data[[#This Row],[Date of Call]])+1)</f>
        <v>2023</v>
      </c>
      <c r="I197" s="39" t="str">
        <f>TEXT(Call_Centre_Data[[#This Row],[Date of Call]],"DDDD")</f>
        <v>Friday</v>
      </c>
      <c r="J197" s="39" t="str" cm="1">
        <f t="array" ref="J197">_xlfn.IFS(Call_Centre_Data[[#This Row],[Duration]]&lt;=10,"Under 10 Mins", Call_Centre_Data[[#This Row],[Duration]]&lt;=30,"10-30 Mins",Call_Centre_Data[[#This Row],[Duration]]&lt;=60,"30-60 Mins",Call_Centre_Data[[#This Row],[Duration]]&lt;=120,"1-2 Hours",TRUE,"More than 2 Hours")</f>
        <v>1-2 Hours</v>
      </c>
      <c r="K197" s="91">
        <f>ROUND(Call_Centre_Data[[#This Row],[Satisfaction Rating]],0)</f>
        <v>5</v>
      </c>
    </row>
    <row r="198" spans="1:11" x14ac:dyDescent="0.35">
      <c r="A198" s="56" t="s">
        <v>1203</v>
      </c>
      <c r="B198" s="57" t="s">
        <v>993</v>
      </c>
      <c r="C198" s="87">
        <v>105</v>
      </c>
      <c r="D198" s="57" t="s">
        <v>994</v>
      </c>
      <c r="E198" s="58">
        <v>44995</v>
      </c>
      <c r="F198" s="57">
        <v>96</v>
      </c>
      <c r="G198" s="59">
        <v>5</v>
      </c>
      <c r="H198" s="57">
        <f>IF(MONTH(Call_Centre_Data[[#This Row],[Date of Call]])&lt;=6,YEAR(Call_Centre_Data[[#This Row],[Date of Call]]),YEAR(Call_Centre_Data[[#This Row],[Date of Call]])+1)</f>
        <v>2023</v>
      </c>
      <c r="I198" s="39" t="str">
        <f>TEXT(Call_Centre_Data[[#This Row],[Date of Call]],"DDDD")</f>
        <v>Friday</v>
      </c>
      <c r="J198" s="39" t="str" cm="1">
        <f t="array" ref="J198">_xlfn.IFS(Call_Centre_Data[[#This Row],[Duration]]&lt;=10,"Under 10 Mins", Call_Centre_Data[[#This Row],[Duration]]&lt;=30,"10-30 Mins",Call_Centre_Data[[#This Row],[Duration]]&lt;=60,"30-60 Mins",Call_Centre_Data[[#This Row],[Duration]]&lt;=120,"1-2 Hours",TRUE,"More than 2 Hours")</f>
        <v>1-2 Hours</v>
      </c>
      <c r="K198" s="91">
        <f>ROUND(Call_Centre_Data[[#This Row],[Satisfaction Rating]],0)</f>
        <v>5</v>
      </c>
    </row>
    <row r="199" spans="1:11" x14ac:dyDescent="0.35">
      <c r="A199" s="56" t="s">
        <v>1204</v>
      </c>
      <c r="B199" s="57" t="s">
        <v>1002</v>
      </c>
      <c r="C199" s="87">
        <v>71</v>
      </c>
      <c r="D199" s="57" t="s">
        <v>1004</v>
      </c>
      <c r="E199" s="58">
        <v>44995</v>
      </c>
      <c r="F199" s="57">
        <v>105</v>
      </c>
      <c r="G199" s="59">
        <v>4</v>
      </c>
      <c r="H199" s="57">
        <f>IF(MONTH(Call_Centre_Data[[#This Row],[Date of Call]])&lt;=6,YEAR(Call_Centre_Data[[#This Row],[Date of Call]]),YEAR(Call_Centre_Data[[#This Row],[Date of Call]])+1)</f>
        <v>2023</v>
      </c>
      <c r="I199" s="39" t="str">
        <f>TEXT(Call_Centre_Data[[#This Row],[Date of Call]],"DDDD")</f>
        <v>Friday</v>
      </c>
      <c r="J199" s="39" t="str" cm="1">
        <f t="array" ref="J199">_xlfn.IFS(Call_Centre_Data[[#This Row],[Duration]]&lt;=10,"Under 10 Mins", Call_Centre_Data[[#This Row],[Duration]]&lt;=30,"10-30 Mins",Call_Centre_Data[[#This Row],[Duration]]&lt;=60,"30-60 Mins",Call_Centre_Data[[#This Row],[Duration]]&lt;=120,"1-2 Hours",TRUE,"More than 2 Hours")</f>
        <v>1-2 Hours</v>
      </c>
      <c r="K199" s="91">
        <f>ROUND(Call_Centre_Data[[#This Row],[Satisfaction Rating]],0)</f>
        <v>4</v>
      </c>
    </row>
    <row r="200" spans="1:11" x14ac:dyDescent="0.35">
      <c r="A200" s="56" t="s">
        <v>1205</v>
      </c>
      <c r="B200" s="57" t="s">
        <v>991</v>
      </c>
      <c r="C200" s="87">
        <v>100</v>
      </c>
      <c r="D200" s="57" t="s">
        <v>1004</v>
      </c>
      <c r="E200" s="58">
        <v>44996</v>
      </c>
      <c r="F200" s="57">
        <v>44</v>
      </c>
      <c r="G200" s="59">
        <v>3.6</v>
      </c>
      <c r="H200" s="57">
        <f>IF(MONTH(Call_Centre_Data[[#This Row],[Date of Call]])&lt;=6,YEAR(Call_Centre_Data[[#This Row],[Date of Call]]),YEAR(Call_Centre_Data[[#This Row],[Date of Call]])+1)</f>
        <v>2023</v>
      </c>
      <c r="I200" s="39" t="str">
        <f>TEXT(Call_Centre_Data[[#This Row],[Date of Call]],"DDDD")</f>
        <v>Saturday</v>
      </c>
      <c r="J200" s="39" t="str" cm="1">
        <f t="array" ref="J200">_xlfn.IFS(Call_Centre_Data[[#This Row],[Duration]]&lt;=10,"Under 10 Mins", Call_Centre_Data[[#This Row],[Duration]]&lt;=30,"10-30 Mins",Call_Centre_Data[[#This Row],[Duration]]&lt;=60,"30-60 Mins",Call_Centre_Data[[#This Row],[Duration]]&lt;=120,"1-2 Hours",TRUE,"More than 2 Hours")</f>
        <v>1-2 Hours</v>
      </c>
      <c r="K200" s="91">
        <f>ROUND(Call_Centre_Data[[#This Row],[Satisfaction Rating]],0)</f>
        <v>4</v>
      </c>
    </row>
    <row r="201" spans="1:11" x14ac:dyDescent="0.35">
      <c r="A201" s="56" t="s">
        <v>1206</v>
      </c>
      <c r="B201" s="57" t="s">
        <v>988</v>
      </c>
      <c r="C201" s="87">
        <v>93</v>
      </c>
      <c r="D201" s="57" t="s">
        <v>999</v>
      </c>
      <c r="E201" s="58">
        <v>44996</v>
      </c>
      <c r="F201" s="57">
        <v>132</v>
      </c>
      <c r="G201" s="59">
        <v>3.7</v>
      </c>
      <c r="H201" s="57">
        <f>IF(MONTH(Call_Centre_Data[[#This Row],[Date of Call]])&lt;=6,YEAR(Call_Centre_Data[[#This Row],[Date of Call]]),YEAR(Call_Centre_Data[[#This Row],[Date of Call]])+1)</f>
        <v>2023</v>
      </c>
      <c r="I201" s="39" t="str">
        <f>TEXT(Call_Centre_Data[[#This Row],[Date of Call]],"DDDD")</f>
        <v>Saturday</v>
      </c>
      <c r="J201" s="39" t="str" cm="1">
        <f t="array" ref="J201">_xlfn.IFS(Call_Centre_Data[[#This Row],[Duration]]&lt;=10,"Under 10 Mins", Call_Centre_Data[[#This Row],[Duration]]&lt;=30,"10-30 Mins",Call_Centre_Data[[#This Row],[Duration]]&lt;=60,"30-60 Mins",Call_Centre_Data[[#This Row],[Duration]]&lt;=120,"1-2 Hours",TRUE,"More than 2 Hours")</f>
        <v>1-2 Hours</v>
      </c>
      <c r="K201" s="91">
        <f>ROUND(Call_Centre_Data[[#This Row],[Satisfaction Rating]],0)</f>
        <v>4</v>
      </c>
    </row>
    <row r="202" spans="1:11" x14ac:dyDescent="0.35">
      <c r="A202" s="56" t="s">
        <v>1207</v>
      </c>
      <c r="B202" s="57" t="s">
        <v>993</v>
      </c>
      <c r="C202" s="87">
        <v>84</v>
      </c>
      <c r="D202" s="57" t="s">
        <v>989</v>
      </c>
      <c r="E202" s="58">
        <v>44996</v>
      </c>
      <c r="F202" s="57">
        <v>54</v>
      </c>
      <c r="G202" s="59">
        <v>4.2</v>
      </c>
      <c r="H202" s="57">
        <f>IF(MONTH(Call_Centre_Data[[#This Row],[Date of Call]])&lt;=6,YEAR(Call_Centre_Data[[#This Row],[Date of Call]]),YEAR(Call_Centre_Data[[#This Row],[Date of Call]])+1)</f>
        <v>2023</v>
      </c>
      <c r="I202" s="39" t="str">
        <f>TEXT(Call_Centre_Data[[#This Row],[Date of Call]],"DDDD")</f>
        <v>Saturday</v>
      </c>
      <c r="J202" s="39" t="str" cm="1">
        <f t="array" ref="J202">_xlfn.IFS(Call_Centre_Data[[#This Row],[Duration]]&lt;=10,"Under 10 Mins", Call_Centre_Data[[#This Row],[Duration]]&lt;=30,"10-30 Mins",Call_Centre_Data[[#This Row],[Duration]]&lt;=60,"30-60 Mins",Call_Centre_Data[[#This Row],[Duration]]&lt;=120,"1-2 Hours",TRUE,"More than 2 Hours")</f>
        <v>1-2 Hours</v>
      </c>
      <c r="K202" s="91">
        <f>ROUND(Call_Centre_Data[[#This Row],[Satisfaction Rating]],0)</f>
        <v>4</v>
      </c>
    </row>
    <row r="203" spans="1:11" x14ac:dyDescent="0.35">
      <c r="A203" s="56" t="s">
        <v>1208</v>
      </c>
      <c r="B203" s="57" t="s">
        <v>1040</v>
      </c>
      <c r="C203" s="87">
        <v>56</v>
      </c>
      <c r="D203" s="57" t="s">
        <v>1008</v>
      </c>
      <c r="E203" s="58">
        <v>44996</v>
      </c>
      <c r="F203" s="57">
        <v>129</v>
      </c>
      <c r="G203" s="59">
        <v>2.1</v>
      </c>
      <c r="H203" s="57">
        <f>IF(MONTH(Call_Centre_Data[[#This Row],[Date of Call]])&lt;=6,YEAR(Call_Centre_Data[[#This Row],[Date of Call]]),YEAR(Call_Centre_Data[[#This Row],[Date of Call]])+1)</f>
        <v>2023</v>
      </c>
      <c r="I203" s="39" t="str">
        <f>TEXT(Call_Centre_Data[[#This Row],[Date of Call]],"DDDD")</f>
        <v>Saturday</v>
      </c>
      <c r="J203" s="39" t="str" cm="1">
        <f t="array" ref="J203">_xlfn.IFS(Call_Centre_Data[[#This Row],[Duration]]&lt;=10,"Under 10 Mins", Call_Centre_Data[[#This Row],[Duration]]&lt;=30,"10-30 Mins",Call_Centre_Data[[#This Row],[Duration]]&lt;=60,"30-60 Mins",Call_Centre_Data[[#This Row],[Duration]]&lt;=120,"1-2 Hours",TRUE,"More than 2 Hours")</f>
        <v>30-60 Mins</v>
      </c>
      <c r="K203" s="91">
        <f>ROUND(Call_Centre_Data[[#This Row],[Satisfaction Rating]],0)</f>
        <v>2</v>
      </c>
    </row>
    <row r="204" spans="1:11" x14ac:dyDescent="0.35">
      <c r="A204" s="56" t="s">
        <v>1209</v>
      </c>
      <c r="B204" s="57" t="s">
        <v>1040</v>
      </c>
      <c r="C204" s="87">
        <v>63</v>
      </c>
      <c r="D204" s="57" t="s">
        <v>1004</v>
      </c>
      <c r="E204" s="58">
        <v>44996</v>
      </c>
      <c r="F204" s="57">
        <v>42</v>
      </c>
      <c r="G204" s="59">
        <v>4</v>
      </c>
      <c r="H204" s="57">
        <f>IF(MONTH(Call_Centre_Data[[#This Row],[Date of Call]])&lt;=6,YEAR(Call_Centre_Data[[#This Row],[Date of Call]]),YEAR(Call_Centre_Data[[#This Row],[Date of Call]])+1)</f>
        <v>2023</v>
      </c>
      <c r="I204" s="39" t="str">
        <f>TEXT(Call_Centre_Data[[#This Row],[Date of Call]],"DDDD")</f>
        <v>Saturday</v>
      </c>
      <c r="J204" s="39" t="str" cm="1">
        <f t="array" ref="J204">_xlfn.IFS(Call_Centre_Data[[#This Row],[Duration]]&lt;=10,"Under 10 Mins", Call_Centre_Data[[#This Row],[Duration]]&lt;=30,"10-30 Mins",Call_Centre_Data[[#This Row],[Duration]]&lt;=60,"30-60 Mins",Call_Centre_Data[[#This Row],[Duration]]&lt;=120,"1-2 Hours",TRUE,"More than 2 Hours")</f>
        <v>1-2 Hours</v>
      </c>
      <c r="K204" s="91">
        <f>ROUND(Call_Centre_Data[[#This Row],[Satisfaction Rating]],0)</f>
        <v>4</v>
      </c>
    </row>
    <row r="205" spans="1:11" x14ac:dyDescent="0.35">
      <c r="A205" s="56" t="s">
        <v>1210</v>
      </c>
      <c r="B205" s="57" t="s">
        <v>1019</v>
      </c>
      <c r="C205" s="87">
        <v>83</v>
      </c>
      <c r="D205" s="57" t="s">
        <v>1004</v>
      </c>
      <c r="E205" s="58">
        <v>44996</v>
      </c>
      <c r="F205" s="57">
        <v>42</v>
      </c>
      <c r="G205" s="59">
        <v>4.2</v>
      </c>
      <c r="H205" s="57">
        <f>IF(MONTH(Call_Centre_Data[[#This Row],[Date of Call]])&lt;=6,YEAR(Call_Centre_Data[[#This Row],[Date of Call]]),YEAR(Call_Centre_Data[[#This Row],[Date of Call]])+1)</f>
        <v>2023</v>
      </c>
      <c r="I205" s="39" t="str">
        <f>TEXT(Call_Centre_Data[[#This Row],[Date of Call]],"DDDD")</f>
        <v>Saturday</v>
      </c>
      <c r="J205" s="39" t="str" cm="1">
        <f t="array" ref="J205">_xlfn.IFS(Call_Centre_Data[[#This Row],[Duration]]&lt;=10,"Under 10 Mins", Call_Centre_Data[[#This Row],[Duration]]&lt;=30,"10-30 Mins",Call_Centre_Data[[#This Row],[Duration]]&lt;=60,"30-60 Mins",Call_Centre_Data[[#This Row],[Duration]]&lt;=120,"1-2 Hours",TRUE,"More than 2 Hours")</f>
        <v>1-2 Hours</v>
      </c>
      <c r="K205" s="91">
        <f>ROUND(Call_Centre_Data[[#This Row],[Satisfaction Rating]],0)</f>
        <v>4</v>
      </c>
    </row>
    <row r="206" spans="1:11" x14ac:dyDescent="0.35">
      <c r="A206" s="56" t="s">
        <v>1211</v>
      </c>
      <c r="B206" s="57" t="s">
        <v>1011</v>
      </c>
      <c r="C206" s="87">
        <v>134</v>
      </c>
      <c r="D206" s="57" t="s">
        <v>989</v>
      </c>
      <c r="E206" s="58">
        <v>44996</v>
      </c>
      <c r="F206" s="57">
        <v>180</v>
      </c>
      <c r="G206" s="59">
        <v>3.1</v>
      </c>
      <c r="H206" s="57">
        <f>IF(MONTH(Call_Centre_Data[[#This Row],[Date of Call]])&lt;=6,YEAR(Call_Centre_Data[[#This Row],[Date of Call]]),YEAR(Call_Centre_Data[[#This Row],[Date of Call]])+1)</f>
        <v>2023</v>
      </c>
      <c r="I206" s="39" t="str">
        <f>TEXT(Call_Centre_Data[[#This Row],[Date of Call]],"DDDD")</f>
        <v>Saturday</v>
      </c>
      <c r="J206" s="39" t="str" cm="1">
        <f t="array" ref="J206">_xlfn.IFS(Call_Centre_Data[[#This Row],[Duration]]&lt;=10,"Under 10 Mins", Call_Centre_Data[[#This Row],[Duration]]&lt;=30,"10-30 Mins",Call_Centre_Data[[#This Row],[Duration]]&lt;=60,"30-60 Mins",Call_Centre_Data[[#This Row],[Duration]]&lt;=120,"1-2 Hours",TRUE,"More than 2 Hours")</f>
        <v>More than 2 Hours</v>
      </c>
      <c r="K206" s="91">
        <f>ROUND(Call_Centre_Data[[#This Row],[Satisfaction Rating]],0)</f>
        <v>3</v>
      </c>
    </row>
    <row r="207" spans="1:11" x14ac:dyDescent="0.35">
      <c r="A207" s="56" t="s">
        <v>1212</v>
      </c>
      <c r="B207" s="57" t="s">
        <v>998</v>
      </c>
      <c r="C207" s="87">
        <v>73</v>
      </c>
      <c r="D207" s="57" t="s">
        <v>1004</v>
      </c>
      <c r="E207" s="58">
        <v>44997</v>
      </c>
      <c r="F207" s="57">
        <v>34</v>
      </c>
      <c r="G207" s="59">
        <v>4.8</v>
      </c>
      <c r="H207" s="57">
        <f>IF(MONTH(Call_Centre_Data[[#This Row],[Date of Call]])&lt;=6,YEAR(Call_Centre_Data[[#This Row],[Date of Call]]),YEAR(Call_Centre_Data[[#This Row],[Date of Call]])+1)</f>
        <v>2023</v>
      </c>
      <c r="I207" s="39" t="str">
        <f>TEXT(Call_Centre_Data[[#This Row],[Date of Call]],"DDDD")</f>
        <v>Sunday</v>
      </c>
      <c r="J207" s="39" t="str" cm="1">
        <f t="array" ref="J207">_xlfn.IFS(Call_Centre_Data[[#This Row],[Duration]]&lt;=10,"Under 10 Mins", Call_Centre_Data[[#This Row],[Duration]]&lt;=30,"10-30 Mins",Call_Centre_Data[[#This Row],[Duration]]&lt;=60,"30-60 Mins",Call_Centre_Data[[#This Row],[Duration]]&lt;=120,"1-2 Hours",TRUE,"More than 2 Hours")</f>
        <v>1-2 Hours</v>
      </c>
      <c r="K207" s="91">
        <f>ROUND(Call_Centre_Data[[#This Row],[Satisfaction Rating]],0)</f>
        <v>5</v>
      </c>
    </row>
    <row r="208" spans="1:11" x14ac:dyDescent="0.35">
      <c r="A208" s="56" t="s">
        <v>1213</v>
      </c>
      <c r="B208" s="57" t="s">
        <v>1060</v>
      </c>
      <c r="C208" s="87">
        <v>6</v>
      </c>
      <c r="D208" s="57" t="s">
        <v>1008</v>
      </c>
      <c r="E208" s="58">
        <v>44997</v>
      </c>
      <c r="F208" s="57">
        <v>29</v>
      </c>
      <c r="G208" s="59">
        <v>4.7</v>
      </c>
      <c r="H208" s="57">
        <f>IF(MONTH(Call_Centre_Data[[#This Row],[Date of Call]])&lt;=6,YEAR(Call_Centre_Data[[#This Row],[Date of Call]]),YEAR(Call_Centre_Data[[#This Row],[Date of Call]])+1)</f>
        <v>2023</v>
      </c>
      <c r="I208" s="39" t="str">
        <f>TEXT(Call_Centre_Data[[#This Row],[Date of Call]],"DDDD")</f>
        <v>Sunday</v>
      </c>
      <c r="J208" s="39" t="str" cm="1">
        <f t="array" ref="J208">_xlfn.IFS(Call_Centre_Data[[#This Row],[Duration]]&lt;=10,"Under 10 Mins", Call_Centre_Data[[#This Row],[Duration]]&lt;=30,"10-30 Mins",Call_Centre_Data[[#This Row],[Duration]]&lt;=60,"30-60 Mins",Call_Centre_Data[[#This Row],[Duration]]&lt;=120,"1-2 Hours",TRUE,"More than 2 Hours")</f>
        <v>Under 10 Mins</v>
      </c>
      <c r="K208" s="91">
        <f>ROUND(Call_Centre_Data[[#This Row],[Satisfaction Rating]],0)</f>
        <v>5</v>
      </c>
    </row>
    <row r="209" spans="1:11" x14ac:dyDescent="0.35">
      <c r="A209" s="56" t="s">
        <v>1214</v>
      </c>
      <c r="B209" s="57" t="s">
        <v>1030</v>
      </c>
      <c r="C209" s="87">
        <v>46</v>
      </c>
      <c r="D209" s="57" t="s">
        <v>994</v>
      </c>
      <c r="E209" s="58">
        <v>44997</v>
      </c>
      <c r="F209" s="57">
        <v>165</v>
      </c>
      <c r="G209" s="59">
        <v>3.3</v>
      </c>
      <c r="H209" s="57">
        <f>IF(MONTH(Call_Centre_Data[[#This Row],[Date of Call]])&lt;=6,YEAR(Call_Centre_Data[[#This Row],[Date of Call]]),YEAR(Call_Centre_Data[[#This Row],[Date of Call]])+1)</f>
        <v>2023</v>
      </c>
      <c r="I209" s="39" t="str">
        <f>TEXT(Call_Centre_Data[[#This Row],[Date of Call]],"DDDD")</f>
        <v>Sunday</v>
      </c>
      <c r="J209" s="39" t="str" cm="1">
        <f t="array" ref="J209">_xlfn.IFS(Call_Centre_Data[[#This Row],[Duration]]&lt;=10,"Under 10 Mins", Call_Centre_Data[[#This Row],[Duration]]&lt;=30,"10-30 Mins",Call_Centre_Data[[#This Row],[Duration]]&lt;=60,"30-60 Mins",Call_Centre_Data[[#This Row],[Duration]]&lt;=120,"1-2 Hours",TRUE,"More than 2 Hours")</f>
        <v>30-60 Mins</v>
      </c>
      <c r="K209" s="91">
        <f>ROUND(Call_Centre_Data[[#This Row],[Satisfaction Rating]],0)</f>
        <v>3</v>
      </c>
    </row>
    <row r="210" spans="1:11" x14ac:dyDescent="0.35">
      <c r="A210" s="56" t="s">
        <v>1215</v>
      </c>
      <c r="B210" s="57" t="s">
        <v>1060</v>
      </c>
      <c r="C210" s="87">
        <v>121</v>
      </c>
      <c r="D210" s="57" t="s">
        <v>1004</v>
      </c>
      <c r="E210" s="58">
        <v>44998</v>
      </c>
      <c r="F210" s="57">
        <v>32</v>
      </c>
      <c r="G210" s="59">
        <v>3.7</v>
      </c>
      <c r="H210" s="57">
        <f>IF(MONTH(Call_Centre_Data[[#This Row],[Date of Call]])&lt;=6,YEAR(Call_Centre_Data[[#This Row],[Date of Call]]),YEAR(Call_Centre_Data[[#This Row],[Date of Call]])+1)</f>
        <v>2023</v>
      </c>
      <c r="I210" s="39" t="str">
        <f>TEXT(Call_Centre_Data[[#This Row],[Date of Call]],"DDDD")</f>
        <v>Monday</v>
      </c>
      <c r="J210" s="39" t="str" cm="1">
        <f t="array" ref="J210">_xlfn.IFS(Call_Centre_Data[[#This Row],[Duration]]&lt;=10,"Under 10 Mins", Call_Centre_Data[[#This Row],[Duration]]&lt;=30,"10-30 Mins",Call_Centre_Data[[#This Row],[Duration]]&lt;=60,"30-60 Mins",Call_Centre_Data[[#This Row],[Duration]]&lt;=120,"1-2 Hours",TRUE,"More than 2 Hours")</f>
        <v>More than 2 Hours</v>
      </c>
      <c r="K210" s="91">
        <f>ROUND(Call_Centre_Data[[#This Row],[Satisfaction Rating]],0)</f>
        <v>4</v>
      </c>
    </row>
    <row r="211" spans="1:11" x14ac:dyDescent="0.35">
      <c r="A211" s="56" t="s">
        <v>1216</v>
      </c>
      <c r="B211" s="57" t="s">
        <v>1040</v>
      </c>
      <c r="C211" s="87">
        <v>61</v>
      </c>
      <c r="D211" s="57" t="s">
        <v>999</v>
      </c>
      <c r="E211" s="58">
        <v>44998</v>
      </c>
      <c r="F211" s="57">
        <v>160</v>
      </c>
      <c r="G211" s="59">
        <v>4.9000000000000004</v>
      </c>
      <c r="H211" s="57">
        <f>IF(MONTH(Call_Centre_Data[[#This Row],[Date of Call]])&lt;=6,YEAR(Call_Centre_Data[[#This Row],[Date of Call]]),YEAR(Call_Centre_Data[[#This Row],[Date of Call]])+1)</f>
        <v>2023</v>
      </c>
      <c r="I211" s="39" t="str">
        <f>TEXT(Call_Centre_Data[[#This Row],[Date of Call]],"DDDD")</f>
        <v>Monday</v>
      </c>
      <c r="J211" s="39" t="str" cm="1">
        <f t="array" ref="J211">_xlfn.IFS(Call_Centre_Data[[#This Row],[Duration]]&lt;=10,"Under 10 Mins", Call_Centre_Data[[#This Row],[Duration]]&lt;=30,"10-30 Mins",Call_Centre_Data[[#This Row],[Duration]]&lt;=60,"30-60 Mins",Call_Centre_Data[[#This Row],[Duration]]&lt;=120,"1-2 Hours",TRUE,"More than 2 Hours")</f>
        <v>1-2 Hours</v>
      </c>
      <c r="K211" s="91">
        <f>ROUND(Call_Centre_Data[[#This Row],[Satisfaction Rating]],0)</f>
        <v>5</v>
      </c>
    </row>
    <row r="212" spans="1:11" x14ac:dyDescent="0.35">
      <c r="A212" s="56" t="s">
        <v>1217</v>
      </c>
      <c r="B212" s="57" t="s">
        <v>1011</v>
      </c>
      <c r="C212" s="87">
        <v>144</v>
      </c>
      <c r="D212" s="57" t="s">
        <v>989</v>
      </c>
      <c r="E212" s="58">
        <v>44998</v>
      </c>
      <c r="F212" s="57">
        <v>140</v>
      </c>
      <c r="G212" s="59">
        <v>3.5</v>
      </c>
      <c r="H212" s="57">
        <f>IF(MONTH(Call_Centre_Data[[#This Row],[Date of Call]])&lt;=6,YEAR(Call_Centre_Data[[#This Row],[Date of Call]]),YEAR(Call_Centre_Data[[#This Row],[Date of Call]])+1)</f>
        <v>2023</v>
      </c>
      <c r="I212" s="39" t="str">
        <f>TEXT(Call_Centre_Data[[#This Row],[Date of Call]],"DDDD")</f>
        <v>Monday</v>
      </c>
      <c r="J212" s="39" t="str" cm="1">
        <f t="array" ref="J212">_xlfn.IFS(Call_Centre_Data[[#This Row],[Duration]]&lt;=10,"Under 10 Mins", Call_Centre_Data[[#This Row],[Duration]]&lt;=30,"10-30 Mins",Call_Centre_Data[[#This Row],[Duration]]&lt;=60,"30-60 Mins",Call_Centre_Data[[#This Row],[Duration]]&lt;=120,"1-2 Hours",TRUE,"More than 2 Hours")</f>
        <v>More than 2 Hours</v>
      </c>
      <c r="K212" s="91">
        <f>ROUND(Call_Centre_Data[[#This Row],[Satisfaction Rating]],0)</f>
        <v>4</v>
      </c>
    </row>
    <row r="213" spans="1:11" x14ac:dyDescent="0.35">
      <c r="A213" s="56" t="s">
        <v>1218</v>
      </c>
      <c r="B213" s="57" t="s">
        <v>1030</v>
      </c>
      <c r="C213" s="87">
        <v>145</v>
      </c>
      <c r="D213" s="57" t="s">
        <v>989</v>
      </c>
      <c r="E213" s="58">
        <v>44998</v>
      </c>
      <c r="F213" s="57">
        <v>136</v>
      </c>
      <c r="G213" s="59">
        <v>4.4000000000000004</v>
      </c>
      <c r="H213" s="57">
        <f>IF(MONTH(Call_Centre_Data[[#This Row],[Date of Call]])&lt;=6,YEAR(Call_Centre_Data[[#This Row],[Date of Call]]),YEAR(Call_Centre_Data[[#This Row],[Date of Call]])+1)</f>
        <v>2023</v>
      </c>
      <c r="I213" s="39" t="str">
        <f>TEXT(Call_Centre_Data[[#This Row],[Date of Call]],"DDDD")</f>
        <v>Monday</v>
      </c>
      <c r="J213" s="39" t="str" cm="1">
        <f t="array" ref="J213">_xlfn.IFS(Call_Centre_Data[[#This Row],[Duration]]&lt;=10,"Under 10 Mins", Call_Centre_Data[[#This Row],[Duration]]&lt;=30,"10-30 Mins",Call_Centre_Data[[#This Row],[Duration]]&lt;=60,"30-60 Mins",Call_Centre_Data[[#This Row],[Duration]]&lt;=120,"1-2 Hours",TRUE,"More than 2 Hours")</f>
        <v>More than 2 Hours</v>
      </c>
      <c r="K213" s="91">
        <f>ROUND(Call_Centre_Data[[#This Row],[Satisfaction Rating]],0)</f>
        <v>4</v>
      </c>
    </row>
    <row r="214" spans="1:11" x14ac:dyDescent="0.35">
      <c r="A214" s="56" t="s">
        <v>1219</v>
      </c>
      <c r="B214" s="57" t="s">
        <v>993</v>
      </c>
      <c r="C214" s="87">
        <v>85</v>
      </c>
      <c r="D214" s="57" t="s">
        <v>1008</v>
      </c>
      <c r="E214" s="58">
        <v>44998</v>
      </c>
      <c r="F214" s="57">
        <v>66</v>
      </c>
      <c r="G214" s="59">
        <v>2.8</v>
      </c>
      <c r="H214" s="57">
        <f>IF(MONTH(Call_Centre_Data[[#This Row],[Date of Call]])&lt;=6,YEAR(Call_Centre_Data[[#This Row],[Date of Call]]),YEAR(Call_Centre_Data[[#This Row],[Date of Call]])+1)</f>
        <v>2023</v>
      </c>
      <c r="I214" s="39" t="str">
        <f>TEXT(Call_Centre_Data[[#This Row],[Date of Call]],"DDDD")</f>
        <v>Monday</v>
      </c>
      <c r="J214" s="39" t="str" cm="1">
        <f t="array" ref="J214">_xlfn.IFS(Call_Centre_Data[[#This Row],[Duration]]&lt;=10,"Under 10 Mins", Call_Centre_Data[[#This Row],[Duration]]&lt;=30,"10-30 Mins",Call_Centre_Data[[#This Row],[Duration]]&lt;=60,"30-60 Mins",Call_Centre_Data[[#This Row],[Duration]]&lt;=120,"1-2 Hours",TRUE,"More than 2 Hours")</f>
        <v>1-2 Hours</v>
      </c>
      <c r="K214" s="91">
        <f>ROUND(Call_Centre_Data[[#This Row],[Satisfaction Rating]],0)</f>
        <v>3</v>
      </c>
    </row>
    <row r="215" spans="1:11" x14ac:dyDescent="0.35">
      <c r="A215" s="56" t="s">
        <v>1220</v>
      </c>
      <c r="B215" s="57" t="s">
        <v>1030</v>
      </c>
      <c r="C215" s="87">
        <v>13</v>
      </c>
      <c r="D215" s="57" t="s">
        <v>999</v>
      </c>
      <c r="E215" s="58">
        <v>44999</v>
      </c>
      <c r="F215" s="57">
        <v>63</v>
      </c>
      <c r="G215" s="59">
        <v>4.0999999999999996</v>
      </c>
      <c r="H215" s="57">
        <f>IF(MONTH(Call_Centre_Data[[#This Row],[Date of Call]])&lt;=6,YEAR(Call_Centre_Data[[#This Row],[Date of Call]]),YEAR(Call_Centre_Data[[#This Row],[Date of Call]])+1)</f>
        <v>2023</v>
      </c>
      <c r="I215" s="39" t="str">
        <f>TEXT(Call_Centre_Data[[#This Row],[Date of Call]],"DDDD")</f>
        <v>Tuesday</v>
      </c>
      <c r="J215" s="39" t="str" cm="1">
        <f t="array" ref="J215">_xlfn.IFS(Call_Centre_Data[[#This Row],[Duration]]&lt;=10,"Under 10 Mins", Call_Centre_Data[[#This Row],[Duration]]&lt;=30,"10-30 Mins",Call_Centre_Data[[#This Row],[Duration]]&lt;=60,"30-60 Mins",Call_Centre_Data[[#This Row],[Duration]]&lt;=120,"1-2 Hours",TRUE,"More than 2 Hours")</f>
        <v>10-30 Mins</v>
      </c>
      <c r="K215" s="91">
        <f>ROUND(Call_Centre_Data[[#This Row],[Satisfaction Rating]],0)</f>
        <v>4</v>
      </c>
    </row>
    <row r="216" spans="1:11" x14ac:dyDescent="0.35">
      <c r="A216" s="56" t="s">
        <v>1221</v>
      </c>
      <c r="B216" s="57" t="s">
        <v>988</v>
      </c>
      <c r="C216" s="87">
        <v>142</v>
      </c>
      <c r="D216" s="57" t="s">
        <v>1004</v>
      </c>
      <c r="E216" s="58">
        <v>44999</v>
      </c>
      <c r="F216" s="57">
        <v>44</v>
      </c>
      <c r="G216" s="59">
        <v>3.5</v>
      </c>
      <c r="H216" s="57">
        <f>IF(MONTH(Call_Centre_Data[[#This Row],[Date of Call]])&lt;=6,YEAR(Call_Centre_Data[[#This Row],[Date of Call]]),YEAR(Call_Centre_Data[[#This Row],[Date of Call]])+1)</f>
        <v>2023</v>
      </c>
      <c r="I216" s="39" t="str">
        <f>TEXT(Call_Centre_Data[[#This Row],[Date of Call]],"DDDD")</f>
        <v>Tuesday</v>
      </c>
      <c r="J216" s="39" t="str" cm="1">
        <f t="array" ref="J216">_xlfn.IFS(Call_Centre_Data[[#This Row],[Duration]]&lt;=10,"Under 10 Mins", Call_Centre_Data[[#This Row],[Duration]]&lt;=30,"10-30 Mins",Call_Centre_Data[[#This Row],[Duration]]&lt;=60,"30-60 Mins",Call_Centre_Data[[#This Row],[Duration]]&lt;=120,"1-2 Hours",TRUE,"More than 2 Hours")</f>
        <v>More than 2 Hours</v>
      </c>
      <c r="K216" s="91">
        <f>ROUND(Call_Centre_Data[[#This Row],[Satisfaction Rating]],0)</f>
        <v>4</v>
      </c>
    </row>
    <row r="217" spans="1:11" x14ac:dyDescent="0.35">
      <c r="A217" s="56" t="s">
        <v>1222</v>
      </c>
      <c r="B217" s="57" t="s">
        <v>1011</v>
      </c>
      <c r="C217" s="87">
        <v>28</v>
      </c>
      <c r="D217" s="57" t="s">
        <v>994</v>
      </c>
      <c r="E217" s="58">
        <v>44999</v>
      </c>
      <c r="F217" s="57">
        <v>78</v>
      </c>
      <c r="G217" s="59">
        <v>3.8</v>
      </c>
      <c r="H217" s="57">
        <f>IF(MONTH(Call_Centre_Data[[#This Row],[Date of Call]])&lt;=6,YEAR(Call_Centre_Data[[#This Row],[Date of Call]]),YEAR(Call_Centre_Data[[#This Row],[Date of Call]])+1)</f>
        <v>2023</v>
      </c>
      <c r="I217" s="39" t="str">
        <f>TEXT(Call_Centre_Data[[#This Row],[Date of Call]],"DDDD")</f>
        <v>Tuesday</v>
      </c>
      <c r="J217" s="39" t="str" cm="1">
        <f t="array" ref="J217">_xlfn.IFS(Call_Centre_Data[[#This Row],[Duration]]&lt;=10,"Under 10 Mins", Call_Centre_Data[[#This Row],[Duration]]&lt;=30,"10-30 Mins",Call_Centre_Data[[#This Row],[Duration]]&lt;=60,"30-60 Mins",Call_Centre_Data[[#This Row],[Duration]]&lt;=120,"1-2 Hours",TRUE,"More than 2 Hours")</f>
        <v>10-30 Mins</v>
      </c>
      <c r="K217" s="91">
        <f>ROUND(Call_Centre_Data[[#This Row],[Satisfaction Rating]],0)</f>
        <v>4</v>
      </c>
    </row>
    <row r="218" spans="1:11" x14ac:dyDescent="0.35">
      <c r="A218" s="56" t="s">
        <v>1223</v>
      </c>
      <c r="B218" s="57" t="s">
        <v>1011</v>
      </c>
      <c r="C218" s="87">
        <v>119</v>
      </c>
      <c r="D218" s="57" t="s">
        <v>1004</v>
      </c>
      <c r="E218" s="58">
        <v>44999</v>
      </c>
      <c r="F218" s="57">
        <v>20</v>
      </c>
      <c r="G218" s="59">
        <v>3.9</v>
      </c>
      <c r="H218" s="57">
        <f>IF(MONTH(Call_Centre_Data[[#This Row],[Date of Call]])&lt;=6,YEAR(Call_Centre_Data[[#This Row],[Date of Call]]),YEAR(Call_Centre_Data[[#This Row],[Date of Call]])+1)</f>
        <v>2023</v>
      </c>
      <c r="I218" s="39" t="str">
        <f>TEXT(Call_Centre_Data[[#This Row],[Date of Call]],"DDDD")</f>
        <v>Tuesday</v>
      </c>
      <c r="J218" s="39" t="str" cm="1">
        <f t="array" ref="J218">_xlfn.IFS(Call_Centre_Data[[#This Row],[Duration]]&lt;=10,"Under 10 Mins", Call_Centre_Data[[#This Row],[Duration]]&lt;=30,"10-30 Mins",Call_Centre_Data[[#This Row],[Duration]]&lt;=60,"30-60 Mins",Call_Centre_Data[[#This Row],[Duration]]&lt;=120,"1-2 Hours",TRUE,"More than 2 Hours")</f>
        <v>1-2 Hours</v>
      </c>
      <c r="K218" s="91">
        <f>ROUND(Call_Centre_Data[[#This Row],[Satisfaction Rating]],0)</f>
        <v>4</v>
      </c>
    </row>
    <row r="219" spans="1:11" x14ac:dyDescent="0.35">
      <c r="A219" s="56" t="s">
        <v>1224</v>
      </c>
      <c r="B219" s="57" t="s">
        <v>1060</v>
      </c>
      <c r="C219" s="87">
        <v>65</v>
      </c>
      <c r="D219" s="57" t="s">
        <v>1008</v>
      </c>
      <c r="E219" s="58">
        <v>44999</v>
      </c>
      <c r="F219" s="57">
        <v>84</v>
      </c>
      <c r="G219" s="59">
        <v>2.5</v>
      </c>
      <c r="H219" s="57">
        <f>IF(MONTH(Call_Centre_Data[[#This Row],[Date of Call]])&lt;=6,YEAR(Call_Centre_Data[[#This Row],[Date of Call]]),YEAR(Call_Centre_Data[[#This Row],[Date of Call]])+1)</f>
        <v>2023</v>
      </c>
      <c r="I219" s="39" t="str">
        <f>TEXT(Call_Centre_Data[[#This Row],[Date of Call]],"DDDD")</f>
        <v>Tuesday</v>
      </c>
      <c r="J219" s="39" t="str" cm="1">
        <f t="array" ref="J219">_xlfn.IFS(Call_Centre_Data[[#This Row],[Duration]]&lt;=10,"Under 10 Mins", Call_Centre_Data[[#This Row],[Duration]]&lt;=30,"10-30 Mins",Call_Centre_Data[[#This Row],[Duration]]&lt;=60,"30-60 Mins",Call_Centre_Data[[#This Row],[Duration]]&lt;=120,"1-2 Hours",TRUE,"More than 2 Hours")</f>
        <v>1-2 Hours</v>
      </c>
      <c r="K219" s="91">
        <f>ROUND(Call_Centre_Data[[#This Row],[Satisfaction Rating]],0)</f>
        <v>3</v>
      </c>
    </row>
    <row r="220" spans="1:11" x14ac:dyDescent="0.35">
      <c r="A220" s="56" t="s">
        <v>1225</v>
      </c>
      <c r="B220" s="57" t="s">
        <v>1013</v>
      </c>
      <c r="C220" s="87">
        <v>68</v>
      </c>
      <c r="D220" s="57" t="s">
        <v>1008</v>
      </c>
      <c r="E220" s="58">
        <v>44999</v>
      </c>
      <c r="F220" s="57">
        <v>32</v>
      </c>
      <c r="G220" s="59">
        <v>4.9000000000000004</v>
      </c>
      <c r="H220" s="57">
        <f>IF(MONTH(Call_Centre_Data[[#This Row],[Date of Call]])&lt;=6,YEAR(Call_Centre_Data[[#This Row],[Date of Call]]),YEAR(Call_Centre_Data[[#This Row],[Date of Call]])+1)</f>
        <v>2023</v>
      </c>
      <c r="I220" s="39" t="str">
        <f>TEXT(Call_Centre_Data[[#This Row],[Date of Call]],"DDDD")</f>
        <v>Tuesday</v>
      </c>
      <c r="J220" s="39" t="str" cm="1">
        <f t="array" ref="J220">_xlfn.IFS(Call_Centre_Data[[#This Row],[Duration]]&lt;=10,"Under 10 Mins", Call_Centre_Data[[#This Row],[Duration]]&lt;=30,"10-30 Mins",Call_Centre_Data[[#This Row],[Duration]]&lt;=60,"30-60 Mins",Call_Centre_Data[[#This Row],[Duration]]&lt;=120,"1-2 Hours",TRUE,"More than 2 Hours")</f>
        <v>1-2 Hours</v>
      </c>
      <c r="K220" s="91">
        <f>ROUND(Call_Centre_Data[[#This Row],[Satisfaction Rating]],0)</f>
        <v>5</v>
      </c>
    </row>
    <row r="221" spans="1:11" x14ac:dyDescent="0.35">
      <c r="A221" s="56" t="s">
        <v>1226</v>
      </c>
      <c r="B221" s="57" t="s">
        <v>1019</v>
      </c>
      <c r="C221" s="87">
        <v>72</v>
      </c>
      <c r="D221" s="57" t="s">
        <v>994</v>
      </c>
      <c r="E221" s="58">
        <v>44999</v>
      </c>
      <c r="F221" s="57">
        <v>132</v>
      </c>
      <c r="G221" s="59">
        <v>3.4</v>
      </c>
      <c r="H221" s="57">
        <f>IF(MONTH(Call_Centre_Data[[#This Row],[Date of Call]])&lt;=6,YEAR(Call_Centre_Data[[#This Row],[Date of Call]]),YEAR(Call_Centre_Data[[#This Row],[Date of Call]])+1)</f>
        <v>2023</v>
      </c>
      <c r="I221" s="39" t="str">
        <f>TEXT(Call_Centre_Data[[#This Row],[Date of Call]],"DDDD")</f>
        <v>Tuesday</v>
      </c>
      <c r="J221" s="39" t="str" cm="1">
        <f t="array" ref="J221">_xlfn.IFS(Call_Centre_Data[[#This Row],[Duration]]&lt;=10,"Under 10 Mins", Call_Centre_Data[[#This Row],[Duration]]&lt;=30,"10-30 Mins",Call_Centre_Data[[#This Row],[Duration]]&lt;=60,"30-60 Mins",Call_Centre_Data[[#This Row],[Duration]]&lt;=120,"1-2 Hours",TRUE,"More than 2 Hours")</f>
        <v>1-2 Hours</v>
      </c>
      <c r="K221" s="91">
        <f>ROUND(Call_Centre_Data[[#This Row],[Satisfaction Rating]],0)</f>
        <v>3</v>
      </c>
    </row>
    <row r="222" spans="1:11" x14ac:dyDescent="0.35">
      <c r="A222" s="56" t="s">
        <v>1227</v>
      </c>
      <c r="B222" s="57" t="s">
        <v>1019</v>
      </c>
      <c r="C222" s="87">
        <v>63</v>
      </c>
      <c r="D222" s="57" t="s">
        <v>989</v>
      </c>
      <c r="E222" s="58">
        <v>44999</v>
      </c>
      <c r="F222" s="57">
        <v>105</v>
      </c>
      <c r="G222" s="59">
        <v>3.3</v>
      </c>
      <c r="H222" s="57">
        <f>IF(MONTH(Call_Centre_Data[[#This Row],[Date of Call]])&lt;=6,YEAR(Call_Centre_Data[[#This Row],[Date of Call]]),YEAR(Call_Centre_Data[[#This Row],[Date of Call]])+1)</f>
        <v>2023</v>
      </c>
      <c r="I222" s="39" t="str">
        <f>TEXT(Call_Centre_Data[[#This Row],[Date of Call]],"DDDD")</f>
        <v>Tuesday</v>
      </c>
      <c r="J222" s="39" t="str" cm="1">
        <f t="array" ref="J222">_xlfn.IFS(Call_Centre_Data[[#This Row],[Duration]]&lt;=10,"Under 10 Mins", Call_Centre_Data[[#This Row],[Duration]]&lt;=30,"10-30 Mins",Call_Centre_Data[[#This Row],[Duration]]&lt;=60,"30-60 Mins",Call_Centre_Data[[#This Row],[Duration]]&lt;=120,"1-2 Hours",TRUE,"More than 2 Hours")</f>
        <v>1-2 Hours</v>
      </c>
      <c r="K222" s="91">
        <f>ROUND(Call_Centre_Data[[#This Row],[Satisfaction Rating]],0)</f>
        <v>3</v>
      </c>
    </row>
    <row r="223" spans="1:11" x14ac:dyDescent="0.35">
      <c r="A223" s="56" t="s">
        <v>1228</v>
      </c>
      <c r="B223" s="57" t="s">
        <v>991</v>
      </c>
      <c r="C223" s="87">
        <v>139</v>
      </c>
      <c r="D223" s="57" t="s">
        <v>1004</v>
      </c>
      <c r="E223" s="58">
        <v>45000</v>
      </c>
      <c r="F223" s="57">
        <v>48</v>
      </c>
      <c r="G223" s="59">
        <v>4.7</v>
      </c>
      <c r="H223" s="57">
        <f>IF(MONTH(Call_Centre_Data[[#This Row],[Date of Call]])&lt;=6,YEAR(Call_Centre_Data[[#This Row],[Date of Call]]),YEAR(Call_Centre_Data[[#This Row],[Date of Call]])+1)</f>
        <v>2023</v>
      </c>
      <c r="I223" s="39" t="str">
        <f>TEXT(Call_Centre_Data[[#This Row],[Date of Call]],"DDDD")</f>
        <v>Wednesday</v>
      </c>
      <c r="J223" s="39" t="str" cm="1">
        <f t="array" ref="J223">_xlfn.IFS(Call_Centre_Data[[#This Row],[Duration]]&lt;=10,"Under 10 Mins", Call_Centre_Data[[#This Row],[Duration]]&lt;=30,"10-30 Mins",Call_Centre_Data[[#This Row],[Duration]]&lt;=60,"30-60 Mins",Call_Centre_Data[[#This Row],[Duration]]&lt;=120,"1-2 Hours",TRUE,"More than 2 Hours")</f>
        <v>More than 2 Hours</v>
      </c>
      <c r="K223" s="91">
        <f>ROUND(Call_Centre_Data[[#This Row],[Satisfaction Rating]],0)</f>
        <v>5</v>
      </c>
    </row>
    <row r="224" spans="1:11" x14ac:dyDescent="0.35">
      <c r="A224" s="56" t="s">
        <v>1229</v>
      </c>
      <c r="B224" s="57" t="s">
        <v>1011</v>
      </c>
      <c r="C224" s="87">
        <v>59</v>
      </c>
      <c r="D224" s="57" t="s">
        <v>1004</v>
      </c>
      <c r="E224" s="58">
        <v>45000</v>
      </c>
      <c r="F224" s="57">
        <v>64</v>
      </c>
      <c r="G224" s="59">
        <v>4</v>
      </c>
      <c r="H224" s="57">
        <f>IF(MONTH(Call_Centre_Data[[#This Row],[Date of Call]])&lt;=6,YEAR(Call_Centre_Data[[#This Row],[Date of Call]]),YEAR(Call_Centre_Data[[#This Row],[Date of Call]])+1)</f>
        <v>2023</v>
      </c>
      <c r="I224" s="39" t="str">
        <f>TEXT(Call_Centre_Data[[#This Row],[Date of Call]],"DDDD")</f>
        <v>Wednesday</v>
      </c>
      <c r="J224" s="39" t="str" cm="1">
        <f t="array" ref="J224">_xlfn.IFS(Call_Centre_Data[[#This Row],[Duration]]&lt;=10,"Under 10 Mins", Call_Centre_Data[[#This Row],[Duration]]&lt;=30,"10-30 Mins",Call_Centre_Data[[#This Row],[Duration]]&lt;=60,"30-60 Mins",Call_Centre_Data[[#This Row],[Duration]]&lt;=120,"1-2 Hours",TRUE,"More than 2 Hours")</f>
        <v>30-60 Mins</v>
      </c>
      <c r="K224" s="91">
        <f>ROUND(Call_Centre_Data[[#This Row],[Satisfaction Rating]],0)</f>
        <v>4</v>
      </c>
    </row>
    <row r="225" spans="1:11" x14ac:dyDescent="0.35">
      <c r="A225" s="56" t="s">
        <v>1230</v>
      </c>
      <c r="B225" s="57" t="s">
        <v>1022</v>
      </c>
      <c r="C225" s="87">
        <v>138</v>
      </c>
      <c r="D225" s="57" t="s">
        <v>989</v>
      </c>
      <c r="E225" s="58">
        <v>45000</v>
      </c>
      <c r="F225" s="57">
        <v>44</v>
      </c>
      <c r="G225" s="59">
        <v>3.8</v>
      </c>
      <c r="H225" s="57">
        <f>IF(MONTH(Call_Centre_Data[[#This Row],[Date of Call]])&lt;=6,YEAR(Call_Centre_Data[[#This Row],[Date of Call]]),YEAR(Call_Centre_Data[[#This Row],[Date of Call]])+1)</f>
        <v>2023</v>
      </c>
      <c r="I225" s="39" t="str">
        <f>TEXT(Call_Centre_Data[[#This Row],[Date of Call]],"DDDD")</f>
        <v>Wednesday</v>
      </c>
      <c r="J225" s="39" t="str" cm="1">
        <f t="array" ref="J225">_xlfn.IFS(Call_Centre_Data[[#This Row],[Duration]]&lt;=10,"Under 10 Mins", Call_Centre_Data[[#This Row],[Duration]]&lt;=30,"10-30 Mins",Call_Centre_Data[[#This Row],[Duration]]&lt;=60,"30-60 Mins",Call_Centre_Data[[#This Row],[Duration]]&lt;=120,"1-2 Hours",TRUE,"More than 2 Hours")</f>
        <v>More than 2 Hours</v>
      </c>
      <c r="K225" s="91">
        <f>ROUND(Call_Centre_Data[[#This Row],[Satisfaction Rating]],0)</f>
        <v>4</v>
      </c>
    </row>
    <row r="226" spans="1:11" x14ac:dyDescent="0.35">
      <c r="A226" s="56" t="s">
        <v>1231</v>
      </c>
      <c r="B226" s="57" t="s">
        <v>991</v>
      </c>
      <c r="C226" s="87">
        <v>47</v>
      </c>
      <c r="D226" s="57" t="s">
        <v>994</v>
      </c>
      <c r="E226" s="58">
        <v>45000</v>
      </c>
      <c r="F226" s="57">
        <v>120</v>
      </c>
      <c r="G226" s="59">
        <v>3.1</v>
      </c>
      <c r="H226" s="57">
        <f>IF(MONTH(Call_Centre_Data[[#This Row],[Date of Call]])&lt;=6,YEAR(Call_Centre_Data[[#This Row],[Date of Call]]),YEAR(Call_Centre_Data[[#This Row],[Date of Call]])+1)</f>
        <v>2023</v>
      </c>
      <c r="I226" s="39" t="str">
        <f>TEXT(Call_Centre_Data[[#This Row],[Date of Call]],"DDDD")</f>
        <v>Wednesday</v>
      </c>
      <c r="J226" s="39" t="str" cm="1">
        <f t="array" ref="J226">_xlfn.IFS(Call_Centre_Data[[#This Row],[Duration]]&lt;=10,"Under 10 Mins", Call_Centre_Data[[#This Row],[Duration]]&lt;=30,"10-30 Mins",Call_Centre_Data[[#This Row],[Duration]]&lt;=60,"30-60 Mins",Call_Centre_Data[[#This Row],[Duration]]&lt;=120,"1-2 Hours",TRUE,"More than 2 Hours")</f>
        <v>30-60 Mins</v>
      </c>
      <c r="K226" s="91">
        <f>ROUND(Call_Centre_Data[[#This Row],[Satisfaction Rating]],0)</f>
        <v>3</v>
      </c>
    </row>
    <row r="227" spans="1:11" x14ac:dyDescent="0.35">
      <c r="A227" s="56" t="s">
        <v>1232</v>
      </c>
      <c r="B227" s="57" t="s">
        <v>1022</v>
      </c>
      <c r="C227" s="87">
        <v>74</v>
      </c>
      <c r="D227" s="57" t="s">
        <v>994</v>
      </c>
      <c r="E227" s="58">
        <v>45000</v>
      </c>
      <c r="F227" s="57">
        <v>144</v>
      </c>
      <c r="G227" s="59">
        <v>4.8</v>
      </c>
      <c r="H227" s="57">
        <f>IF(MONTH(Call_Centre_Data[[#This Row],[Date of Call]])&lt;=6,YEAR(Call_Centre_Data[[#This Row],[Date of Call]]),YEAR(Call_Centre_Data[[#This Row],[Date of Call]])+1)</f>
        <v>2023</v>
      </c>
      <c r="I227" s="39" t="str">
        <f>TEXT(Call_Centre_Data[[#This Row],[Date of Call]],"DDDD")</f>
        <v>Wednesday</v>
      </c>
      <c r="J227" s="39" t="str" cm="1">
        <f t="array" ref="J227">_xlfn.IFS(Call_Centre_Data[[#This Row],[Duration]]&lt;=10,"Under 10 Mins", Call_Centre_Data[[#This Row],[Duration]]&lt;=30,"10-30 Mins",Call_Centre_Data[[#This Row],[Duration]]&lt;=60,"30-60 Mins",Call_Centre_Data[[#This Row],[Duration]]&lt;=120,"1-2 Hours",TRUE,"More than 2 Hours")</f>
        <v>1-2 Hours</v>
      </c>
      <c r="K227" s="91">
        <f>ROUND(Call_Centre_Data[[#This Row],[Satisfaction Rating]],0)</f>
        <v>5</v>
      </c>
    </row>
    <row r="228" spans="1:11" x14ac:dyDescent="0.35">
      <c r="A228" s="56" t="s">
        <v>1233</v>
      </c>
      <c r="B228" s="57" t="s">
        <v>1019</v>
      </c>
      <c r="C228" s="87">
        <v>65</v>
      </c>
      <c r="D228" s="57" t="s">
        <v>994</v>
      </c>
      <c r="E228" s="58">
        <v>45000</v>
      </c>
      <c r="F228" s="57">
        <v>87</v>
      </c>
      <c r="G228" s="59">
        <v>2.7</v>
      </c>
      <c r="H228" s="57">
        <f>IF(MONTH(Call_Centre_Data[[#This Row],[Date of Call]])&lt;=6,YEAR(Call_Centre_Data[[#This Row],[Date of Call]]),YEAR(Call_Centre_Data[[#This Row],[Date of Call]])+1)</f>
        <v>2023</v>
      </c>
      <c r="I228" s="39" t="str">
        <f>TEXT(Call_Centre_Data[[#This Row],[Date of Call]],"DDDD")</f>
        <v>Wednesday</v>
      </c>
      <c r="J228" s="39" t="str" cm="1">
        <f t="array" ref="J228">_xlfn.IFS(Call_Centre_Data[[#This Row],[Duration]]&lt;=10,"Under 10 Mins", Call_Centre_Data[[#This Row],[Duration]]&lt;=30,"10-30 Mins",Call_Centre_Data[[#This Row],[Duration]]&lt;=60,"30-60 Mins",Call_Centre_Data[[#This Row],[Duration]]&lt;=120,"1-2 Hours",TRUE,"More than 2 Hours")</f>
        <v>1-2 Hours</v>
      </c>
      <c r="K228" s="91">
        <f>ROUND(Call_Centre_Data[[#This Row],[Satisfaction Rating]],0)</f>
        <v>3</v>
      </c>
    </row>
    <row r="229" spans="1:11" x14ac:dyDescent="0.35">
      <c r="A229" s="56" t="s">
        <v>1234</v>
      </c>
      <c r="B229" s="57" t="s">
        <v>998</v>
      </c>
      <c r="C229" s="87">
        <v>123</v>
      </c>
      <c r="D229" s="57" t="s">
        <v>1008</v>
      </c>
      <c r="E229" s="58">
        <v>45000</v>
      </c>
      <c r="F229" s="57">
        <v>36</v>
      </c>
      <c r="G229" s="59">
        <v>3.6</v>
      </c>
      <c r="H229" s="57">
        <f>IF(MONTH(Call_Centre_Data[[#This Row],[Date of Call]])&lt;=6,YEAR(Call_Centre_Data[[#This Row],[Date of Call]]),YEAR(Call_Centre_Data[[#This Row],[Date of Call]])+1)</f>
        <v>2023</v>
      </c>
      <c r="I229" s="39" t="str">
        <f>TEXT(Call_Centre_Data[[#This Row],[Date of Call]],"DDDD")</f>
        <v>Wednesday</v>
      </c>
      <c r="J229" s="39" t="str" cm="1">
        <f t="array" ref="J229">_xlfn.IFS(Call_Centre_Data[[#This Row],[Duration]]&lt;=10,"Under 10 Mins", Call_Centre_Data[[#This Row],[Duration]]&lt;=30,"10-30 Mins",Call_Centre_Data[[#This Row],[Duration]]&lt;=60,"30-60 Mins",Call_Centre_Data[[#This Row],[Duration]]&lt;=120,"1-2 Hours",TRUE,"More than 2 Hours")</f>
        <v>More than 2 Hours</v>
      </c>
      <c r="K229" s="91">
        <f>ROUND(Call_Centre_Data[[#This Row],[Satisfaction Rating]],0)</f>
        <v>4</v>
      </c>
    </row>
    <row r="230" spans="1:11" x14ac:dyDescent="0.35">
      <c r="A230" s="56" t="s">
        <v>1235</v>
      </c>
      <c r="B230" s="57" t="s">
        <v>1019</v>
      </c>
      <c r="C230" s="87">
        <v>90</v>
      </c>
      <c r="D230" s="57" t="s">
        <v>1004</v>
      </c>
      <c r="E230" s="58">
        <v>45001</v>
      </c>
      <c r="F230" s="57">
        <v>72</v>
      </c>
      <c r="G230" s="59">
        <v>4.7</v>
      </c>
      <c r="H230" s="57">
        <f>IF(MONTH(Call_Centre_Data[[#This Row],[Date of Call]])&lt;=6,YEAR(Call_Centre_Data[[#This Row],[Date of Call]]),YEAR(Call_Centre_Data[[#This Row],[Date of Call]])+1)</f>
        <v>2023</v>
      </c>
      <c r="I230" s="39" t="str">
        <f>TEXT(Call_Centre_Data[[#This Row],[Date of Call]],"DDDD")</f>
        <v>Thursday</v>
      </c>
      <c r="J230" s="39" t="str" cm="1">
        <f t="array" ref="J230">_xlfn.IFS(Call_Centre_Data[[#This Row],[Duration]]&lt;=10,"Under 10 Mins", Call_Centre_Data[[#This Row],[Duration]]&lt;=30,"10-30 Mins",Call_Centre_Data[[#This Row],[Duration]]&lt;=60,"30-60 Mins",Call_Centre_Data[[#This Row],[Duration]]&lt;=120,"1-2 Hours",TRUE,"More than 2 Hours")</f>
        <v>1-2 Hours</v>
      </c>
      <c r="K230" s="91">
        <f>ROUND(Call_Centre_Data[[#This Row],[Satisfaction Rating]],0)</f>
        <v>5</v>
      </c>
    </row>
    <row r="231" spans="1:11" x14ac:dyDescent="0.35">
      <c r="A231" s="56" t="s">
        <v>1236</v>
      </c>
      <c r="B231" s="57" t="s">
        <v>1040</v>
      </c>
      <c r="C231" s="87">
        <v>127</v>
      </c>
      <c r="D231" s="57" t="s">
        <v>989</v>
      </c>
      <c r="E231" s="58">
        <v>45001</v>
      </c>
      <c r="F231" s="57">
        <v>150</v>
      </c>
      <c r="G231" s="59">
        <v>4.4000000000000004</v>
      </c>
      <c r="H231" s="57">
        <f>IF(MONTH(Call_Centre_Data[[#This Row],[Date of Call]])&lt;=6,YEAR(Call_Centre_Data[[#This Row],[Date of Call]]),YEAR(Call_Centre_Data[[#This Row],[Date of Call]])+1)</f>
        <v>2023</v>
      </c>
      <c r="I231" s="39" t="str">
        <f>TEXT(Call_Centre_Data[[#This Row],[Date of Call]],"DDDD")</f>
        <v>Thursday</v>
      </c>
      <c r="J231" s="39" t="str" cm="1">
        <f t="array" ref="J231">_xlfn.IFS(Call_Centre_Data[[#This Row],[Duration]]&lt;=10,"Under 10 Mins", Call_Centre_Data[[#This Row],[Duration]]&lt;=30,"10-30 Mins",Call_Centre_Data[[#This Row],[Duration]]&lt;=60,"30-60 Mins",Call_Centre_Data[[#This Row],[Duration]]&lt;=120,"1-2 Hours",TRUE,"More than 2 Hours")</f>
        <v>More than 2 Hours</v>
      </c>
      <c r="K231" s="91">
        <f>ROUND(Call_Centre_Data[[#This Row],[Satisfaction Rating]],0)</f>
        <v>4</v>
      </c>
    </row>
    <row r="232" spans="1:11" x14ac:dyDescent="0.35">
      <c r="A232" s="56" t="s">
        <v>1237</v>
      </c>
      <c r="B232" s="57" t="s">
        <v>996</v>
      </c>
      <c r="C232" s="87">
        <v>60</v>
      </c>
      <c r="D232" s="57" t="s">
        <v>994</v>
      </c>
      <c r="E232" s="58">
        <v>45001</v>
      </c>
      <c r="F232" s="57">
        <v>68</v>
      </c>
      <c r="G232" s="59">
        <v>4.3</v>
      </c>
      <c r="H232" s="57">
        <f>IF(MONTH(Call_Centre_Data[[#This Row],[Date of Call]])&lt;=6,YEAR(Call_Centre_Data[[#This Row],[Date of Call]]),YEAR(Call_Centre_Data[[#This Row],[Date of Call]])+1)</f>
        <v>2023</v>
      </c>
      <c r="I232" s="39" t="str">
        <f>TEXT(Call_Centre_Data[[#This Row],[Date of Call]],"DDDD")</f>
        <v>Thursday</v>
      </c>
      <c r="J232" s="39" t="str" cm="1">
        <f t="array" ref="J232">_xlfn.IFS(Call_Centre_Data[[#This Row],[Duration]]&lt;=10,"Under 10 Mins", Call_Centre_Data[[#This Row],[Duration]]&lt;=30,"10-30 Mins",Call_Centre_Data[[#This Row],[Duration]]&lt;=60,"30-60 Mins",Call_Centre_Data[[#This Row],[Duration]]&lt;=120,"1-2 Hours",TRUE,"More than 2 Hours")</f>
        <v>30-60 Mins</v>
      </c>
      <c r="K232" s="91">
        <f>ROUND(Call_Centre_Data[[#This Row],[Satisfaction Rating]],0)</f>
        <v>4</v>
      </c>
    </row>
    <row r="233" spans="1:11" x14ac:dyDescent="0.35">
      <c r="A233" s="56" t="s">
        <v>1238</v>
      </c>
      <c r="B233" s="57" t="s">
        <v>991</v>
      </c>
      <c r="C233" s="87">
        <v>94</v>
      </c>
      <c r="D233" s="57" t="s">
        <v>989</v>
      </c>
      <c r="E233" s="58">
        <v>45001</v>
      </c>
      <c r="F233" s="57">
        <v>99</v>
      </c>
      <c r="G233" s="59">
        <v>4.9000000000000004</v>
      </c>
      <c r="H233" s="57">
        <f>IF(MONTH(Call_Centre_Data[[#This Row],[Date of Call]])&lt;=6,YEAR(Call_Centre_Data[[#This Row],[Date of Call]]),YEAR(Call_Centre_Data[[#This Row],[Date of Call]])+1)</f>
        <v>2023</v>
      </c>
      <c r="I233" s="39" t="str">
        <f>TEXT(Call_Centre_Data[[#This Row],[Date of Call]],"DDDD")</f>
        <v>Thursday</v>
      </c>
      <c r="J233" s="39" t="str" cm="1">
        <f t="array" ref="J233">_xlfn.IFS(Call_Centre_Data[[#This Row],[Duration]]&lt;=10,"Under 10 Mins", Call_Centre_Data[[#This Row],[Duration]]&lt;=30,"10-30 Mins",Call_Centre_Data[[#This Row],[Duration]]&lt;=60,"30-60 Mins",Call_Centre_Data[[#This Row],[Duration]]&lt;=120,"1-2 Hours",TRUE,"More than 2 Hours")</f>
        <v>1-2 Hours</v>
      </c>
      <c r="K233" s="91">
        <f>ROUND(Call_Centre_Data[[#This Row],[Satisfaction Rating]],0)</f>
        <v>5</v>
      </c>
    </row>
    <row r="234" spans="1:11" x14ac:dyDescent="0.35">
      <c r="A234" s="56" t="s">
        <v>1239</v>
      </c>
      <c r="B234" s="57" t="s">
        <v>998</v>
      </c>
      <c r="C234" s="87">
        <v>54</v>
      </c>
      <c r="D234" s="57" t="s">
        <v>994</v>
      </c>
      <c r="E234" s="58">
        <v>45001</v>
      </c>
      <c r="F234" s="57">
        <v>26</v>
      </c>
      <c r="G234" s="59">
        <v>4.8</v>
      </c>
      <c r="H234" s="57">
        <f>IF(MONTH(Call_Centre_Data[[#This Row],[Date of Call]])&lt;=6,YEAR(Call_Centre_Data[[#This Row],[Date of Call]]),YEAR(Call_Centre_Data[[#This Row],[Date of Call]])+1)</f>
        <v>2023</v>
      </c>
      <c r="I234" s="39" t="str">
        <f>TEXT(Call_Centre_Data[[#This Row],[Date of Call]],"DDDD")</f>
        <v>Thursday</v>
      </c>
      <c r="J234" s="39" t="str" cm="1">
        <f t="array" ref="J234">_xlfn.IFS(Call_Centre_Data[[#This Row],[Duration]]&lt;=10,"Under 10 Mins", Call_Centre_Data[[#This Row],[Duration]]&lt;=30,"10-30 Mins",Call_Centre_Data[[#This Row],[Duration]]&lt;=60,"30-60 Mins",Call_Centre_Data[[#This Row],[Duration]]&lt;=120,"1-2 Hours",TRUE,"More than 2 Hours")</f>
        <v>30-60 Mins</v>
      </c>
      <c r="K234" s="91">
        <f>ROUND(Call_Centre_Data[[#This Row],[Satisfaction Rating]],0)</f>
        <v>5</v>
      </c>
    </row>
    <row r="235" spans="1:11" x14ac:dyDescent="0.35">
      <c r="A235" s="56" t="s">
        <v>1240</v>
      </c>
      <c r="B235" s="57" t="s">
        <v>1019</v>
      </c>
      <c r="C235" s="87">
        <v>104</v>
      </c>
      <c r="D235" s="57" t="s">
        <v>994</v>
      </c>
      <c r="E235" s="58">
        <v>45001</v>
      </c>
      <c r="F235" s="57">
        <v>88</v>
      </c>
      <c r="G235" s="59">
        <v>3.2</v>
      </c>
      <c r="H235" s="57">
        <f>IF(MONTH(Call_Centre_Data[[#This Row],[Date of Call]])&lt;=6,YEAR(Call_Centre_Data[[#This Row],[Date of Call]]),YEAR(Call_Centre_Data[[#This Row],[Date of Call]])+1)</f>
        <v>2023</v>
      </c>
      <c r="I235" s="39" t="str">
        <f>TEXT(Call_Centre_Data[[#This Row],[Date of Call]],"DDDD")</f>
        <v>Thursday</v>
      </c>
      <c r="J235" s="39" t="str" cm="1">
        <f t="array" ref="J235">_xlfn.IFS(Call_Centre_Data[[#This Row],[Duration]]&lt;=10,"Under 10 Mins", Call_Centre_Data[[#This Row],[Duration]]&lt;=30,"10-30 Mins",Call_Centre_Data[[#This Row],[Duration]]&lt;=60,"30-60 Mins",Call_Centre_Data[[#This Row],[Duration]]&lt;=120,"1-2 Hours",TRUE,"More than 2 Hours")</f>
        <v>1-2 Hours</v>
      </c>
      <c r="K235" s="91">
        <f>ROUND(Call_Centre_Data[[#This Row],[Satisfaction Rating]],0)</f>
        <v>3</v>
      </c>
    </row>
    <row r="236" spans="1:11" x14ac:dyDescent="0.35">
      <c r="A236" s="56" t="s">
        <v>1241</v>
      </c>
      <c r="B236" s="57" t="s">
        <v>1002</v>
      </c>
      <c r="C236" s="87">
        <v>100</v>
      </c>
      <c r="D236" s="57" t="s">
        <v>994</v>
      </c>
      <c r="E236" s="58">
        <v>45001</v>
      </c>
      <c r="F236" s="57">
        <v>124</v>
      </c>
      <c r="G236" s="59">
        <v>3.4</v>
      </c>
      <c r="H236" s="57">
        <f>IF(MONTH(Call_Centre_Data[[#This Row],[Date of Call]])&lt;=6,YEAR(Call_Centre_Data[[#This Row],[Date of Call]]),YEAR(Call_Centre_Data[[#This Row],[Date of Call]])+1)</f>
        <v>2023</v>
      </c>
      <c r="I236" s="39" t="str">
        <f>TEXT(Call_Centre_Data[[#This Row],[Date of Call]],"DDDD")</f>
        <v>Thursday</v>
      </c>
      <c r="J236" s="39" t="str" cm="1">
        <f t="array" ref="J236">_xlfn.IFS(Call_Centre_Data[[#This Row],[Duration]]&lt;=10,"Under 10 Mins", Call_Centre_Data[[#This Row],[Duration]]&lt;=30,"10-30 Mins",Call_Centre_Data[[#This Row],[Duration]]&lt;=60,"30-60 Mins",Call_Centre_Data[[#This Row],[Duration]]&lt;=120,"1-2 Hours",TRUE,"More than 2 Hours")</f>
        <v>1-2 Hours</v>
      </c>
      <c r="K236" s="91">
        <f>ROUND(Call_Centre_Data[[#This Row],[Satisfaction Rating]],0)</f>
        <v>3</v>
      </c>
    </row>
    <row r="237" spans="1:11" x14ac:dyDescent="0.35">
      <c r="A237" s="56" t="s">
        <v>1242</v>
      </c>
      <c r="B237" s="57" t="s">
        <v>1022</v>
      </c>
      <c r="C237" s="87">
        <v>84</v>
      </c>
      <c r="D237" s="57" t="s">
        <v>994</v>
      </c>
      <c r="E237" s="58">
        <v>45001</v>
      </c>
      <c r="F237" s="57">
        <v>72</v>
      </c>
      <c r="G237" s="59">
        <v>3.5</v>
      </c>
      <c r="H237" s="57">
        <f>IF(MONTH(Call_Centre_Data[[#This Row],[Date of Call]])&lt;=6,YEAR(Call_Centre_Data[[#This Row],[Date of Call]]),YEAR(Call_Centre_Data[[#This Row],[Date of Call]])+1)</f>
        <v>2023</v>
      </c>
      <c r="I237" s="39" t="str">
        <f>TEXT(Call_Centre_Data[[#This Row],[Date of Call]],"DDDD")</f>
        <v>Thursday</v>
      </c>
      <c r="J237" s="39" t="str" cm="1">
        <f t="array" ref="J237">_xlfn.IFS(Call_Centre_Data[[#This Row],[Duration]]&lt;=10,"Under 10 Mins", Call_Centre_Data[[#This Row],[Duration]]&lt;=30,"10-30 Mins",Call_Centre_Data[[#This Row],[Duration]]&lt;=60,"30-60 Mins",Call_Centre_Data[[#This Row],[Duration]]&lt;=120,"1-2 Hours",TRUE,"More than 2 Hours")</f>
        <v>1-2 Hours</v>
      </c>
      <c r="K237" s="91">
        <f>ROUND(Call_Centre_Data[[#This Row],[Satisfaction Rating]],0)</f>
        <v>4</v>
      </c>
    </row>
    <row r="238" spans="1:11" x14ac:dyDescent="0.35">
      <c r="A238" s="56" t="s">
        <v>1243</v>
      </c>
      <c r="B238" s="57" t="s">
        <v>988</v>
      </c>
      <c r="C238" s="87">
        <v>92</v>
      </c>
      <c r="D238" s="57" t="s">
        <v>999</v>
      </c>
      <c r="E238" s="58">
        <v>45002</v>
      </c>
      <c r="F238" s="57">
        <v>125</v>
      </c>
      <c r="G238" s="59">
        <v>4.9000000000000004</v>
      </c>
      <c r="H238" s="57">
        <f>IF(MONTH(Call_Centre_Data[[#This Row],[Date of Call]])&lt;=6,YEAR(Call_Centre_Data[[#This Row],[Date of Call]]),YEAR(Call_Centre_Data[[#This Row],[Date of Call]])+1)</f>
        <v>2023</v>
      </c>
      <c r="I238" s="39" t="str">
        <f>TEXT(Call_Centre_Data[[#This Row],[Date of Call]],"DDDD")</f>
        <v>Friday</v>
      </c>
      <c r="J238" s="39" t="str" cm="1">
        <f t="array" ref="J238">_xlfn.IFS(Call_Centre_Data[[#This Row],[Duration]]&lt;=10,"Under 10 Mins", Call_Centre_Data[[#This Row],[Duration]]&lt;=30,"10-30 Mins",Call_Centre_Data[[#This Row],[Duration]]&lt;=60,"30-60 Mins",Call_Centre_Data[[#This Row],[Duration]]&lt;=120,"1-2 Hours",TRUE,"More than 2 Hours")</f>
        <v>1-2 Hours</v>
      </c>
      <c r="K238" s="91">
        <f>ROUND(Call_Centre_Data[[#This Row],[Satisfaction Rating]],0)</f>
        <v>5</v>
      </c>
    </row>
    <row r="239" spans="1:11" x14ac:dyDescent="0.35">
      <c r="A239" s="56" t="s">
        <v>1244</v>
      </c>
      <c r="B239" s="57" t="s">
        <v>1007</v>
      </c>
      <c r="C239" s="87">
        <v>64</v>
      </c>
      <c r="D239" s="57" t="s">
        <v>989</v>
      </c>
      <c r="E239" s="58">
        <v>45002</v>
      </c>
      <c r="F239" s="57">
        <v>22</v>
      </c>
      <c r="G239" s="59">
        <v>4.0999999999999996</v>
      </c>
      <c r="H239" s="57">
        <f>IF(MONTH(Call_Centre_Data[[#This Row],[Date of Call]])&lt;=6,YEAR(Call_Centre_Data[[#This Row],[Date of Call]]),YEAR(Call_Centre_Data[[#This Row],[Date of Call]])+1)</f>
        <v>2023</v>
      </c>
      <c r="I239" s="39" t="str">
        <f>TEXT(Call_Centre_Data[[#This Row],[Date of Call]],"DDDD")</f>
        <v>Friday</v>
      </c>
      <c r="J239" s="39" t="str" cm="1">
        <f t="array" ref="J239">_xlfn.IFS(Call_Centre_Data[[#This Row],[Duration]]&lt;=10,"Under 10 Mins", Call_Centre_Data[[#This Row],[Duration]]&lt;=30,"10-30 Mins",Call_Centre_Data[[#This Row],[Duration]]&lt;=60,"30-60 Mins",Call_Centre_Data[[#This Row],[Duration]]&lt;=120,"1-2 Hours",TRUE,"More than 2 Hours")</f>
        <v>1-2 Hours</v>
      </c>
      <c r="K239" s="91">
        <f>ROUND(Call_Centre_Data[[#This Row],[Satisfaction Rating]],0)</f>
        <v>4</v>
      </c>
    </row>
    <row r="240" spans="1:11" x14ac:dyDescent="0.35">
      <c r="A240" s="56" t="s">
        <v>1245</v>
      </c>
      <c r="B240" s="57" t="s">
        <v>993</v>
      </c>
      <c r="C240" s="87">
        <v>89</v>
      </c>
      <c r="D240" s="57" t="s">
        <v>1004</v>
      </c>
      <c r="E240" s="58">
        <v>45003</v>
      </c>
      <c r="F240" s="57">
        <v>70</v>
      </c>
      <c r="G240" s="59">
        <v>4.9000000000000004</v>
      </c>
      <c r="H240" s="57">
        <f>IF(MONTH(Call_Centre_Data[[#This Row],[Date of Call]])&lt;=6,YEAR(Call_Centre_Data[[#This Row],[Date of Call]]),YEAR(Call_Centre_Data[[#This Row],[Date of Call]])+1)</f>
        <v>2023</v>
      </c>
      <c r="I240" s="39" t="str">
        <f>TEXT(Call_Centre_Data[[#This Row],[Date of Call]],"DDDD")</f>
        <v>Saturday</v>
      </c>
      <c r="J240" s="39" t="str" cm="1">
        <f t="array" ref="J240">_xlfn.IFS(Call_Centre_Data[[#This Row],[Duration]]&lt;=10,"Under 10 Mins", Call_Centre_Data[[#This Row],[Duration]]&lt;=30,"10-30 Mins",Call_Centre_Data[[#This Row],[Duration]]&lt;=60,"30-60 Mins",Call_Centre_Data[[#This Row],[Duration]]&lt;=120,"1-2 Hours",TRUE,"More than 2 Hours")</f>
        <v>1-2 Hours</v>
      </c>
      <c r="K240" s="91">
        <f>ROUND(Call_Centre_Data[[#This Row],[Satisfaction Rating]],0)</f>
        <v>5</v>
      </c>
    </row>
    <row r="241" spans="1:11" x14ac:dyDescent="0.35">
      <c r="A241" s="56" t="s">
        <v>1246</v>
      </c>
      <c r="B241" s="57" t="s">
        <v>1027</v>
      </c>
      <c r="C241" s="87">
        <v>40</v>
      </c>
      <c r="D241" s="57" t="s">
        <v>994</v>
      </c>
      <c r="E241" s="58">
        <v>45003</v>
      </c>
      <c r="F241" s="57">
        <v>24</v>
      </c>
      <c r="G241" s="59">
        <v>4.3</v>
      </c>
      <c r="H241" s="57">
        <f>IF(MONTH(Call_Centre_Data[[#This Row],[Date of Call]])&lt;=6,YEAR(Call_Centre_Data[[#This Row],[Date of Call]]),YEAR(Call_Centre_Data[[#This Row],[Date of Call]])+1)</f>
        <v>2023</v>
      </c>
      <c r="I241" s="39" t="str">
        <f>TEXT(Call_Centre_Data[[#This Row],[Date of Call]],"DDDD")</f>
        <v>Saturday</v>
      </c>
      <c r="J241" s="39" t="str" cm="1">
        <f t="array" ref="J241">_xlfn.IFS(Call_Centre_Data[[#This Row],[Duration]]&lt;=10,"Under 10 Mins", Call_Centre_Data[[#This Row],[Duration]]&lt;=30,"10-30 Mins",Call_Centre_Data[[#This Row],[Duration]]&lt;=60,"30-60 Mins",Call_Centre_Data[[#This Row],[Duration]]&lt;=120,"1-2 Hours",TRUE,"More than 2 Hours")</f>
        <v>30-60 Mins</v>
      </c>
      <c r="K241" s="91">
        <f>ROUND(Call_Centre_Data[[#This Row],[Satisfaction Rating]],0)</f>
        <v>4</v>
      </c>
    </row>
    <row r="242" spans="1:11" x14ac:dyDescent="0.35">
      <c r="A242" s="56" t="s">
        <v>1247</v>
      </c>
      <c r="B242" s="57" t="s">
        <v>1011</v>
      </c>
      <c r="C242" s="87">
        <v>75</v>
      </c>
      <c r="D242" s="57" t="s">
        <v>1008</v>
      </c>
      <c r="E242" s="58">
        <v>45003</v>
      </c>
      <c r="F242" s="57">
        <v>32</v>
      </c>
      <c r="G242" s="59">
        <v>4.0999999999999996</v>
      </c>
      <c r="H242" s="57">
        <f>IF(MONTH(Call_Centre_Data[[#This Row],[Date of Call]])&lt;=6,YEAR(Call_Centre_Data[[#This Row],[Date of Call]]),YEAR(Call_Centre_Data[[#This Row],[Date of Call]])+1)</f>
        <v>2023</v>
      </c>
      <c r="I242" s="39" t="str">
        <f>TEXT(Call_Centre_Data[[#This Row],[Date of Call]],"DDDD")</f>
        <v>Saturday</v>
      </c>
      <c r="J242" s="39" t="str" cm="1">
        <f t="array" ref="J242">_xlfn.IFS(Call_Centre_Data[[#This Row],[Duration]]&lt;=10,"Under 10 Mins", Call_Centre_Data[[#This Row],[Duration]]&lt;=30,"10-30 Mins",Call_Centre_Data[[#This Row],[Duration]]&lt;=60,"30-60 Mins",Call_Centre_Data[[#This Row],[Duration]]&lt;=120,"1-2 Hours",TRUE,"More than 2 Hours")</f>
        <v>1-2 Hours</v>
      </c>
      <c r="K242" s="91">
        <f>ROUND(Call_Centre_Data[[#This Row],[Satisfaction Rating]],0)</f>
        <v>4</v>
      </c>
    </row>
    <row r="243" spans="1:11" x14ac:dyDescent="0.35">
      <c r="A243" s="56" t="s">
        <v>1248</v>
      </c>
      <c r="B243" s="57" t="s">
        <v>1040</v>
      </c>
      <c r="C243" s="87">
        <v>106</v>
      </c>
      <c r="D243" s="57" t="s">
        <v>999</v>
      </c>
      <c r="E243" s="58">
        <v>45003</v>
      </c>
      <c r="F243" s="57">
        <v>112</v>
      </c>
      <c r="G243" s="59">
        <v>4.4000000000000004</v>
      </c>
      <c r="H243" s="57">
        <f>IF(MONTH(Call_Centre_Data[[#This Row],[Date of Call]])&lt;=6,YEAR(Call_Centre_Data[[#This Row],[Date of Call]]),YEAR(Call_Centre_Data[[#This Row],[Date of Call]])+1)</f>
        <v>2023</v>
      </c>
      <c r="I243" s="39" t="str">
        <f>TEXT(Call_Centre_Data[[#This Row],[Date of Call]],"DDDD")</f>
        <v>Saturday</v>
      </c>
      <c r="J243" s="39" t="str" cm="1">
        <f t="array" ref="J243">_xlfn.IFS(Call_Centre_Data[[#This Row],[Duration]]&lt;=10,"Under 10 Mins", Call_Centre_Data[[#This Row],[Duration]]&lt;=30,"10-30 Mins",Call_Centre_Data[[#This Row],[Duration]]&lt;=60,"30-60 Mins",Call_Centre_Data[[#This Row],[Duration]]&lt;=120,"1-2 Hours",TRUE,"More than 2 Hours")</f>
        <v>1-2 Hours</v>
      </c>
      <c r="K243" s="91">
        <f>ROUND(Call_Centre_Data[[#This Row],[Satisfaction Rating]],0)</f>
        <v>4</v>
      </c>
    </row>
    <row r="244" spans="1:11" x14ac:dyDescent="0.35">
      <c r="A244" s="56" t="s">
        <v>1249</v>
      </c>
      <c r="B244" s="57" t="s">
        <v>1007</v>
      </c>
      <c r="C244" s="87">
        <v>58</v>
      </c>
      <c r="D244" s="57" t="s">
        <v>994</v>
      </c>
      <c r="E244" s="58">
        <v>45004</v>
      </c>
      <c r="F244" s="57">
        <v>43</v>
      </c>
      <c r="G244" s="59">
        <v>4.5</v>
      </c>
      <c r="H244" s="57">
        <f>IF(MONTH(Call_Centre_Data[[#This Row],[Date of Call]])&lt;=6,YEAR(Call_Centre_Data[[#This Row],[Date of Call]]),YEAR(Call_Centre_Data[[#This Row],[Date of Call]])+1)</f>
        <v>2023</v>
      </c>
      <c r="I244" s="39" t="str">
        <f>TEXT(Call_Centre_Data[[#This Row],[Date of Call]],"DDDD")</f>
        <v>Sunday</v>
      </c>
      <c r="J244" s="39" t="str" cm="1">
        <f t="array" ref="J244">_xlfn.IFS(Call_Centre_Data[[#This Row],[Duration]]&lt;=10,"Under 10 Mins", Call_Centre_Data[[#This Row],[Duration]]&lt;=30,"10-30 Mins",Call_Centre_Data[[#This Row],[Duration]]&lt;=60,"30-60 Mins",Call_Centre_Data[[#This Row],[Duration]]&lt;=120,"1-2 Hours",TRUE,"More than 2 Hours")</f>
        <v>30-60 Mins</v>
      </c>
      <c r="K244" s="91">
        <f>ROUND(Call_Centre_Data[[#This Row],[Satisfaction Rating]],0)</f>
        <v>5</v>
      </c>
    </row>
    <row r="245" spans="1:11" x14ac:dyDescent="0.35">
      <c r="A245" s="56" t="s">
        <v>1250</v>
      </c>
      <c r="B245" s="57" t="s">
        <v>1022</v>
      </c>
      <c r="C245" s="87">
        <v>84</v>
      </c>
      <c r="D245" s="57" t="s">
        <v>999</v>
      </c>
      <c r="E245" s="58">
        <v>45004</v>
      </c>
      <c r="F245" s="57">
        <v>22</v>
      </c>
      <c r="G245" s="59">
        <v>3.5</v>
      </c>
      <c r="H245" s="57">
        <f>IF(MONTH(Call_Centre_Data[[#This Row],[Date of Call]])&lt;=6,YEAR(Call_Centre_Data[[#This Row],[Date of Call]]),YEAR(Call_Centre_Data[[#This Row],[Date of Call]])+1)</f>
        <v>2023</v>
      </c>
      <c r="I245" s="39" t="str">
        <f>TEXT(Call_Centre_Data[[#This Row],[Date of Call]],"DDDD")</f>
        <v>Sunday</v>
      </c>
      <c r="J245" s="39" t="str" cm="1">
        <f t="array" ref="J245">_xlfn.IFS(Call_Centre_Data[[#This Row],[Duration]]&lt;=10,"Under 10 Mins", Call_Centre_Data[[#This Row],[Duration]]&lt;=30,"10-30 Mins",Call_Centre_Data[[#This Row],[Duration]]&lt;=60,"30-60 Mins",Call_Centre_Data[[#This Row],[Duration]]&lt;=120,"1-2 Hours",TRUE,"More than 2 Hours")</f>
        <v>1-2 Hours</v>
      </c>
      <c r="K245" s="91">
        <f>ROUND(Call_Centre_Data[[#This Row],[Satisfaction Rating]],0)</f>
        <v>4</v>
      </c>
    </row>
    <row r="246" spans="1:11" x14ac:dyDescent="0.35">
      <c r="A246" s="56" t="s">
        <v>1251</v>
      </c>
      <c r="B246" s="57" t="s">
        <v>1019</v>
      </c>
      <c r="C246" s="87">
        <v>140</v>
      </c>
      <c r="D246" s="57" t="s">
        <v>999</v>
      </c>
      <c r="E246" s="58">
        <v>45004</v>
      </c>
      <c r="F246" s="57">
        <v>93</v>
      </c>
      <c r="G246" s="59">
        <v>4.4000000000000004</v>
      </c>
      <c r="H246" s="57">
        <f>IF(MONTH(Call_Centre_Data[[#This Row],[Date of Call]])&lt;=6,YEAR(Call_Centre_Data[[#This Row],[Date of Call]]),YEAR(Call_Centre_Data[[#This Row],[Date of Call]])+1)</f>
        <v>2023</v>
      </c>
      <c r="I246" s="39" t="str">
        <f>TEXT(Call_Centre_Data[[#This Row],[Date of Call]],"DDDD")</f>
        <v>Sunday</v>
      </c>
      <c r="J246" s="39" t="str" cm="1">
        <f t="array" ref="J246">_xlfn.IFS(Call_Centre_Data[[#This Row],[Duration]]&lt;=10,"Under 10 Mins", Call_Centre_Data[[#This Row],[Duration]]&lt;=30,"10-30 Mins",Call_Centre_Data[[#This Row],[Duration]]&lt;=60,"30-60 Mins",Call_Centre_Data[[#This Row],[Duration]]&lt;=120,"1-2 Hours",TRUE,"More than 2 Hours")</f>
        <v>More than 2 Hours</v>
      </c>
      <c r="K246" s="91">
        <f>ROUND(Call_Centre_Data[[#This Row],[Satisfaction Rating]],0)</f>
        <v>4</v>
      </c>
    </row>
    <row r="247" spans="1:11" x14ac:dyDescent="0.35">
      <c r="A247" s="56" t="s">
        <v>1252</v>
      </c>
      <c r="B247" s="57" t="s">
        <v>1007</v>
      </c>
      <c r="C247" s="87">
        <v>67</v>
      </c>
      <c r="D247" s="57" t="s">
        <v>999</v>
      </c>
      <c r="E247" s="58">
        <v>45004</v>
      </c>
      <c r="F247" s="57">
        <v>45</v>
      </c>
      <c r="G247" s="59">
        <v>3.5</v>
      </c>
      <c r="H247" s="57">
        <f>IF(MONTH(Call_Centre_Data[[#This Row],[Date of Call]])&lt;=6,YEAR(Call_Centre_Data[[#This Row],[Date of Call]]),YEAR(Call_Centre_Data[[#This Row],[Date of Call]])+1)</f>
        <v>2023</v>
      </c>
      <c r="I247" s="39" t="str">
        <f>TEXT(Call_Centre_Data[[#This Row],[Date of Call]],"DDDD")</f>
        <v>Sunday</v>
      </c>
      <c r="J247" s="39" t="str" cm="1">
        <f t="array" ref="J247">_xlfn.IFS(Call_Centre_Data[[#This Row],[Duration]]&lt;=10,"Under 10 Mins", Call_Centre_Data[[#This Row],[Duration]]&lt;=30,"10-30 Mins",Call_Centre_Data[[#This Row],[Duration]]&lt;=60,"30-60 Mins",Call_Centre_Data[[#This Row],[Duration]]&lt;=120,"1-2 Hours",TRUE,"More than 2 Hours")</f>
        <v>1-2 Hours</v>
      </c>
      <c r="K247" s="91">
        <f>ROUND(Call_Centre_Data[[#This Row],[Satisfaction Rating]],0)</f>
        <v>4</v>
      </c>
    </row>
    <row r="248" spans="1:11" x14ac:dyDescent="0.35">
      <c r="A248" s="56" t="s">
        <v>1253</v>
      </c>
      <c r="B248" s="57" t="s">
        <v>991</v>
      </c>
      <c r="C248" s="87">
        <v>126</v>
      </c>
      <c r="D248" s="57" t="s">
        <v>999</v>
      </c>
      <c r="E248" s="58">
        <v>45005</v>
      </c>
      <c r="F248" s="57">
        <v>96</v>
      </c>
      <c r="G248" s="59">
        <v>3.8</v>
      </c>
      <c r="H248" s="57">
        <f>IF(MONTH(Call_Centre_Data[[#This Row],[Date of Call]])&lt;=6,YEAR(Call_Centre_Data[[#This Row],[Date of Call]]),YEAR(Call_Centre_Data[[#This Row],[Date of Call]])+1)</f>
        <v>2023</v>
      </c>
      <c r="I248" s="39" t="str">
        <f>TEXT(Call_Centre_Data[[#This Row],[Date of Call]],"DDDD")</f>
        <v>Monday</v>
      </c>
      <c r="J248" s="39" t="str" cm="1">
        <f t="array" ref="J248">_xlfn.IFS(Call_Centre_Data[[#This Row],[Duration]]&lt;=10,"Under 10 Mins", Call_Centre_Data[[#This Row],[Duration]]&lt;=30,"10-30 Mins",Call_Centre_Data[[#This Row],[Duration]]&lt;=60,"30-60 Mins",Call_Centre_Data[[#This Row],[Duration]]&lt;=120,"1-2 Hours",TRUE,"More than 2 Hours")</f>
        <v>More than 2 Hours</v>
      </c>
      <c r="K248" s="91">
        <f>ROUND(Call_Centre_Data[[#This Row],[Satisfaction Rating]],0)</f>
        <v>4</v>
      </c>
    </row>
    <row r="249" spans="1:11" x14ac:dyDescent="0.35">
      <c r="A249" s="56" t="s">
        <v>1254</v>
      </c>
      <c r="B249" s="57" t="s">
        <v>991</v>
      </c>
      <c r="C249" s="87">
        <v>89</v>
      </c>
      <c r="D249" s="57" t="s">
        <v>994</v>
      </c>
      <c r="E249" s="58">
        <v>45005</v>
      </c>
      <c r="F249" s="57">
        <v>96</v>
      </c>
      <c r="G249" s="59">
        <v>3.3</v>
      </c>
      <c r="H249" s="57">
        <f>IF(MONTH(Call_Centre_Data[[#This Row],[Date of Call]])&lt;=6,YEAR(Call_Centre_Data[[#This Row],[Date of Call]]),YEAR(Call_Centre_Data[[#This Row],[Date of Call]])+1)</f>
        <v>2023</v>
      </c>
      <c r="I249" s="39" t="str">
        <f>TEXT(Call_Centre_Data[[#This Row],[Date of Call]],"DDDD")</f>
        <v>Monday</v>
      </c>
      <c r="J249" s="39" t="str" cm="1">
        <f t="array" ref="J249">_xlfn.IFS(Call_Centre_Data[[#This Row],[Duration]]&lt;=10,"Under 10 Mins", Call_Centre_Data[[#This Row],[Duration]]&lt;=30,"10-30 Mins",Call_Centre_Data[[#This Row],[Duration]]&lt;=60,"30-60 Mins",Call_Centre_Data[[#This Row],[Duration]]&lt;=120,"1-2 Hours",TRUE,"More than 2 Hours")</f>
        <v>1-2 Hours</v>
      </c>
      <c r="K249" s="91">
        <f>ROUND(Call_Centre_Data[[#This Row],[Satisfaction Rating]],0)</f>
        <v>3</v>
      </c>
    </row>
    <row r="250" spans="1:11" x14ac:dyDescent="0.35">
      <c r="A250" s="56" t="s">
        <v>1255</v>
      </c>
      <c r="B250" s="57" t="s">
        <v>993</v>
      </c>
      <c r="C250" s="87">
        <v>56</v>
      </c>
      <c r="D250" s="57" t="s">
        <v>989</v>
      </c>
      <c r="E250" s="58">
        <v>45005</v>
      </c>
      <c r="F250" s="57">
        <v>31</v>
      </c>
      <c r="G250" s="59">
        <v>4.4000000000000004</v>
      </c>
      <c r="H250" s="57">
        <f>IF(MONTH(Call_Centre_Data[[#This Row],[Date of Call]])&lt;=6,YEAR(Call_Centre_Data[[#This Row],[Date of Call]]),YEAR(Call_Centre_Data[[#This Row],[Date of Call]])+1)</f>
        <v>2023</v>
      </c>
      <c r="I250" s="39" t="str">
        <f>TEXT(Call_Centre_Data[[#This Row],[Date of Call]],"DDDD")</f>
        <v>Monday</v>
      </c>
      <c r="J250" s="39" t="str" cm="1">
        <f t="array" ref="J250">_xlfn.IFS(Call_Centre_Data[[#This Row],[Duration]]&lt;=10,"Under 10 Mins", Call_Centre_Data[[#This Row],[Duration]]&lt;=30,"10-30 Mins",Call_Centre_Data[[#This Row],[Duration]]&lt;=60,"30-60 Mins",Call_Centre_Data[[#This Row],[Duration]]&lt;=120,"1-2 Hours",TRUE,"More than 2 Hours")</f>
        <v>30-60 Mins</v>
      </c>
      <c r="K250" s="91">
        <f>ROUND(Call_Centre_Data[[#This Row],[Satisfaction Rating]],0)</f>
        <v>4</v>
      </c>
    </row>
    <row r="251" spans="1:11" x14ac:dyDescent="0.35">
      <c r="A251" s="56" t="s">
        <v>1256</v>
      </c>
      <c r="B251" s="57" t="s">
        <v>998</v>
      </c>
      <c r="C251" s="87">
        <v>48</v>
      </c>
      <c r="D251" s="57" t="s">
        <v>994</v>
      </c>
      <c r="E251" s="58">
        <v>45005</v>
      </c>
      <c r="F251" s="57">
        <v>200</v>
      </c>
      <c r="G251" s="59">
        <v>3.9</v>
      </c>
      <c r="H251" s="57">
        <f>IF(MONTH(Call_Centre_Data[[#This Row],[Date of Call]])&lt;=6,YEAR(Call_Centre_Data[[#This Row],[Date of Call]]),YEAR(Call_Centre_Data[[#This Row],[Date of Call]])+1)</f>
        <v>2023</v>
      </c>
      <c r="I251" s="39" t="str">
        <f>TEXT(Call_Centre_Data[[#This Row],[Date of Call]],"DDDD")</f>
        <v>Monday</v>
      </c>
      <c r="J251" s="39" t="str" cm="1">
        <f t="array" ref="J251">_xlfn.IFS(Call_Centre_Data[[#This Row],[Duration]]&lt;=10,"Under 10 Mins", Call_Centre_Data[[#This Row],[Duration]]&lt;=30,"10-30 Mins",Call_Centre_Data[[#This Row],[Duration]]&lt;=60,"30-60 Mins",Call_Centre_Data[[#This Row],[Duration]]&lt;=120,"1-2 Hours",TRUE,"More than 2 Hours")</f>
        <v>30-60 Mins</v>
      </c>
      <c r="K251" s="91">
        <f>ROUND(Call_Centre_Data[[#This Row],[Satisfaction Rating]],0)</f>
        <v>4</v>
      </c>
    </row>
    <row r="252" spans="1:11" x14ac:dyDescent="0.35">
      <c r="A252" s="56" t="s">
        <v>1257</v>
      </c>
      <c r="B252" s="57" t="s">
        <v>991</v>
      </c>
      <c r="C252" s="87">
        <v>55</v>
      </c>
      <c r="D252" s="57" t="s">
        <v>989</v>
      </c>
      <c r="E252" s="58">
        <v>45005</v>
      </c>
      <c r="F252" s="57">
        <v>99</v>
      </c>
      <c r="G252" s="59">
        <v>2.7</v>
      </c>
      <c r="H252" s="57">
        <f>IF(MONTH(Call_Centre_Data[[#This Row],[Date of Call]])&lt;=6,YEAR(Call_Centre_Data[[#This Row],[Date of Call]]),YEAR(Call_Centre_Data[[#This Row],[Date of Call]])+1)</f>
        <v>2023</v>
      </c>
      <c r="I252" s="39" t="str">
        <f>TEXT(Call_Centre_Data[[#This Row],[Date of Call]],"DDDD")</f>
        <v>Monday</v>
      </c>
      <c r="J252" s="39" t="str" cm="1">
        <f t="array" ref="J252">_xlfn.IFS(Call_Centre_Data[[#This Row],[Duration]]&lt;=10,"Under 10 Mins", Call_Centre_Data[[#This Row],[Duration]]&lt;=30,"10-30 Mins",Call_Centre_Data[[#This Row],[Duration]]&lt;=60,"30-60 Mins",Call_Centre_Data[[#This Row],[Duration]]&lt;=120,"1-2 Hours",TRUE,"More than 2 Hours")</f>
        <v>30-60 Mins</v>
      </c>
      <c r="K252" s="91">
        <f>ROUND(Call_Centre_Data[[#This Row],[Satisfaction Rating]],0)</f>
        <v>3</v>
      </c>
    </row>
    <row r="253" spans="1:11" x14ac:dyDescent="0.35">
      <c r="A253" s="56" t="s">
        <v>1258</v>
      </c>
      <c r="B253" s="57" t="s">
        <v>996</v>
      </c>
      <c r="C253" s="87">
        <v>88</v>
      </c>
      <c r="D253" s="57" t="s">
        <v>1008</v>
      </c>
      <c r="E253" s="58">
        <v>45005</v>
      </c>
      <c r="F253" s="57">
        <v>144</v>
      </c>
      <c r="G253" s="59">
        <v>2.9</v>
      </c>
      <c r="H253" s="57">
        <f>IF(MONTH(Call_Centre_Data[[#This Row],[Date of Call]])&lt;=6,YEAR(Call_Centre_Data[[#This Row],[Date of Call]]),YEAR(Call_Centre_Data[[#This Row],[Date of Call]])+1)</f>
        <v>2023</v>
      </c>
      <c r="I253" s="39" t="str">
        <f>TEXT(Call_Centre_Data[[#This Row],[Date of Call]],"DDDD")</f>
        <v>Monday</v>
      </c>
      <c r="J253" s="39" t="str" cm="1">
        <f t="array" ref="J253">_xlfn.IFS(Call_Centre_Data[[#This Row],[Duration]]&lt;=10,"Under 10 Mins", Call_Centre_Data[[#This Row],[Duration]]&lt;=30,"10-30 Mins",Call_Centre_Data[[#This Row],[Duration]]&lt;=60,"30-60 Mins",Call_Centre_Data[[#This Row],[Duration]]&lt;=120,"1-2 Hours",TRUE,"More than 2 Hours")</f>
        <v>1-2 Hours</v>
      </c>
      <c r="K253" s="91">
        <f>ROUND(Call_Centre_Data[[#This Row],[Satisfaction Rating]],0)</f>
        <v>3</v>
      </c>
    </row>
    <row r="254" spans="1:11" x14ac:dyDescent="0.35">
      <c r="A254" s="56" t="s">
        <v>1259</v>
      </c>
      <c r="B254" s="57" t="s">
        <v>993</v>
      </c>
      <c r="C254" s="87">
        <v>102</v>
      </c>
      <c r="D254" s="57" t="s">
        <v>999</v>
      </c>
      <c r="E254" s="58">
        <v>45006</v>
      </c>
      <c r="F254" s="57">
        <v>81</v>
      </c>
      <c r="G254" s="59">
        <v>4</v>
      </c>
      <c r="H254" s="57">
        <f>IF(MONTH(Call_Centre_Data[[#This Row],[Date of Call]])&lt;=6,YEAR(Call_Centre_Data[[#This Row],[Date of Call]]),YEAR(Call_Centre_Data[[#This Row],[Date of Call]])+1)</f>
        <v>2023</v>
      </c>
      <c r="I254" s="39" t="str">
        <f>TEXT(Call_Centre_Data[[#This Row],[Date of Call]],"DDDD")</f>
        <v>Tuesday</v>
      </c>
      <c r="J254" s="39" t="str" cm="1">
        <f t="array" ref="J254">_xlfn.IFS(Call_Centre_Data[[#This Row],[Duration]]&lt;=10,"Under 10 Mins", Call_Centre_Data[[#This Row],[Duration]]&lt;=30,"10-30 Mins",Call_Centre_Data[[#This Row],[Duration]]&lt;=60,"30-60 Mins",Call_Centre_Data[[#This Row],[Duration]]&lt;=120,"1-2 Hours",TRUE,"More than 2 Hours")</f>
        <v>1-2 Hours</v>
      </c>
      <c r="K254" s="91">
        <f>ROUND(Call_Centre_Data[[#This Row],[Satisfaction Rating]],0)</f>
        <v>4</v>
      </c>
    </row>
    <row r="255" spans="1:11" x14ac:dyDescent="0.35">
      <c r="A255" s="56" t="s">
        <v>1260</v>
      </c>
      <c r="B255" s="57" t="s">
        <v>996</v>
      </c>
      <c r="C255" s="87">
        <v>155</v>
      </c>
      <c r="D255" s="57" t="s">
        <v>1008</v>
      </c>
      <c r="E255" s="58">
        <v>45006</v>
      </c>
      <c r="F255" s="57">
        <v>70</v>
      </c>
      <c r="G255" s="59">
        <v>4.4000000000000004</v>
      </c>
      <c r="H255" s="57">
        <f>IF(MONTH(Call_Centre_Data[[#This Row],[Date of Call]])&lt;=6,YEAR(Call_Centre_Data[[#This Row],[Date of Call]]),YEAR(Call_Centre_Data[[#This Row],[Date of Call]])+1)</f>
        <v>2023</v>
      </c>
      <c r="I255" s="39" t="str">
        <f>TEXT(Call_Centre_Data[[#This Row],[Date of Call]],"DDDD")</f>
        <v>Tuesday</v>
      </c>
      <c r="J255" s="39" t="str" cm="1">
        <f t="array" ref="J255">_xlfn.IFS(Call_Centre_Data[[#This Row],[Duration]]&lt;=10,"Under 10 Mins", Call_Centre_Data[[#This Row],[Duration]]&lt;=30,"10-30 Mins",Call_Centre_Data[[#This Row],[Duration]]&lt;=60,"30-60 Mins",Call_Centre_Data[[#This Row],[Duration]]&lt;=120,"1-2 Hours",TRUE,"More than 2 Hours")</f>
        <v>More than 2 Hours</v>
      </c>
      <c r="K255" s="91">
        <f>ROUND(Call_Centre_Data[[#This Row],[Satisfaction Rating]],0)</f>
        <v>4</v>
      </c>
    </row>
    <row r="256" spans="1:11" x14ac:dyDescent="0.35">
      <c r="A256" s="56" t="s">
        <v>1261</v>
      </c>
      <c r="B256" s="57" t="s">
        <v>991</v>
      </c>
      <c r="C256" s="87">
        <v>63</v>
      </c>
      <c r="D256" s="57" t="s">
        <v>1008</v>
      </c>
      <c r="E256" s="58">
        <v>45006</v>
      </c>
      <c r="F256" s="57">
        <v>148</v>
      </c>
      <c r="G256" s="59">
        <v>5</v>
      </c>
      <c r="H256" s="57">
        <f>IF(MONTH(Call_Centre_Data[[#This Row],[Date of Call]])&lt;=6,YEAR(Call_Centre_Data[[#This Row],[Date of Call]]),YEAR(Call_Centre_Data[[#This Row],[Date of Call]])+1)</f>
        <v>2023</v>
      </c>
      <c r="I256" s="39" t="str">
        <f>TEXT(Call_Centre_Data[[#This Row],[Date of Call]],"DDDD")</f>
        <v>Tuesday</v>
      </c>
      <c r="J256" s="39" t="str" cm="1">
        <f t="array" ref="J256">_xlfn.IFS(Call_Centre_Data[[#This Row],[Duration]]&lt;=10,"Under 10 Mins", Call_Centre_Data[[#This Row],[Duration]]&lt;=30,"10-30 Mins",Call_Centre_Data[[#This Row],[Duration]]&lt;=60,"30-60 Mins",Call_Centre_Data[[#This Row],[Duration]]&lt;=120,"1-2 Hours",TRUE,"More than 2 Hours")</f>
        <v>1-2 Hours</v>
      </c>
      <c r="K256" s="91">
        <f>ROUND(Call_Centre_Data[[#This Row],[Satisfaction Rating]],0)</f>
        <v>5</v>
      </c>
    </row>
    <row r="257" spans="1:11" x14ac:dyDescent="0.35">
      <c r="A257" s="56" t="s">
        <v>1262</v>
      </c>
      <c r="B257" s="57" t="s">
        <v>1002</v>
      </c>
      <c r="C257" s="87">
        <v>59</v>
      </c>
      <c r="D257" s="57" t="s">
        <v>999</v>
      </c>
      <c r="E257" s="58">
        <v>45006</v>
      </c>
      <c r="F257" s="57">
        <v>215</v>
      </c>
      <c r="G257" s="59">
        <v>4.0999999999999996</v>
      </c>
      <c r="H257" s="57">
        <f>IF(MONTH(Call_Centre_Data[[#This Row],[Date of Call]])&lt;=6,YEAR(Call_Centre_Data[[#This Row],[Date of Call]]),YEAR(Call_Centre_Data[[#This Row],[Date of Call]])+1)</f>
        <v>2023</v>
      </c>
      <c r="I257" s="39" t="str">
        <f>TEXT(Call_Centre_Data[[#This Row],[Date of Call]],"DDDD")</f>
        <v>Tuesday</v>
      </c>
      <c r="J257" s="39" t="str" cm="1">
        <f t="array" ref="J257">_xlfn.IFS(Call_Centre_Data[[#This Row],[Duration]]&lt;=10,"Under 10 Mins", Call_Centre_Data[[#This Row],[Duration]]&lt;=30,"10-30 Mins",Call_Centre_Data[[#This Row],[Duration]]&lt;=60,"30-60 Mins",Call_Centre_Data[[#This Row],[Duration]]&lt;=120,"1-2 Hours",TRUE,"More than 2 Hours")</f>
        <v>30-60 Mins</v>
      </c>
      <c r="K257" s="91">
        <f>ROUND(Call_Centre_Data[[#This Row],[Satisfaction Rating]],0)</f>
        <v>4</v>
      </c>
    </row>
    <row r="258" spans="1:11" x14ac:dyDescent="0.35">
      <c r="A258" s="56" t="s">
        <v>1263</v>
      </c>
      <c r="B258" s="57" t="s">
        <v>1002</v>
      </c>
      <c r="C258" s="87">
        <v>144</v>
      </c>
      <c r="D258" s="57" t="s">
        <v>994</v>
      </c>
      <c r="E258" s="58">
        <v>45006</v>
      </c>
      <c r="F258" s="57">
        <v>124</v>
      </c>
      <c r="G258" s="59">
        <v>4.4000000000000004</v>
      </c>
      <c r="H258" s="57">
        <f>IF(MONTH(Call_Centre_Data[[#This Row],[Date of Call]])&lt;=6,YEAR(Call_Centre_Data[[#This Row],[Date of Call]]),YEAR(Call_Centre_Data[[#This Row],[Date of Call]])+1)</f>
        <v>2023</v>
      </c>
      <c r="I258" s="39" t="str">
        <f>TEXT(Call_Centre_Data[[#This Row],[Date of Call]],"DDDD")</f>
        <v>Tuesday</v>
      </c>
      <c r="J258" s="39" t="str" cm="1">
        <f t="array" ref="J258">_xlfn.IFS(Call_Centre_Data[[#This Row],[Duration]]&lt;=10,"Under 10 Mins", Call_Centre_Data[[#This Row],[Duration]]&lt;=30,"10-30 Mins",Call_Centre_Data[[#This Row],[Duration]]&lt;=60,"30-60 Mins",Call_Centre_Data[[#This Row],[Duration]]&lt;=120,"1-2 Hours",TRUE,"More than 2 Hours")</f>
        <v>More than 2 Hours</v>
      </c>
      <c r="K258" s="91">
        <f>ROUND(Call_Centre_Data[[#This Row],[Satisfaction Rating]],0)</f>
        <v>4</v>
      </c>
    </row>
    <row r="259" spans="1:11" x14ac:dyDescent="0.35">
      <c r="A259" s="56" t="s">
        <v>1264</v>
      </c>
      <c r="B259" s="57" t="s">
        <v>1022</v>
      </c>
      <c r="C259" s="87">
        <v>113</v>
      </c>
      <c r="D259" s="57" t="s">
        <v>1004</v>
      </c>
      <c r="E259" s="58">
        <v>45006</v>
      </c>
      <c r="F259" s="57">
        <v>168</v>
      </c>
      <c r="G259" s="59">
        <v>4.0999999999999996</v>
      </c>
      <c r="H259" s="57">
        <f>IF(MONTH(Call_Centre_Data[[#This Row],[Date of Call]])&lt;=6,YEAR(Call_Centre_Data[[#This Row],[Date of Call]]),YEAR(Call_Centre_Data[[#This Row],[Date of Call]])+1)</f>
        <v>2023</v>
      </c>
      <c r="I259" s="39" t="str">
        <f>TEXT(Call_Centre_Data[[#This Row],[Date of Call]],"DDDD")</f>
        <v>Tuesday</v>
      </c>
      <c r="J259" s="39" t="str" cm="1">
        <f t="array" ref="J259">_xlfn.IFS(Call_Centre_Data[[#This Row],[Duration]]&lt;=10,"Under 10 Mins", Call_Centre_Data[[#This Row],[Duration]]&lt;=30,"10-30 Mins",Call_Centre_Data[[#This Row],[Duration]]&lt;=60,"30-60 Mins",Call_Centre_Data[[#This Row],[Duration]]&lt;=120,"1-2 Hours",TRUE,"More than 2 Hours")</f>
        <v>1-2 Hours</v>
      </c>
      <c r="K259" s="91">
        <f>ROUND(Call_Centre_Data[[#This Row],[Satisfaction Rating]],0)</f>
        <v>4</v>
      </c>
    </row>
    <row r="260" spans="1:11" x14ac:dyDescent="0.35">
      <c r="A260" s="56" t="s">
        <v>1265</v>
      </c>
      <c r="B260" s="57" t="s">
        <v>1030</v>
      </c>
      <c r="C260" s="87">
        <v>154</v>
      </c>
      <c r="D260" s="57" t="s">
        <v>989</v>
      </c>
      <c r="E260" s="58">
        <v>45006</v>
      </c>
      <c r="F260" s="57">
        <v>90</v>
      </c>
      <c r="G260" s="59">
        <v>4.5</v>
      </c>
      <c r="H260" s="57">
        <f>IF(MONTH(Call_Centre_Data[[#This Row],[Date of Call]])&lt;=6,YEAR(Call_Centre_Data[[#This Row],[Date of Call]]),YEAR(Call_Centre_Data[[#This Row],[Date of Call]])+1)</f>
        <v>2023</v>
      </c>
      <c r="I260" s="39" t="str">
        <f>TEXT(Call_Centre_Data[[#This Row],[Date of Call]],"DDDD")</f>
        <v>Tuesday</v>
      </c>
      <c r="J260" s="39" t="str" cm="1">
        <f t="array" ref="J260">_xlfn.IFS(Call_Centre_Data[[#This Row],[Duration]]&lt;=10,"Under 10 Mins", Call_Centre_Data[[#This Row],[Duration]]&lt;=30,"10-30 Mins",Call_Centre_Data[[#This Row],[Duration]]&lt;=60,"30-60 Mins",Call_Centre_Data[[#This Row],[Duration]]&lt;=120,"1-2 Hours",TRUE,"More than 2 Hours")</f>
        <v>More than 2 Hours</v>
      </c>
      <c r="K260" s="91">
        <f>ROUND(Call_Centre_Data[[#This Row],[Satisfaction Rating]],0)</f>
        <v>5</v>
      </c>
    </row>
    <row r="261" spans="1:11" x14ac:dyDescent="0.35">
      <c r="A261" s="56" t="s">
        <v>1266</v>
      </c>
      <c r="B261" s="57" t="s">
        <v>1030</v>
      </c>
      <c r="C261" s="87">
        <v>58</v>
      </c>
      <c r="D261" s="57" t="s">
        <v>999</v>
      </c>
      <c r="E261" s="58">
        <v>45007</v>
      </c>
      <c r="F261" s="57">
        <v>176</v>
      </c>
      <c r="G261" s="59">
        <v>4.2</v>
      </c>
      <c r="H261" s="57">
        <f>IF(MONTH(Call_Centre_Data[[#This Row],[Date of Call]])&lt;=6,YEAR(Call_Centre_Data[[#This Row],[Date of Call]]),YEAR(Call_Centre_Data[[#This Row],[Date of Call]])+1)</f>
        <v>2023</v>
      </c>
      <c r="I261" s="39" t="str">
        <f>TEXT(Call_Centre_Data[[#This Row],[Date of Call]],"DDDD")</f>
        <v>Wednesday</v>
      </c>
      <c r="J261" s="39" t="str" cm="1">
        <f t="array" ref="J261">_xlfn.IFS(Call_Centre_Data[[#This Row],[Duration]]&lt;=10,"Under 10 Mins", Call_Centre_Data[[#This Row],[Duration]]&lt;=30,"10-30 Mins",Call_Centre_Data[[#This Row],[Duration]]&lt;=60,"30-60 Mins",Call_Centre_Data[[#This Row],[Duration]]&lt;=120,"1-2 Hours",TRUE,"More than 2 Hours")</f>
        <v>30-60 Mins</v>
      </c>
      <c r="K261" s="91">
        <f>ROUND(Call_Centre_Data[[#This Row],[Satisfaction Rating]],0)</f>
        <v>4</v>
      </c>
    </row>
    <row r="262" spans="1:11" x14ac:dyDescent="0.35">
      <c r="A262" s="56" t="s">
        <v>1267</v>
      </c>
      <c r="B262" s="57" t="s">
        <v>998</v>
      </c>
      <c r="C262" s="87">
        <v>63</v>
      </c>
      <c r="D262" s="57" t="s">
        <v>1008</v>
      </c>
      <c r="E262" s="58">
        <v>45007</v>
      </c>
      <c r="F262" s="57">
        <v>87</v>
      </c>
      <c r="G262" s="59">
        <v>4.5999999999999996</v>
      </c>
      <c r="H262" s="57">
        <f>IF(MONTH(Call_Centre_Data[[#This Row],[Date of Call]])&lt;=6,YEAR(Call_Centre_Data[[#This Row],[Date of Call]]),YEAR(Call_Centre_Data[[#This Row],[Date of Call]])+1)</f>
        <v>2023</v>
      </c>
      <c r="I262" s="39" t="str">
        <f>TEXT(Call_Centre_Data[[#This Row],[Date of Call]],"DDDD")</f>
        <v>Wednesday</v>
      </c>
      <c r="J262" s="39" t="str" cm="1">
        <f t="array" ref="J262">_xlfn.IFS(Call_Centre_Data[[#This Row],[Duration]]&lt;=10,"Under 10 Mins", Call_Centre_Data[[#This Row],[Duration]]&lt;=30,"10-30 Mins",Call_Centre_Data[[#This Row],[Duration]]&lt;=60,"30-60 Mins",Call_Centre_Data[[#This Row],[Duration]]&lt;=120,"1-2 Hours",TRUE,"More than 2 Hours")</f>
        <v>1-2 Hours</v>
      </c>
      <c r="K262" s="91">
        <f>ROUND(Call_Centre_Data[[#This Row],[Satisfaction Rating]],0)</f>
        <v>5</v>
      </c>
    </row>
    <row r="263" spans="1:11" x14ac:dyDescent="0.35">
      <c r="A263" s="56" t="s">
        <v>1268</v>
      </c>
      <c r="B263" s="57" t="s">
        <v>1019</v>
      </c>
      <c r="C263" s="87">
        <v>59</v>
      </c>
      <c r="D263" s="57" t="s">
        <v>994</v>
      </c>
      <c r="E263" s="58">
        <v>45007</v>
      </c>
      <c r="F263" s="57">
        <v>128</v>
      </c>
      <c r="G263" s="59">
        <v>4.5</v>
      </c>
      <c r="H263" s="57">
        <f>IF(MONTH(Call_Centre_Data[[#This Row],[Date of Call]])&lt;=6,YEAR(Call_Centre_Data[[#This Row],[Date of Call]]),YEAR(Call_Centre_Data[[#This Row],[Date of Call]])+1)</f>
        <v>2023</v>
      </c>
      <c r="I263" s="39" t="str">
        <f>TEXT(Call_Centre_Data[[#This Row],[Date of Call]],"DDDD")</f>
        <v>Wednesday</v>
      </c>
      <c r="J263" s="39" t="str" cm="1">
        <f t="array" ref="J263">_xlfn.IFS(Call_Centre_Data[[#This Row],[Duration]]&lt;=10,"Under 10 Mins", Call_Centre_Data[[#This Row],[Duration]]&lt;=30,"10-30 Mins",Call_Centre_Data[[#This Row],[Duration]]&lt;=60,"30-60 Mins",Call_Centre_Data[[#This Row],[Duration]]&lt;=120,"1-2 Hours",TRUE,"More than 2 Hours")</f>
        <v>30-60 Mins</v>
      </c>
      <c r="K263" s="91">
        <f>ROUND(Call_Centre_Data[[#This Row],[Satisfaction Rating]],0)</f>
        <v>5</v>
      </c>
    </row>
    <row r="264" spans="1:11" x14ac:dyDescent="0.35">
      <c r="A264" s="56" t="s">
        <v>1269</v>
      </c>
      <c r="B264" s="57" t="s">
        <v>1060</v>
      </c>
      <c r="C264" s="87">
        <v>129</v>
      </c>
      <c r="D264" s="57" t="s">
        <v>1008</v>
      </c>
      <c r="E264" s="58">
        <v>45007</v>
      </c>
      <c r="F264" s="57">
        <v>120</v>
      </c>
      <c r="G264" s="59">
        <v>4.0999999999999996</v>
      </c>
      <c r="H264" s="57">
        <f>IF(MONTH(Call_Centre_Data[[#This Row],[Date of Call]])&lt;=6,YEAR(Call_Centre_Data[[#This Row],[Date of Call]]),YEAR(Call_Centre_Data[[#This Row],[Date of Call]])+1)</f>
        <v>2023</v>
      </c>
      <c r="I264" s="39" t="str">
        <f>TEXT(Call_Centre_Data[[#This Row],[Date of Call]],"DDDD")</f>
        <v>Wednesday</v>
      </c>
      <c r="J264" s="39" t="str" cm="1">
        <f t="array" ref="J264">_xlfn.IFS(Call_Centre_Data[[#This Row],[Duration]]&lt;=10,"Under 10 Mins", Call_Centre_Data[[#This Row],[Duration]]&lt;=30,"10-30 Mins",Call_Centre_Data[[#This Row],[Duration]]&lt;=60,"30-60 Mins",Call_Centre_Data[[#This Row],[Duration]]&lt;=120,"1-2 Hours",TRUE,"More than 2 Hours")</f>
        <v>More than 2 Hours</v>
      </c>
      <c r="K264" s="91">
        <f>ROUND(Call_Centre_Data[[#This Row],[Satisfaction Rating]],0)</f>
        <v>4</v>
      </c>
    </row>
    <row r="265" spans="1:11" x14ac:dyDescent="0.35">
      <c r="A265" s="56" t="s">
        <v>1270</v>
      </c>
      <c r="B265" s="57" t="s">
        <v>1013</v>
      </c>
      <c r="C265" s="87">
        <v>101</v>
      </c>
      <c r="D265" s="57" t="s">
        <v>1004</v>
      </c>
      <c r="E265" s="58">
        <v>45007</v>
      </c>
      <c r="F265" s="57">
        <v>130</v>
      </c>
      <c r="G265" s="59">
        <v>4.8</v>
      </c>
      <c r="H265" s="57">
        <f>IF(MONTH(Call_Centre_Data[[#This Row],[Date of Call]])&lt;=6,YEAR(Call_Centre_Data[[#This Row],[Date of Call]]),YEAR(Call_Centre_Data[[#This Row],[Date of Call]])+1)</f>
        <v>2023</v>
      </c>
      <c r="I265" s="39" t="str">
        <f>TEXT(Call_Centre_Data[[#This Row],[Date of Call]],"DDDD")</f>
        <v>Wednesday</v>
      </c>
      <c r="J265" s="39" t="str" cm="1">
        <f t="array" ref="J265">_xlfn.IFS(Call_Centre_Data[[#This Row],[Duration]]&lt;=10,"Under 10 Mins", Call_Centre_Data[[#This Row],[Duration]]&lt;=30,"10-30 Mins",Call_Centre_Data[[#This Row],[Duration]]&lt;=60,"30-60 Mins",Call_Centre_Data[[#This Row],[Duration]]&lt;=120,"1-2 Hours",TRUE,"More than 2 Hours")</f>
        <v>1-2 Hours</v>
      </c>
      <c r="K265" s="91">
        <f>ROUND(Call_Centre_Data[[#This Row],[Satisfaction Rating]],0)</f>
        <v>5</v>
      </c>
    </row>
    <row r="266" spans="1:11" x14ac:dyDescent="0.35">
      <c r="A266" s="56" t="s">
        <v>1271</v>
      </c>
      <c r="B266" s="57" t="s">
        <v>1027</v>
      </c>
      <c r="C266" s="87">
        <v>154</v>
      </c>
      <c r="D266" s="57" t="s">
        <v>994</v>
      </c>
      <c r="E266" s="58">
        <v>45007</v>
      </c>
      <c r="F266" s="57">
        <v>172</v>
      </c>
      <c r="G266" s="59">
        <v>3.1</v>
      </c>
      <c r="H266" s="57">
        <f>IF(MONTH(Call_Centre_Data[[#This Row],[Date of Call]])&lt;=6,YEAR(Call_Centre_Data[[#This Row],[Date of Call]]),YEAR(Call_Centre_Data[[#This Row],[Date of Call]])+1)</f>
        <v>2023</v>
      </c>
      <c r="I266" s="39" t="str">
        <f>TEXT(Call_Centre_Data[[#This Row],[Date of Call]],"DDDD")</f>
        <v>Wednesday</v>
      </c>
      <c r="J266" s="39" t="str" cm="1">
        <f t="array" ref="J266">_xlfn.IFS(Call_Centre_Data[[#This Row],[Duration]]&lt;=10,"Under 10 Mins", Call_Centre_Data[[#This Row],[Duration]]&lt;=30,"10-30 Mins",Call_Centre_Data[[#This Row],[Duration]]&lt;=60,"30-60 Mins",Call_Centre_Data[[#This Row],[Duration]]&lt;=120,"1-2 Hours",TRUE,"More than 2 Hours")</f>
        <v>More than 2 Hours</v>
      </c>
      <c r="K266" s="91">
        <f>ROUND(Call_Centre_Data[[#This Row],[Satisfaction Rating]],0)</f>
        <v>3</v>
      </c>
    </row>
    <row r="267" spans="1:11" x14ac:dyDescent="0.35">
      <c r="A267" s="56" t="s">
        <v>1272</v>
      </c>
      <c r="B267" s="57" t="s">
        <v>1007</v>
      </c>
      <c r="C267" s="87">
        <v>131</v>
      </c>
      <c r="D267" s="57" t="s">
        <v>994</v>
      </c>
      <c r="E267" s="58">
        <v>45007</v>
      </c>
      <c r="F267" s="57">
        <v>58</v>
      </c>
      <c r="G267" s="59">
        <v>4.9000000000000004</v>
      </c>
      <c r="H267" s="57">
        <f>IF(MONTH(Call_Centre_Data[[#This Row],[Date of Call]])&lt;=6,YEAR(Call_Centre_Data[[#This Row],[Date of Call]]),YEAR(Call_Centre_Data[[#This Row],[Date of Call]])+1)</f>
        <v>2023</v>
      </c>
      <c r="I267" s="39" t="str">
        <f>TEXT(Call_Centre_Data[[#This Row],[Date of Call]],"DDDD")</f>
        <v>Wednesday</v>
      </c>
      <c r="J267" s="39" t="str" cm="1">
        <f t="array" ref="J267">_xlfn.IFS(Call_Centre_Data[[#This Row],[Duration]]&lt;=10,"Under 10 Mins", Call_Centre_Data[[#This Row],[Duration]]&lt;=30,"10-30 Mins",Call_Centre_Data[[#This Row],[Duration]]&lt;=60,"30-60 Mins",Call_Centre_Data[[#This Row],[Duration]]&lt;=120,"1-2 Hours",TRUE,"More than 2 Hours")</f>
        <v>More than 2 Hours</v>
      </c>
      <c r="K267" s="91">
        <f>ROUND(Call_Centre_Data[[#This Row],[Satisfaction Rating]],0)</f>
        <v>5</v>
      </c>
    </row>
    <row r="268" spans="1:11" x14ac:dyDescent="0.35">
      <c r="A268" s="56" t="s">
        <v>1273</v>
      </c>
      <c r="B268" s="57" t="s">
        <v>1002</v>
      </c>
      <c r="C268" s="87">
        <v>111</v>
      </c>
      <c r="D268" s="57" t="s">
        <v>1004</v>
      </c>
      <c r="E268" s="58">
        <v>45008</v>
      </c>
      <c r="F268" s="57">
        <v>86</v>
      </c>
      <c r="G268" s="59">
        <v>4.0999999999999996</v>
      </c>
      <c r="H268" s="57">
        <f>IF(MONTH(Call_Centre_Data[[#This Row],[Date of Call]])&lt;=6,YEAR(Call_Centre_Data[[#This Row],[Date of Call]]),YEAR(Call_Centre_Data[[#This Row],[Date of Call]])+1)</f>
        <v>2023</v>
      </c>
      <c r="I268" s="39" t="str">
        <f>TEXT(Call_Centre_Data[[#This Row],[Date of Call]],"DDDD")</f>
        <v>Thursday</v>
      </c>
      <c r="J268" s="39" t="str" cm="1">
        <f t="array" ref="J268">_xlfn.IFS(Call_Centre_Data[[#This Row],[Duration]]&lt;=10,"Under 10 Mins", Call_Centre_Data[[#This Row],[Duration]]&lt;=30,"10-30 Mins",Call_Centre_Data[[#This Row],[Duration]]&lt;=60,"30-60 Mins",Call_Centre_Data[[#This Row],[Duration]]&lt;=120,"1-2 Hours",TRUE,"More than 2 Hours")</f>
        <v>1-2 Hours</v>
      </c>
      <c r="K268" s="91">
        <f>ROUND(Call_Centre_Data[[#This Row],[Satisfaction Rating]],0)</f>
        <v>4</v>
      </c>
    </row>
    <row r="269" spans="1:11" x14ac:dyDescent="0.35">
      <c r="A269" s="56" t="s">
        <v>1274</v>
      </c>
      <c r="B269" s="57" t="s">
        <v>1030</v>
      </c>
      <c r="C269" s="87">
        <v>142</v>
      </c>
      <c r="D269" s="57" t="s">
        <v>1004</v>
      </c>
      <c r="E269" s="58">
        <v>45009</v>
      </c>
      <c r="F269" s="57">
        <v>31</v>
      </c>
      <c r="G269" s="59">
        <v>4.4000000000000004</v>
      </c>
      <c r="H269" s="57">
        <f>IF(MONTH(Call_Centre_Data[[#This Row],[Date of Call]])&lt;=6,YEAR(Call_Centre_Data[[#This Row],[Date of Call]]),YEAR(Call_Centre_Data[[#This Row],[Date of Call]])+1)</f>
        <v>2023</v>
      </c>
      <c r="I269" s="39" t="str">
        <f>TEXT(Call_Centre_Data[[#This Row],[Date of Call]],"DDDD")</f>
        <v>Friday</v>
      </c>
      <c r="J269" s="39" t="str" cm="1">
        <f t="array" ref="J269">_xlfn.IFS(Call_Centre_Data[[#This Row],[Duration]]&lt;=10,"Under 10 Mins", Call_Centre_Data[[#This Row],[Duration]]&lt;=30,"10-30 Mins",Call_Centre_Data[[#This Row],[Duration]]&lt;=60,"30-60 Mins",Call_Centre_Data[[#This Row],[Duration]]&lt;=120,"1-2 Hours",TRUE,"More than 2 Hours")</f>
        <v>More than 2 Hours</v>
      </c>
      <c r="K269" s="91">
        <f>ROUND(Call_Centre_Data[[#This Row],[Satisfaction Rating]],0)</f>
        <v>4</v>
      </c>
    </row>
    <row r="270" spans="1:11" x14ac:dyDescent="0.35">
      <c r="A270" s="56" t="s">
        <v>1275</v>
      </c>
      <c r="B270" s="57" t="s">
        <v>993</v>
      </c>
      <c r="C270" s="87">
        <v>93</v>
      </c>
      <c r="D270" s="57" t="s">
        <v>1008</v>
      </c>
      <c r="E270" s="58">
        <v>45009</v>
      </c>
      <c r="F270" s="57">
        <v>72</v>
      </c>
      <c r="G270" s="59">
        <v>4.4000000000000004</v>
      </c>
      <c r="H270" s="57">
        <f>IF(MONTH(Call_Centre_Data[[#This Row],[Date of Call]])&lt;=6,YEAR(Call_Centre_Data[[#This Row],[Date of Call]]),YEAR(Call_Centre_Data[[#This Row],[Date of Call]])+1)</f>
        <v>2023</v>
      </c>
      <c r="I270" s="39" t="str">
        <f>TEXT(Call_Centre_Data[[#This Row],[Date of Call]],"DDDD")</f>
        <v>Friday</v>
      </c>
      <c r="J270" s="39" t="str" cm="1">
        <f t="array" ref="J270">_xlfn.IFS(Call_Centre_Data[[#This Row],[Duration]]&lt;=10,"Under 10 Mins", Call_Centre_Data[[#This Row],[Duration]]&lt;=30,"10-30 Mins",Call_Centre_Data[[#This Row],[Duration]]&lt;=60,"30-60 Mins",Call_Centre_Data[[#This Row],[Duration]]&lt;=120,"1-2 Hours",TRUE,"More than 2 Hours")</f>
        <v>1-2 Hours</v>
      </c>
      <c r="K270" s="91">
        <f>ROUND(Call_Centre_Data[[#This Row],[Satisfaction Rating]],0)</f>
        <v>4</v>
      </c>
    </row>
    <row r="271" spans="1:11" x14ac:dyDescent="0.35">
      <c r="A271" s="56" t="s">
        <v>1276</v>
      </c>
      <c r="B271" s="57" t="s">
        <v>1030</v>
      </c>
      <c r="C271" s="87">
        <v>125</v>
      </c>
      <c r="D271" s="57" t="s">
        <v>989</v>
      </c>
      <c r="E271" s="58">
        <v>45010</v>
      </c>
      <c r="F271" s="57">
        <v>27</v>
      </c>
      <c r="G271" s="59">
        <v>3</v>
      </c>
      <c r="H271" s="57">
        <f>IF(MONTH(Call_Centre_Data[[#This Row],[Date of Call]])&lt;=6,YEAR(Call_Centre_Data[[#This Row],[Date of Call]]),YEAR(Call_Centre_Data[[#This Row],[Date of Call]])+1)</f>
        <v>2023</v>
      </c>
      <c r="I271" s="39" t="str">
        <f>TEXT(Call_Centre_Data[[#This Row],[Date of Call]],"DDDD")</f>
        <v>Saturday</v>
      </c>
      <c r="J271" s="39" t="str" cm="1">
        <f t="array" ref="J271">_xlfn.IFS(Call_Centre_Data[[#This Row],[Duration]]&lt;=10,"Under 10 Mins", Call_Centre_Data[[#This Row],[Duration]]&lt;=30,"10-30 Mins",Call_Centre_Data[[#This Row],[Duration]]&lt;=60,"30-60 Mins",Call_Centre_Data[[#This Row],[Duration]]&lt;=120,"1-2 Hours",TRUE,"More than 2 Hours")</f>
        <v>More than 2 Hours</v>
      </c>
      <c r="K271" s="91">
        <f>ROUND(Call_Centre_Data[[#This Row],[Satisfaction Rating]],0)</f>
        <v>3</v>
      </c>
    </row>
    <row r="272" spans="1:11" x14ac:dyDescent="0.35">
      <c r="A272" s="56" t="s">
        <v>1277</v>
      </c>
      <c r="B272" s="57" t="s">
        <v>1060</v>
      </c>
      <c r="C272" s="87">
        <v>76</v>
      </c>
      <c r="D272" s="57" t="s">
        <v>994</v>
      </c>
      <c r="E272" s="58">
        <v>45010</v>
      </c>
      <c r="F272" s="57">
        <v>110</v>
      </c>
      <c r="G272" s="59">
        <v>4.4000000000000004</v>
      </c>
      <c r="H272" s="57">
        <f>IF(MONTH(Call_Centre_Data[[#This Row],[Date of Call]])&lt;=6,YEAR(Call_Centre_Data[[#This Row],[Date of Call]]),YEAR(Call_Centre_Data[[#This Row],[Date of Call]])+1)</f>
        <v>2023</v>
      </c>
      <c r="I272" s="39" t="str">
        <f>TEXT(Call_Centre_Data[[#This Row],[Date of Call]],"DDDD")</f>
        <v>Saturday</v>
      </c>
      <c r="J272" s="39" t="str" cm="1">
        <f t="array" ref="J272">_xlfn.IFS(Call_Centre_Data[[#This Row],[Duration]]&lt;=10,"Under 10 Mins", Call_Centre_Data[[#This Row],[Duration]]&lt;=30,"10-30 Mins",Call_Centre_Data[[#This Row],[Duration]]&lt;=60,"30-60 Mins",Call_Centre_Data[[#This Row],[Duration]]&lt;=120,"1-2 Hours",TRUE,"More than 2 Hours")</f>
        <v>1-2 Hours</v>
      </c>
      <c r="K272" s="91">
        <f>ROUND(Call_Centre_Data[[#This Row],[Satisfaction Rating]],0)</f>
        <v>4</v>
      </c>
    </row>
    <row r="273" spans="1:11" x14ac:dyDescent="0.35">
      <c r="A273" s="56" t="s">
        <v>1278</v>
      </c>
      <c r="B273" s="57" t="s">
        <v>1022</v>
      </c>
      <c r="C273" s="87">
        <v>69</v>
      </c>
      <c r="D273" s="57" t="s">
        <v>1008</v>
      </c>
      <c r="E273" s="58">
        <v>45010</v>
      </c>
      <c r="F273" s="57">
        <v>126</v>
      </c>
      <c r="G273" s="59">
        <v>3.7</v>
      </c>
      <c r="H273" s="57">
        <f>IF(MONTH(Call_Centre_Data[[#This Row],[Date of Call]])&lt;=6,YEAR(Call_Centre_Data[[#This Row],[Date of Call]]),YEAR(Call_Centre_Data[[#This Row],[Date of Call]])+1)</f>
        <v>2023</v>
      </c>
      <c r="I273" s="39" t="str">
        <f>TEXT(Call_Centre_Data[[#This Row],[Date of Call]],"DDDD")</f>
        <v>Saturday</v>
      </c>
      <c r="J273" s="39" t="str" cm="1">
        <f t="array" ref="J273">_xlfn.IFS(Call_Centre_Data[[#This Row],[Duration]]&lt;=10,"Under 10 Mins", Call_Centre_Data[[#This Row],[Duration]]&lt;=30,"10-30 Mins",Call_Centre_Data[[#This Row],[Duration]]&lt;=60,"30-60 Mins",Call_Centre_Data[[#This Row],[Duration]]&lt;=120,"1-2 Hours",TRUE,"More than 2 Hours")</f>
        <v>1-2 Hours</v>
      </c>
      <c r="K273" s="91">
        <f>ROUND(Call_Centre_Data[[#This Row],[Satisfaction Rating]],0)</f>
        <v>4</v>
      </c>
    </row>
    <row r="274" spans="1:11" x14ac:dyDescent="0.35">
      <c r="A274" s="56" t="s">
        <v>1279</v>
      </c>
      <c r="B274" s="57" t="s">
        <v>1019</v>
      </c>
      <c r="C274" s="87">
        <v>149</v>
      </c>
      <c r="D274" s="57" t="s">
        <v>989</v>
      </c>
      <c r="E274" s="58">
        <v>45010</v>
      </c>
      <c r="F274" s="57">
        <v>60</v>
      </c>
      <c r="G274" s="59">
        <v>3.9</v>
      </c>
      <c r="H274" s="57">
        <f>IF(MONTH(Call_Centre_Data[[#This Row],[Date of Call]])&lt;=6,YEAR(Call_Centre_Data[[#This Row],[Date of Call]]),YEAR(Call_Centre_Data[[#This Row],[Date of Call]])+1)</f>
        <v>2023</v>
      </c>
      <c r="I274" s="39" t="str">
        <f>TEXT(Call_Centre_Data[[#This Row],[Date of Call]],"DDDD")</f>
        <v>Saturday</v>
      </c>
      <c r="J274" s="39" t="str" cm="1">
        <f t="array" ref="J274">_xlfn.IFS(Call_Centre_Data[[#This Row],[Duration]]&lt;=10,"Under 10 Mins", Call_Centre_Data[[#This Row],[Duration]]&lt;=30,"10-30 Mins",Call_Centre_Data[[#This Row],[Duration]]&lt;=60,"30-60 Mins",Call_Centre_Data[[#This Row],[Duration]]&lt;=120,"1-2 Hours",TRUE,"More than 2 Hours")</f>
        <v>More than 2 Hours</v>
      </c>
      <c r="K274" s="91">
        <f>ROUND(Call_Centre_Data[[#This Row],[Satisfaction Rating]],0)</f>
        <v>4</v>
      </c>
    </row>
    <row r="275" spans="1:11" x14ac:dyDescent="0.35">
      <c r="A275" s="56" t="s">
        <v>1280</v>
      </c>
      <c r="B275" s="57" t="s">
        <v>1030</v>
      </c>
      <c r="C275" s="87">
        <v>57</v>
      </c>
      <c r="D275" s="57" t="s">
        <v>1008</v>
      </c>
      <c r="E275" s="58">
        <v>45010</v>
      </c>
      <c r="F275" s="57">
        <v>35</v>
      </c>
      <c r="G275" s="59">
        <v>3.5</v>
      </c>
      <c r="H275" s="57">
        <f>IF(MONTH(Call_Centre_Data[[#This Row],[Date of Call]])&lt;=6,YEAR(Call_Centre_Data[[#This Row],[Date of Call]]),YEAR(Call_Centre_Data[[#This Row],[Date of Call]])+1)</f>
        <v>2023</v>
      </c>
      <c r="I275" s="39" t="str">
        <f>TEXT(Call_Centre_Data[[#This Row],[Date of Call]],"DDDD")</f>
        <v>Saturday</v>
      </c>
      <c r="J275" s="39" t="str" cm="1">
        <f t="array" ref="J275">_xlfn.IFS(Call_Centre_Data[[#This Row],[Duration]]&lt;=10,"Under 10 Mins", Call_Centre_Data[[#This Row],[Duration]]&lt;=30,"10-30 Mins",Call_Centre_Data[[#This Row],[Duration]]&lt;=60,"30-60 Mins",Call_Centre_Data[[#This Row],[Duration]]&lt;=120,"1-2 Hours",TRUE,"More than 2 Hours")</f>
        <v>30-60 Mins</v>
      </c>
      <c r="K275" s="91">
        <f>ROUND(Call_Centre_Data[[#This Row],[Satisfaction Rating]],0)</f>
        <v>4</v>
      </c>
    </row>
    <row r="276" spans="1:11" x14ac:dyDescent="0.35">
      <c r="A276" s="56" t="s">
        <v>1281</v>
      </c>
      <c r="B276" s="57" t="s">
        <v>991</v>
      </c>
      <c r="C276" s="87">
        <v>113</v>
      </c>
      <c r="D276" s="57" t="s">
        <v>994</v>
      </c>
      <c r="E276" s="58">
        <v>45010</v>
      </c>
      <c r="F276" s="57">
        <v>81</v>
      </c>
      <c r="G276" s="59">
        <v>3.5</v>
      </c>
      <c r="H276" s="57">
        <f>IF(MONTH(Call_Centre_Data[[#This Row],[Date of Call]])&lt;=6,YEAR(Call_Centre_Data[[#This Row],[Date of Call]]),YEAR(Call_Centre_Data[[#This Row],[Date of Call]])+1)</f>
        <v>2023</v>
      </c>
      <c r="I276" s="39" t="str">
        <f>TEXT(Call_Centre_Data[[#This Row],[Date of Call]],"DDDD")</f>
        <v>Saturday</v>
      </c>
      <c r="J276" s="39" t="str" cm="1">
        <f t="array" ref="J276">_xlfn.IFS(Call_Centre_Data[[#This Row],[Duration]]&lt;=10,"Under 10 Mins", Call_Centre_Data[[#This Row],[Duration]]&lt;=30,"10-30 Mins",Call_Centre_Data[[#This Row],[Duration]]&lt;=60,"30-60 Mins",Call_Centre_Data[[#This Row],[Duration]]&lt;=120,"1-2 Hours",TRUE,"More than 2 Hours")</f>
        <v>1-2 Hours</v>
      </c>
      <c r="K276" s="91">
        <f>ROUND(Call_Centre_Data[[#This Row],[Satisfaction Rating]],0)</f>
        <v>4</v>
      </c>
    </row>
    <row r="277" spans="1:11" x14ac:dyDescent="0.35">
      <c r="A277" s="56" t="s">
        <v>1282</v>
      </c>
      <c r="B277" s="57" t="s">
        <v>988</v>
      </c>
      <c r="C277" s="87">
        <v>160</v>
      </c>
      <c r="D277" s="57" t="s">
        <v>989</v>
      </c>
      <c r="E277" s="58">
        <v>45010</v>
      </c>
      <c r="F277" s="57">
        <v>116</v>
      </c>
      <c r="G277" s="59">
        <v>3.4</v>
      </c>
      <c r="H277" s="57">
        <f>IF(MONTH(Call_Centre_Data[[#This Row],[Date of Call]])&lt;=6,YEAR(Call_Centre_Data[[#This Row],[Date of Call]]),YEAR(Call_Centre_Data[[#This Row],[Date of Call]])+1)</f>
        <v>2023</v>
      </c>
      <c r="I277" s="39" t="str">
        <f>TEXT(Call_Centre_Data[[#This Row],[Date of Call]],"DDDD")</f>
        <v>Saturday</v>
      </c>
      <c r="J277" s="39" t="str" cm="1">
        <f t="array" ref="J277">_xlfn.IFS(Call_Centre_Data[[#This Row],[Duration]]&lt;=10,"Under 10 Mins", Call_Centre_Data[[#This Row],[Duration]]&lt;=30,"10-30 Mins",Call_Centre_Data[[#This Row],[Duration]]&lt;=60,"30-60 Mins",Call_Centre_Data[[#This Row],[Duration]]&lt;=120,"1-2 Hours",TRUE,"More than 2 Hours")</f>
        <v>More than 2 Hours</v>
      </c>
      <c r="K277" s="91">
        <f>ROUND(Call_Centre_Data[[#This Row],[Satisfaction Rating]],0)</f>
        <v>3</v>
      </c>
    </row>
    <row r="278" spans="1:11" x14ac:dyDescent="0.35">
      <c r="A278" s="56" t="s">
        <v>1283</v>
      </c>
      <c r="B278" s="57" t="s">
        <v>998</v>
      </c>
      <c r="C278" s="87">
        <v>158</v>
      </c>
      <c r="D278" s="57" t="s">
        <v>999</v>
      </c>
      <c r="E278" s="58">
        <v>45010</v>
      </c>
      <c r="F278" s="57">
        <v>60</v>
      </c>
      <c r="G278" s="59">
        <v>4.5</v>
      </c>
      <c r="H278" s="57">
        <f>IF(MONTH(Call_Centre_Data[[#This Row],[Date of Call]])&lt;=6,YEAR(Call_Centre_Data[[#This Row],[Date of Call]]),YEAR(Call_Centre_Data[[#This Row],[Date of Call]])+1)</f>
        <v>2023</v>
      </c>
      <c r="I278" s="39" t="str">
        <f>TEXT(Call_Centre_Data[[#This Row],[Date of Call]],"DDDD")</f>
        <v>Saturday</v>
      </c>
      <c r="J278" s="39" t="str" cm="1">
        <f t="array" ref="J278">_xlfn.IFS(Call_Centre_Data[[#This Row],[Duration]]&lt;=10,"Under 10 Mins", Call_Centre_Data[[#This Row],[Duration]]&lt;=30,"10-30 Mins",Call_Centre_Data[[#This Row],[Duration]]&lt;=60,"30-60 Mins",Call_Centre_Data[[#This Row],[Duration]]&lt;=120,"1-2 Hours",TRUE,"More than 2 Hours")</f>
        <v>More than 2 Hours</v>
      </c>
      <c r="K278" s="91">
        <f>ROUND(Call_Centre_Data[[#This Row],[Satisfaction Rating]],0)</f>
        <v>5</v>
      </c>
    </row>
    <row r="279" spans="1:11" x14ac:dyDescent="0.35">
      <c r="A279" s="56" t="s">
        <v>1284</v>
      </c>
      <c r="B279" s="57" t="s">
        <v>1022</v>
      </c>
      <c r="C279" s="87">
        <v>77</v>
      </c>
      <c r="D279" s="57" t="s">
        <v>989</v>
      </c>
      <c r="E279" s="58">
        <v>45011</v>
      </c>
      <c r="F279" s="57">
        <v>130</v>
      </c>
      <c r="G279" s="59">
        <v>4.2</v>
      </c>
      <c r="H279" s="57">
        <f>IF(MONTH(Call_Centre_Data[[#This Row],[Date of Call]])&lt;=6,YEAR(Call_Centre_Data[[#This Row],[Date of Call]]),YEAR(Call_Centre_Data[[#This Row],[Date of Call]])+1)</f>
        <v>2023</v>
      </c>
      <c r="I279" s="39" t="str">
        <f>TEXT(Call_Centre_Data[[#This Row],[Date of Call]],"DDDD")</f>
        <v>Sunday</v>
      </c>
      <c r="J279" s="39" t="str" cm="1">
        <f t="array" ref="J279">_xlfn.IFS(Call_Centre_Data[[#This Row],[Duration]]&lt;=10,"Under 10 Mins", Call_Centre_Data[[#This Row],[Duration]]&lt;=30,"10-30 Mins",Call_Centre_Data[[#This Row],[Duration]]&lt;=60,"30-60 Mins",Call_Centre_Data[[#This Row],[Duration]]&lt;=120,"1-2 Hours",TRUE,"More than 2 Hours")</f>
        <v>1-2 Hours</v>
      </c>
      <c r="K279" s="91">
        <f>ROUND(Call_Centre_Data[[#This Row],[Satisfaction Rating]],0)</f>
        <v>4</v>
      </c>
    </row>
    <row r="280" spans="1:11" x14ac:dyDescent="0.35">
      <c r="A280" s="56" t="s">
        <v>1285</v>
      </c>
      <c r="B280" s="57" t="s">
        <v>1011</v>
      </c>
      <c r="C280" s="87">
        <v>118</v>
      </c>
      <c r="D280" s="57" t="s">
        <v>1004</v>
      </c>
      <c r="E280" s="58">
        <v>45011</v>
      </c>
      <c r="F280" s="57">
        <v>99</v>
      </c>
      <c r="G280" s="59">
        <v>5</v>
      </c>
      <c r="H280" s="57">
        <f>IF(MONTH(Call_Centre_Data[[#This Row],[Date of Call]])&lt;=6,YEAR(Call_Centre_Data[[#This Row],[Date of Call]]),YEAR(Call_Centre_Data[[#This Row],[Date of Call]])+1)</f>
        <v>2023</v>
      </c>
      <c r="I280" s="39" t="str">
        <f>TEXT(Call_Centre_Data[[#This Row],[Date of Call]],"DDDD")</f>
        <v>Sunday</v>
      </c>
      <c r="J280" s="39" t="str" cm="1">
        <f t="array" ref="J280">_xlfn.IFS(Call_Centre_Data[[#This Row],[Duration]]&lt;=10,"Under 10 Mins", Call_Centre_Data[[#This Row],[Duration]]&lt;=30,"10-30 Mins",Call_Centre_Data[[#This Row],[Duration]]&lt;=60,"30-60 Mins",Call_Centre_Data[[#This Row],[Duration]]&lt;=120,"1-2 Hours",TRUE,"More than 2 Hours")</f>
        <v>1-2 Hours</v>
      </c>
      <c r="K280" s="91">
        <f>ROUND(Call_Centre_Data[[#This Row],[Satisfaction Rating]],0)</f>
        <v>5</v>
      </c>
    </row>
    <row r="281" spans="1:11" x14ac:dyDescent="0.35">
      <c r="A281" s="56" t="s">
        <v>1286</v>
      </c>
      <c r="B281" s="57" t="s">
        <v>1027</v>
      </c>
      <c r="C281" s="87">
        <v>75</v>
      </c>
      <c r="D281" s="57" t="s">
        <v>994</v>
      </c>
      <c r="E281" s="58">
        <v>45011</v>
      </c>
      <c r="F281" s="57">
        <v>135</v>
      </c>
      <c r="G281" s="59">
        <v>4.7</v>
      </c>
      <c r="H281" s="57">
        <f>IF(MONTH(Call_Centre_Data[[#This Row],[Date of Call]])&lt;=6,YEAR(Call_Centre_Data[[#This Row],[Date of Call]]),YEAR(Call_Centre_Data[[#This Row],[Date of Call]])+1)</f>
        <v>2023</v>
      </c>
      <c r="I281" s="39" t="str">
        <f>TEXT(Call_Centre_Data[[#This Row],[Date of Call]],"DDDD")</f>
        <v>Sunday</v>
      </c>
      <c r="J281" s="39" t="str" cm="1">
        <f t="array" ref="J281">_xlfn.IFS(Call_Centre_Data[[#This Row],[Duration]]&lt;=10,"Under 10 Mins", Call_Centre_Data[[#This Row],[Duration]]&lt;=30,"10-30 Mins",Call_Centre_Data[[#This Row],[Duration]]&lt;=60,"30-60 Mins",Call_Centre_Data[[#This Row],[Duration]]&lt;=120,"1-2 Hours",TRUE,"More than 2 Hours")</f>
        <v>1-2 Hours</v>
      </c>
      <c r="K281" s="91">
        <f>ROUND(Call_Centre_Data[[#This Row],[Satisfaction Rating]],0)</f>
        <v>5</v>
      </c>
    </row>
    <row r="282" spans="1:11" x14ac:dyDescent="0.35">
      <c r="A282" s="56" t="s">
        <v>1287</v>
      </c>
      <c r="B282" s="57" t="s">
        <v>991</v>
      </c>
      <c r="C282" s="87">
        <v>103</v>
      </c>
      <c r="D282" s="57" t="s">
        <v>989</v>
      </c>
      <c r="E282" s="58">
        <v>45011</v>
      </c>
      <c r="F282" s="57">
        <v>42</v>
      </c>
      <c r="G282" s="59">
        <v>2.8</v>
      </c>
      <c r="H282" s="57">
        <f>IF(MONTH(Call_Centre_Data[[#This Row],[Date of Call]])&lt;=6,YEAR(Call_Centre_Data[[#This Row],[Date of Call]]),YEAR(Call_Centre_Data[[#This Row],[Date of Call]])+1)</f>
        <v>2023</v>
      </c>
      <c r="I282" s="39" t="str">
        <f>TEXT(Call_Centre_Data[[#This Row],[Date of Call]],"DDDD")</f>
        <v>Sunday</v>
      </c>
      <c r="J282" s="39" t="str" cm="1">
        <f t="array" ref="J282">_xlfn.IFS(Call_Centre_Data[[#This Row],[Duration]]&lt;=10,"Under 10 Mins", Call_Centre_Data[[#This Row],[Duration]]&lt;=30,"10-30 Mins",Call_Centre_Data[[#This Row],[Duration]]&lt;=60,"30-60 Mins",Call_Centre_Data[[#This Row],[Duration]]&lt;=120,"1-2 Hours",TRUE,"More than 2 Hours")</f>
        <v>1-2 Hours</v>
      </c>
      <c r="K282" s="91">
        <f>ROUND(Call_Centre_Data[[#This Row],[Satisfaction Rating]],0)</f>
        <v>3</v>
      </c>
    </row>
    <row r="283" spans="1:11" x14ac:dyDescent="0.35">
      <c r="A283" s="56" t="s">
        <v>1288</v>
      </c>
      <c r="B283" s="57" t="s">
        <v>1022</v>
      </c>
      <c r="C283" s="87">
        <v>116</v>
      </c>
      <c r="D283" s="57" t="s">
        <v>1004</v>
      </c>
      <c r="E283" s="58">
        <v>45012</v>
      </c>
      <c r="F283" s="57">
        <v>63</v>
      </c>
      <c r="G283" s="59">
        <v>3.4</v>
      </c>
      <c r="H283" s="57">
        <f>IF(MONTH(Call_Centre_Data[[#This Row],[Date of Call]])&lt;=6,YEAR(Call_Centre_Data[[#This Row],[Date of Call]]),YEAR(Call_Centre_Data[[#This Row],[Date of Call]])+1)</f>
        <v>2023</v>
      </c>
      <c r="I283" s="39" t="str">
        <f>TEXT(Call_Centre_Data[[#This Row],[Date of Call]],"DDDD")</f>
        <v>Monday</v>
      </c>
      <c r="J283" s="39" t="str" cm="1">
        <f t="array" ref="J283">_xlfn.IFS(Call_Centre_Data[[#This Row],[Duration]]&lt;=10,"Under 10 Mins", Call_Centre_Data[[#This Row],[Duration]]&lt;=30,"10-30 Mins",Call_Centre_Data[[#This Row],[Duration]]&lt;=60,"30-60 Mins",Call_Centre_Data[[#This Row],[Duration]]&lt;=120,"1-2 Hours",TRUE,"More than 2 Hours")</f>
        <v>1-2 Hours</v>
      </c>
      <c r="K283" s="91">
        <f>ROUND(Call_Centre_Data[[#This Row],[Satisfaction Rating]],0)</f>
        <v>3</v>
      </c>
    </row>
    <row r="284" spans="1:11" x14ac:dyDescent="0.35">
      <c r="A284" s="56" t="s">
        <v>1289</v>
      </c>
      <c r="B284" s="57" t="s">
        <v>1002</v>
      </c>
      <c r="C284" s="87">
        <v>61</v>
      </c>
      <c r="D284" s="57" t="s">
        <v>999</v>
      </c>
      <c r="E284" s="58">
        <v>45012</v>
      </c>
      <c r="F284" s="57">
        <v>140</v>
      </c>
      <c r="G284" s="59">
        <v>1.8</v>
      </c>
      <c r="H284" s="57">
        <f>IF(MONTH(Call_Centre_Data[[#This Row],[Date of Call]])&lt;=6,YEAR(Call_Centre_Data[[#This Row],[Date of Call]]),YEAR(Call_Centre_Data[[#This Row],[Date of Call]])+1)</f>
        <v>2023</v>
      </c>
      <c r="I284" s="39" t="str">
        <f>TEXT(Call_Centre_Data[[#This Row],[Date of Call]],"DDDD")</f>
        <v>Monday</v>
      </c>
      <c r="J284" s="39" t="str" cm="1">
        <f t="array" ref="J284">_xlfn.IFS(Call_Centre_Data[[#This Row],[Duration]]&lt;=10,"Under 10 Mins", Call_Centre_Data[[#This Row],[Duration]]&lt;=30,"10-30 Mins",Call_Centre_Data[[#This Row],[Duration]]&lt;=60,"30-60 Mins",Call_Centre_Data[[#This Row],[Duration]]&lt;=120,"1-2 Hours",TRUE,"More than 2 Hours")</f>
        <v>1-2 Hours</v>
      </c>
      <c r="K284" s="91">
        <f>ROUND(Call_Centre_Data[[#This Row],[Satisfaction Rating]],0)</f>
        <v>2</v>
      </c>
    </row>
    <row r="285" spans="1:11" x14ac:dyDescent="0.35">
      <c r="A285" s="56" t="s">
        <v>1290</v>
      </c>
      <c r="B285" s="57" t="s">
        <v>1030</v>
      </c>
      <c r="C285" s="87">
        <v>126</v>
      </c>
      <c r="D285" s="57" t="s">
        <v>994</v>
      </c>
      <c r="E285" s="58">
        <v>45012</v>
      </c>
      <c r="F285" s="57">
        <v>128</v>
      </c>
      <c r="G285" s="59">
        <v>4.2</v>
      </c>
      <c r="H285" s="57">
        <f>IF(MONTH(Call_Centre_Data[[#This Row],[Date of Call]])&lt;=6,YEAR(Call_Centre_Data[[#This Row],[Date of Call]]),YEAR(Call_Centre_Data[[#This Row],[Date of Call]])+1)</f>
        <v>2023</v>
      </c>
      <c r="I285" s="39" t="str">
        <f>TEXT(Call_Centre_Data[[#This Row],[Date of Call]],"DDDD")</f>
        <v>Monday</v>
      </c>
      <c r="J285" s="39" t="str" cm="1">
        <f t="array" ref="J285">_xlfn.IFS(Call_Centre_Data[[#This Row],[Duration]]&lt;=10,"Under 10 Mins", Call_Centre_Data[[#This Row],[Duration]]&lt;=30,"10-30 Mins",Call_Centre_Data[[#This Row],[Duration]]&lt;=60,"30-60 Mins",Call_Centre_Data[[#This Row],[Duration]]&lt;=120,"1-2 Hours",TRUE,"More than 2 Hours")</f>
        <v>More than 2 Hours</v>
      </c>
      <c r="K285" s="91">
        <f>ROUND(Call_Centre_Data[[#This Row],[Satisfaction Rating]],0)</f>
        <v>4</v>
      </c>
    </row>
    <row r="286" spans="1:11" x14ac:dyDescent="0.35">
      <c r="A286" s="56" t="s">
        <v>1291</v>
      </c>
      <c r="B286" s="57" t="s">
        <v>1013</v>
      </c>
      <c r="C286" s="87">
        <v>141</v>
      </c>
      <c r="D286" s="57" t="s">
        <v>1008</v>
      </c>
      <c r="E286" s="58">
        <v>45012</v>
      </c>
      <c r="F286" s="57">
        <v>80</v>
      </c>
      <c r="G286" s="59">
        <v>4.4000000000000004</v>
      </c>
      <c r="H286" s="57">
        <f>IF(MONTH(Call_Centre_Data[[#This Row],[Date of Call]])&lt;=6,YEAR(Call_Centre_Data[[#This Row],[Date of Call]]),YEAR(Call_Centre_Data[[#This Row],[Date of Call]])+1)</f>
        <v>2023</v>
      </c>
      <c r="I286" s="39" t="str">
        <f>TEXT(Call_Centre_Data[[#This Row],[Date of Call]],"DDDD")</f>
        <v>Monday</v>
      </c>
      <c r="J286" s="39" t="str" cm="1">
        <f t="array" ref="J286">_xlfn.IFS(Call_Centre_Data[[#This Row],[Duration]]&lt;=10,"Under 10 Mins", Call_Centre_Data[[#This Row],[Duration]]&lt;=30,"10-30 Mins",Call_Centre_Data[[#This Row],[Duration]]&lt;=60,"30-60 Mins",Call_Centre_Data[[#This Row],[Duration]]&lt;=120,"1-2 Hours",TRUE,"More than 2 Hours")</f>
        <v>More than 2 Hours</v>
      </c>
      <c r="K286" s="91">
        <f>ROUND(Call_Centre_Data[[#This Row],[Satisfaction Rating]],0)</f>
        <v>4</v>
      </c>
    </row>
    <row r="287" spans="1:11" x14ac:dyDescent="0.35">
      <c r="A287" s="56" t="s">
        <v>1292</v>
      </c>
      <c r="B287" s="57" t="s">
        <v>998</v>
      </c>
      <c r="C287" s="87">
        <v>95</v>
      </c>
      <c r="D287" s="57" t="s">
        <v>1004</v>
      </c>
      <c r="E287" s="58">
        <v>45012</v>
      </c>
      <c r="F287" s="57">
        <v>28</v>
      </c>
      <c r="G287" s="59">
        <v>2.7</v>
      </c>
      <c r="H287" s="57">
        <f>IF(MONTH(Call_Centre_Data[[#This Row],[Date of Call]])&lt;=6,YEAR(Call_Centre_Data[[#This Row],[Date of Call]]),YEAR(Call_Centre_Data[[#This Row],[Date of Call]])+1)</f>
        <v>2023</v>
      </c>
      <c r="I287" s="39" t="str">
        <f>TEXT(Call_Centre_Data[[#This Row],[Date of Call]],"DDDD")</f>
        <v>Monday</v>
      </c>
      <c r="J287" s="39" t="str" cm="1">
        <f t="array" ref="J287">_xlfn.IFS(Call_Centre_Data[[#This Row],[Duration]]&lt;=10,"Under 10 Mins", Call_Centre_Data[[#This Row],[Duration]]&lt;=30,"10-30 Mins",Call_Centre_Data[[#This Row],[Duration]]&lt;=60,"30-60 Mins",Call_Centre_Data[[#This Row],[Duration]]&lt;=120,"1-2 Hours",TRUE,"More than 2 Hours")</f>
        <v>1-2 Hours</v>
      </c>
      <c r="K287" s="91">
        <f>ROUND(Call_Centre_Data[[#This Row],[Satisfaction Rating]],0)</f>
        <v>3</v>
      </c>
    </row>
    <row r="288" spans="1:11" x14ac:dyDescent="0.35">
      <c r="A288" s="56" t="s">
        <v>1293</v>
      </c>
      <c r="B288" s="57" t="s">
        <v>1027</v>
      </c>
      <c r="C288" s="87">
        <v>39</v>
      </c>
      <c r="D288" s="57" t="s">
        <v>999</v>
      </c>
      <c r="E288" s="58">
        <v>45013</v>
      </c>
      <c r="F288" s="57">
        <v>81</v>
      </c>
      <c r="G288" s="59">
        <v>5</v>
      </c>
      <c r="H288" s="57">
        <f>IF(MONTH(Call_Centre_Data[[#This Row],[Date of Call]])&lt;=6,YEAR(Call_Centre_Data[[#This Row],[Date of Call]]),YEAR(Call_Centre_Data[[#This Row],[Date of Call]])+1)</f>
        <v>2023</v>
      </c>
      <c r="I288" s="39" t="str">
        <f>TEXT(Call_Centre_Data[[#This Row],[Date of Call]],"DDDD")</f>
        <v>Tuesday</v>
      </c>
      <c r="J288" s="39" t="str" cm="1">
        <f t="array" ref="J288">_xlfn.IFS(Call_Centre_Data[[#This Row],[Duration]]&lt;=10,"Under 10 Mins", Call_Centre_Data[[#This Row],[Duration]]&lt;=30,"10-30 Mins",Call_Centre_Data[[#This Row],[Duration]]&lt;=60,"30-60 Mins",Call_Centre_Data[[#This Row],[Duration]]&lt;=120,"1-2 Hours",TRUE,"More than 2 Hours")</f>
        <v>30-60 Mins</v>
      </c>
      <c r="K288" s="91">
        <f>ROUND(Call_Centre_Data[[#This Row],[Satisfaction Rating]],0)</f>
        <v>5</v>
      </c>
    </row>
    <row r="289" spans="1:11" x14ac:dyDescent="0.35">
      <c r="A289" s="56" t="s">
        <v>1294</v>
      </c>
      <c r="B289" s="57" t="s">
        <v>991</v>
      </c>
      <c r="C289" s="87">
        <v>127</v>
      </c>
      <c r="D289" s="57" t="s">
        <v>994</v>
      </c>
      <c r="E289" s="58">
        <v>45013</v>
      </c>
      <c r="F289" s="57">
        <v>99</v>
      </c>
      <c r="G289" s="59">
        <v>3.9</v>
      </c>
      <c r="H289" s="57">
        <f>IF(MONTH(Call_Centre_Data[[#This Row],[Date of Call]])&lt;=6,YEAR(Call_Centre_Data[[#This Row],[Date of Call]]),YEAR(Call_Centre_Data[[#This Row],[Date of Call]])+1)</f>
        <v>2023</v>
      </c>
      <c r="I289" s="39" t="str">
        <f>TEXT(Call_Centre_Data[[#This Row],[Date of Call]],"DDDD")</f>
        <v>Tuesday</v>
      </c>
      <c r="J289" s="39" t="str" cm="1">
        <f t="array" ref="J289">_xlfn.IFS(Call_Centre_Data[[#This Row],[Duration]]&lt;=10,"Under 10 Mins", Call_Centre_Data[[#This Row],[Duration]]&lt;=30,"10-30 Mins",Call_Centre_Data[[#This Row],[Duration]]&lt;=60,"30-60 Mins",Call_Centre_Data[[#This Row],[Duration]]&lt;=120,"1-2 Hours",TRUE,"More than 2 Hours")</f>
        <v>More than 2 Hours</v>
      </c>
      <c r="K289" s="91">
        <f>ROUND(Call_Centre_Data[[#This Row],[Satisfaction Rating]],0)</f>
        <v>4</v>
      </c>
    </row>
    <row r="290" spans="1:11" x14ac:dyDescent="0.35">
      <c r="A290" s="56" t="s">
        <v>1295</v>
      </c>
      <c r="B290" s="57" t="s">
        <v>1002</v>
      </c>
      <c r="C290" s="87">
        <v>78</v>
      </c>
      <c r="D290" s="57" t="s">
        <v>994</v>
      </c>
      <c r="E290" s="58">
        <v>45013</v>
      </c>
      <c r="F290" s="57">
        <v>43</v>
      </c>
      <c r="G290" s="59">
        <v>3.8</v>
      </c>
      <c r="H290" s="57">
        <f>IF(MONTH(Call_Centre_Data[[#This Row],[Date of Call]])&lt;=6,YEAR(Call_Centre_Data[[#This Row],[Date of Call]]),YEAR(Call_Centre_Data[[#This Row],[Date of Call]])+1)</f>
        <v>2023</v>
      </c>
      <c r="I290" s="39" t="str">
        <f>TEXT(Call_Centre_Data[[#This Row],[Date of Call]],"DDDD")</f>
        <v>Tuesday</v>
      </c>
      <c r="J290" s="39" t="str" cm="1">
        <f t="array" ref="J290">_xlfn.IFS(Call_Centre_Data[[#This Row],[Duration]]&lt;=10,"Under 10 Mins", Call_Centre_Data[[#This Row],[Duration]]&lt;=30,"10-30 Mins",Call_Centre_Data[[#This Row],[Duration]]&lt;=60,"30-60 Mins",Call_Centre_Data[[#This Row],[Duration]]&lt;=120,"1-2 Hours",TRUE,"More than 2 Hours")</f>
        <v>1-2 Hours</v>
      </c>
      <c r="K290" s="91">
        <f>ROUND(Call_Centre_Data[[#This Row],[Satisfaction Rating]],0)</f>
        <v>4</v>
      </c>
    </row>
    <row r="291" spans="1:11" x14ac:dyDescent="0.35">
      <c r="A291" s="56" t="s">
        <v>1296</v>
      </c>
      <c r="B291" s="57" t="s">
        <v>1011</v>
      </c>
      <c r="C291" s="87">
        <v>40</v>
      </c>
      <c r="D291" s="57" t="s">
        <v>994</v>
      </c>
      <c r="E291" s="58">
        <v>45013</v>
      </c>
      <c r="F291" s="57">
        <v>34</v>
      </c>
      <c r="G291" s="59">
        <v>4.5999999999999996</v>
      </c>
      <c r="H291" s="57">
        <f>IF(MONTH(Call_Centre_Data[[#This Row],[Date of Call]])&lt;=6,YEAR(Call_Centre_Data[[#This Row],[Date of Call]]),YEAR(Call_Centre_Data[[#This Row],[Date of Call]])+1)</f>
        <v>2023</v>
      </c>
      <c r="I291" s="39" t="str">
        <f>TEXT(Call_Centre_Data[[#This Row],[Date of Call]],"DDDD")</f>
        <v>Tuesday</v>
      </c>
      <c r="J291" s="39" t="str" cm="1">
        <f t="array" ref="J291">_xlfn.IFS(Call_Centre_Data[[#This Row],[Duration]]&lt;=10,"Under 10 Mins", Call_Centre_Data[[#This Row],[Duration]]&lt;=30,"10-30 Mins",Call_Centre_Data[[#This Row],[Duration]]&lt;=60,"30-60 Mins",Call_Centre_Data[[#This Row],[Duration]]&lt;=120,"1-2 Hours",TRUE,"More than 2 Hours")</f>
        <v>30-60 Mins</v>
      </c>
      <c r="K291" s="91">
        <f>ROUND(Call_Centre_Data[[#This Row],[Satisfaction Rating]],0)</f>
        <v>5</v>
      </c>
    </row>
    <row r="292" spans="1:11" x14ac:dyDescent="0.35">
      <c r="A292" s="56" t="s">
        <v>1297</v>
      </c>
      <c r="B292" s="57" t="s">
        <v>1002</v>
      </c>
      <c r="C292" s="87">
        <v>56</v>
      </c>
      <c r="D292" s="57" t="s">
        <v>999</v>
      </c>
      <c r="E292" s="58">
        <v>45013</v>
      </c>
      <c r="F292" s="57">
        <v>225</v>
      </c>
      <c r="G292" s="59">
        <v>4.5999999999999996</v>
      </c>
      <c r="H292" s="57">
        <f>IF(MONTH(Call_Centre_Data[[#This Row],[Date of Call]])&lt;=6,YEAR(Call_Centre_Data[[#This Row],[Date of Call]]),YEAR(Call_Centre_Data[[#This Row],[Date of Call]])+1)</f>
        <v>2023</v>
      </c>
      <c r="I292" s="39" t="str">
        <f>TEXT(Call_Centre_Data[[#This Row],[Date of Call]],"DDDD")</f>
        <v>Tuesday</v>
      </c>
      <c r="J292" s="39" t="str" cm="1">
        <f t="array" ref="J292">_xlfn.IFS(Call_Centre_Data[[#This Row],[Duration]]&lt;=10,"Under 10 Mins", Call_Centre_Data[[#This Row],[Duration]]&lt;=30,"10-30 Mins",Call_Centre_Data[[#This Row],[Duration]]&lt;=60,"30-60 Mins",Call_Centre_Data[[#This Row],[Duration]]&lt;=120,"1-2 Hours",TRUE,"More than 2 Hours")</f>
        <v>30-60 Mins</v>
      </c>
      <c r="K292" s="91">
        <f>ROUND(Call_Centre_Data[[#This Row],[Satisfaction Rating]],0)</f>
        <v>5</v>
      </c>
    </row>
    <row r="293" spans="1:11" x14ac:dyDescent="0.35">
      <c r="A293" s="56" t="s">
        <v>1298</v>
      </c>
      <c r="B293" s="57" t="s">
        <v>1027</v>
      </c>
      <c r="C293" s="87">
        <v>59</v>
      </c>
      <c r="D293" s="57" t="s">
        <v>1008</v>
      </c>
      <c r="E293" s="58">
        <v>45013</v>
      </c>
      <c r="F293" s="57">
        <v>210</v>
      </c>
      <c r="G293" s="59">
        <v>4.5</v>
      </c>
      <c r="H293" s="57">
        <f>IF(MONTH(Call_Centre_Data[[#This Row],[Date of Call]])&lt;=6,YEAR(Call_Centre_Data[[#This Row],[Date of Call]]),YEAR(Call_Centre_Data[[#This Row],[Date of Call]])+1)</f>
        <v>2023</v>
      </c>
      <c r="I293" s="39" t="str">
        <f>TEXT(Call_Centre_Data[[#This Row],[Date of Call]],"DDDD")</f>
        <v>Tuesday</v>
      </c>
      <c r="J293" s="39" t="str" cm="1">
        <f t="array" ref="J293">_xlfn.IFS(Call_Centre_Data[[#This Row],[Duration]]&lt;=10,"Under 10 Mins", Call_Centre_Data[[#This Row],[Duration]]&lt;=30,"10-30 Mins",Call_Centre_Data[[#This Row],[Duration]]&lt;=60,"30-60 Mins",Call_Centre_Data[[#This Row],[Duration]]&lt;=120,"1-2 Hours",TRUE,"More than 2 Hours")</f>
        <v>30-60 Mins</v>
      </c>
      <c r="K293" s="91">
        <f>ROUND(Call_Centre_Data[[#This Row],[Satisfaction Rating]],0)</f>
        <v>5</v>
      </c>
    </row>
    <row r="294" spans="1:11" x14ac:dyDescent="0.35">
      <c r="A294" s="56" t="s">
        <v>1299</v>
      </c>
      <c r="B294" s="57" t="s">
        <v>1030</v>
      </c>
      <c r="C294" s="87">
        <v>30</v>
      </c>
      <c r="D294" s="57" t="s">
        <v>994</v>
      </c>
      <c r="E294" s="58">
        <v>45013</v>
      </c>
      <c r="F294" s="57">
        <v>168</v>
      </c>
      <c r="G294" s="59">
        <v>4.2</v>
      </c>
      <c r="H294" s="57">
        <f>IF(MONTH(Call_Centre_Data[[#This Row],[Date of Call]])&lt;=6,YEAR(Call_Centre_Data[[#This Row],[Date of Call]]),YEAR(Call_Centre_Data[[#This Row],[Date of Call]])+1)</f>
        <v>2023</v>
      </c>
      <c r="I294" s="39" t="str">
        <f>TEXT(Call_Centre_Data[[#This Row],[Date of Call]],"DDDD")</f>
        <v>Tuesday</v>
      </c>
      <c r="J294" s="39" t="str" cm="1">
        <f t="array" ref="J294">_xlfn.IFS(Call_Centre_Data[[#This Row],[Duration]]&lt;=10,"Under 10 Mins", Call_Centre_Data[[#This Row],[Duration]]&lt;=30,"10-30 Mins",Call_Centre_Data[[#This Row],[Duration]]&lt;=60,"30-60 Mins",Call_Centre_Data[[#This Row],[Duration]]&lt;=120,"1-2 Hours",TRUE,"More than 2 Hours")</f>
        <v>10-30 Mins</v>
      </c>
      <c r="K294" s="91">
        <f>ROUND(Call_Centre_Data[[#This Row],[Satisfaction Rating]],0)</f>
        <v>4</v>
      </c>
    </row>
    <row r="295" spans="1:11" x14ac:dyDescent="0.35">
      <c r="A295" s="56" t="s">
        <v>1300</v>
      </c>
      <c r="B295" s="57" t="s">
        <v>1011</v>
      </c>
      <c r="C295" s="87">
        <v>63</v>
      </c>
      <c r="D295" s="57" t="s">
        <v>989</v>
      </c>
      <c r="E295" s="58">
        <v>45014</v>
      </c>
      <c r="F295" s="57">
        <v>82</v>
      </c>
      <c r="G295" s="59">
        <v>4.5</v>
      </c>
      <c r="H295" s="57">
        <f>IF(MONTH(Call_Centre_Data[[#This Row],[Date of Call]])&lt;=6,YEAR(Call_Centre_Data[[#This Row],[Date of Call]]),YEAR(Call_Centre_Data[[#This Row],[Date of Call]])+1)</f>
        <v>2023</v>
      </c>
      <c r="I295" s="39" t="str">
        <f>TEXT(Call_Centre_Data[[#This Row],[Date of Call]],"DDDD")</f>
        <v>Wednesday</v>
      </c>
      <c r="J295" s="39" t="str" cm="1">
        <f t="array" ref="J295">_xlfn.IFS(Call_Centre_Data[[#This Row],[Duration]]&lt;=10,"Under 10 Mins", Call_Centre_Data[[#This Row],[Duration]]&lt;=30,"10-30 Mins",Call_Centre_Data[[#This Row],[Duration]]&lt;=60,"30-60 Mins",Call_Centre_Data[[#This Row],[Duration]]&lt;=120,"1-2 Hours",TRUE,"More than 2 Hours")</f>
        <v>1-2 Hours</v>
      </c>
      <c r="K295" s="91">
        <f>ROUND(Call_Centre_Data[[#This Row],[Satisfaction Rating]],0)</f>
        <v>5</v>
      </c>
    </row>
    <row r="296" spans="1:11" x14ac:dyDescent="0.35">
      <c r="A296" s="56" t="s">
        <v>1301</v>
      </c>
      <c r="B296" s="57" t="s">
        <v>993</v>
      </c>
      <c r="C296" s="87">
        <v>56</v>
      </c>
      <c r="D296" s="57" t="s">
        <v>1004</v>
      </c>
      <c r="E296" s="58">
        <v>45014</v>
      </c>
      <c r="F296" s="57">
        <v>88</v>
      </c>
      <c r="G296" s="59">
        <v>4.0999999999999996</v>
      </c>
      <c r="H296" s="57">
        <f>IF(MONTH(Call_Centre_Data[[#This Row],[Date of Call]])&lt;=6,YEAR(Call_Centre_Data[[#This Row],[Date of Call]]),YEAR(Call_Centre_Data[[#This Row],[Date of Call]])+1)</f>
        <v>2023</v>
      </c>
      <c r="I296" s="39" t="str">
        <f>TEXT(Call_Centre_Data[[#This Row],[Date of Call]],"DDDD")</f>
        <v>Wednesday</v>
      </c>
      <c r="J296" s="39" t="str" cm="1">
        <f t="array" ref="J296">_xlfn.IFS(Call_Centre_Data[[#This Row],[Duration]]&lt;=10,"Under 10 Mins", Call_Centre_Data[[#This Row],[Duration]]&lt;=30,"10-30 Mins",Call_Centre_Data[[#This Row],[Duration]]&lt;=60,"30-60 Mins",Call_Centre_Data[[#This Row],[Duration]]&lt;=120,"1-2 Hours",TRUE,"More than 2 Hours")</f>
        <v>30-60 Mins</v>
      </c>
      <c r="K296" s="91">
        <f>ROUND(Call_Centre_Data[[#This Row],[Satisfaction Rating]],0)</f>
        <v>4</v>
      </c>
    </row>
    <row r="297" spans="1:11" x14ac:dyDescent="0.35">
      <c r="A297" s="56" t="s">
        <v>1302</v>
      </c>
      <c r="B297" s="57" t="s">
        <v>1060</v>
      </c>
      <c r="C297" s="87">
        <v>95</v>
      </c>
      <c r="D297" s="57" t="s">
        <v>989</v>
      </c>
      <c r="E297" s="58">
        <v>45014</v>
      </c>
      <c r="F297" s="57">
        <v>111</v>
      </c>
      <c r="G297" s="59">
        <v>3.3</v>
      </c>
      <c r="H297" s="57">
        <f>IF(MONTH(Call_Centre_Data[[#This Row],[Date of Call]])&lt;=6,YEAR(Call_Centre_Data[[#This Row],[Date of Call]]),YEAR(Call_Centre_Data[[#This Row],[Date of Call]])+1)</f>
        <v>2023</v>
      </c>
      <c r="I297" s="39" t="str">
        <f>TEXT(Call_Centre_Data[[#This Row],[Date of Call]],"DDDD")</f>
        <v>Wednesday</v>
      </c>
      <c r="J297" s="39" t="str" cm="1">
        <f t="array" ref="J297">_xlfn.IFS(Call_Centre_Data[[#This Row],[Duration]]&lt;=10,"Under 10 Mins", Call_Centre_Data[[#This Row],[Duration]]&lt;=30,"10-30 Mins",Call_Centre_Data[[#This Row],[Duration]]&lt;=60,"30-60 Mins",Call_Centre_Data[[#This Row],[Duration]]&lt;=120,"1-2 Hours",TRUE,"More than 2 Hours")</f>
        <v>1-2 Hours</v>
      </c>
      <c r="K297" s="91">
        <f>ROUND(Call_Centre_Data[[#This Row],[Satisfaction Rating]],0)</f>
        <v>3</v>
      </c>
    </row>
    <row r="298" spans="1:11" x14ac:dyDescent="0.35">
      <c r="A298" s="56" t="s">
        <v>1303</v>
      </c>
      <c r="B298" s="57" t="s">
        <v>1040</v>
      </c>
      <c r="C298" s="87">
        <v>128</v>
      </c>
      <c r="D298" s="57" t="s">
        <v>1008</v>
      </c>
      <c r="E298" s="58">
        <v>45014</v>
      </c>
      <c r="F298" s="57">
        <v>60</v>
      </c>
      <c r="G298" s="59">
        <v>3.8</v>
      </c>
      <c r="H298" s="57">
        <f>IF(MONTH(Call_Centre_Data[[#This Row],[Date of Call]])&lt;=6,YEAR(Call_Centre_Data[[#This Row],[Date of Call]]),YEAR(Call_Centre_Data[[#This Row],[Date of Call]])+1)</f>
        <v>2023</v>
      </c>
      <c r="I298" s="39" t="str">
        <f>TEXT(Call_Centre_Data[[#This Row],[Date of Call]],"DDDD")</f>
        <v>Wednesday</v>
      </c>
      <c r="J298" s="39" t="str" cm="1">
        <f t="array" ref="J298">_xlfn.IFS(Call_Centre_Data[[#This Row],[Duration]]&lt;=10,"Under 10 Mins", Call_Centre_Data[[#This Row],[Duration]]&lt;=30,"10-30 Mins",Call_Centre_Data[[#This Row],[Duration]]&lt;=60,"30-60 Mins",Call_Centre_Data[[#This Row],[Duration]]&lt;=120,"1-2 Hours",TRUE,"More than 2 Hours")</f>
        <v>More than 2 Hours</v>
      </c>
      <c r="K298" s="91">
        <f>ROUND(Call_Centre_Data[[#This Row],[Satisfaction Rating]],0)</f>
        <v>4</v>
      </c>
    </row>
    <row r="299" spans="1:11" x14ac:dyDescent="0.35">
      <c r="A299" s="56" t="s">
        <v>1304</v>
      </c>
      <c r="B299" s="57" t="s">
        <v>998</v>
      </c>
      <c r="C299" s="87">
        <v>49</v>
      </c>
      <c r="D299" s="57" t="s">
        <v>989</v>
      </c>
      <c r="E299" s="58">
        <v>45014</v>
      </c>
      <c r="F299" s="57">
        <v>80</v>
      </c>
      <c r="G299" s="59">
        <v>3</v>
      </c>
      <c r="H299" s="57">
        <f>IF(MONTH(Call_Centre_Data[[#This Row],[Date of Call]])&lt;=6,YEAR(Call_Centre_Data[[#This Row],[Date of Call]]),YEAR(Call_Centre_Data[[#This Row],[Date of Call]])+1)</f>
        <v>2023</v>
      </c>
      <c r="I299" s="39" t="str">
        <f>TEXT(Call_Centre_Data[[#This Row],[Date of Call]],"DDDD")</f>
        <v>Wednesday</v>
      </c>
      <c r="J299" s="39" t="str" cm="1">
        <f t="array" ref="J299">_xlfn.IFS(Call_Centre_Data[[#This Row],[Duration]]&lt;=10,"Under 10 Mins", Call_Centre_Data[[#This Row],[Duration]]&lt;=30,"10-30 Mins",Call_Centre_Data[[#This Row],[Duration]]&lt;=60,"30-60 Mins",Call_Centre_Data[[#This Row],[Duration]]&lt;=120,"1-2 Hours",TRUE,"More than 2 Hours")</f>
        <v>30-60 Mins</v>
      </c>
      <c r="K299" s="91">
        <f>ROUND(Call_Centre_Data[[#This Row],[Satisfaction Rating]],0)</f>
        <v>3</v>
      </c>
    </row>
    <row r="300" spans="1:11" x14ac:dyDescent="0.35">
      <c r="A300" s="56" t="s">
        <v>1305</v>
      </c>
      <c r="B300" s="57" t="s">
        <v>1040</v>
      </c>
      <c r="C300" s="87">
        <v>89</v>
      </c>
      <c r="D300" s="57" t="s">
        <v>999</v>
      </c>
      <c r="E300" s="58">
        <v>45016</v>
      </c>
      <c r="F300" s="57">
        <v>90</v>
      </c>
      <c r="G300" s="59">
        <v>4.5999999999999996</v>
      </c>
      <c r="H300" s="57">
        <f>IF(MONTH(Call_Centre_Data[[#This Row],[Date of Call]])&lt;=6,YEAR(Call_Centre_Data[[#This Row],[Date of Call]]),YEAR(Call_Centre_Data[[#This Row],[Date of Call]])+1)</f>
        <v>2023</v>
      </c>
      <c r="I300" s="39" t="str">
        <f>TEXT(Call_Centre_Data[[#This Row],[Date of Call]],"DDDD")</f>
        <v>Friday</v>
      </c>
      <c r="J300" s="39" t="str" cm="1">
        <f t="array" ref="J300">_xlfn.IFS(Call_Centre_Data[[#This Row],[Duration]]&lt;=10,"Under 10 Mins", Call_Centre_Data[[#This Row],[Duration]]&lt;=30,"10-30 Mins",Call_Centre_Data[[#This Row],[Duration]]&lt;=60,"30-60 Mins",Call_Centre_Data[[#This Row],[Duration]]&lt;=120,"1-2 Hours",TRUE,"More than 2 Hours")</f>
        <v>1-2 Hours</v>
      </c>
      <c r="K300" s="91">
        <f>ROUND(Call_Centre_Data[[#This Row],[Satisfaction Rating]],0)</f>
        <v>5</v>
      </c>
    </row>
    <row r="301" spans="1:11" x14ac:dyDescent="0.35">
      <c r="A301" s="56" t="s">
        <v>1306</v>
      </c>
      <c r="B301" s="57" t="s">
        <v>1019</v>
      </c>
      <c r="C301" s="87">
        <v>87</v>
      </c>
      <c r="D301" s="57" t="s">
        <v>989</v>
      </c>
      <c r="E301" s="58">
        <v>45016</v>
      </c>
      <c r="F301" s="57">
        <v>225</v>
      </c>
      <c r="G301" s="59">
        <v>2.9</v>
      </c>
      <c r="H301" s="57">
        <f>IF(MONTH(Call_Centre_Data[[#This Row],[Date of Call]])&lt;=6,YEAR(Call_Centre_Data[[#This Row],[Date of Call]]),YEAR(Call_Centre_Data[[#This Row],[Date of Call]])+1)</f>
        <v>2023</v>
      </c>
      <c r="I301" s="39" t="str">
        <f>TEXT(Call_Centre_Data[[#This Row],[Date of Call]],"DDDD")</f>
        <v>Friday</v>
      </c>
      <c r="J301" s="39" t="str" cm="1">
        <f t="array" ref="J301">_xlfn.IFS(Call_Centre_Data[[#This Row],[Duration]]&lt;=10,"Under 10 Mins", Call_Centre_Data[[#This Row],[Duration]]&lt;=30,"10-30 Mins",Call_Centre_Data[[#This Row],[Duration]]&lt;=60,"30-60 Mins",Call_Centre_Data[[#This Row],[Duration]]&lt;=120,"1-2 Hours",TRUE,"More than 2 Hours")</f>
        <v>1-2 Hours</v>
      </c>
      <c r="K301" s="91">
        <f>ROUND(Call_Centre_Data[[#This Row],[Satisfaction Rating]],0)</f>
        <v>3</v>
      </c>
    </row>
    <row r="302" spans="1:11" x14ac:dyDescent="0.35">
      <c r="A302" s="56" t="s">
        <v>1307</v>
      </c>
      <c r="B302" s="57" t="s">
        <v>988</v>
      </c>
      <c r="C302" s="87">
        <v>60</v>
      </c>
      <c r="D302" s="57" t="s">
        <v>994</v>
      </c>
      <c r="E302" s="58">
        <v>45017</v>
      </c>
      <c r="F302" s="57">
        <v>215</v>
      </c>
      <c r="G302" s="59">
        <v>3.2</v>
      </c>
      <c r="H302" s="57">
        <f>IF(MONTH(Call_Centre_Data[[#This Row],[Date of Call]])&lt;=6,YEAR(Call_Centre_Data[[#This Row],[Date of Call]]),YEAR(Call_Centre_Data[[#This Row],[Date of Call]])+1)</f>
        <v>2023</v>
      </c>
      <c r="I302" s="39" t="str">
        <f>TEXT(Call_Centre_Data[[#This Row],[Date of Call]],"DDDD")</f>
        <v>Saturday</v>
      </c>
      <c r="J302" s="39" t="str" cm="1">
        <f t="array" ref="J302">_xlfn.IFS(Call_Centre_Data[[#This Row],[Duration]]&lt;=10,"Under 10 Mins", Call_Centre_Data[[#This Row],[Duration]]&lt;=30,"10-30 Mins",Call_Centre_Data[[#This Row],[Duration]]&lt;=60,"30-60 Mins",Call_Centre_Data[[#This Row],[Duration]]&lt;=120,"1-2 Hours",TRUE,"More than 2 Hours")</f>
        <v>30-60 Mins</v>
      </c>
      <c r="K302" s="91">
        <f>ROUND(Call_Centre_Data[[#This Row],[Satisfaction Rating]],0)</f>
        <v>3</v>
      </c>
    </row>
    <row r="303" spans="1:11" x14ac:dyDescent="0.35">
      <c r="A303" s="56" t="s">
        <v>1308</v>
      </c>
      <c r="B303" s="57" t="s">
        <v>996</v>
      </c>
      <c r="C303" s="87">
        <v>42</v>
      </c>
      <c r="D303" s="57" t="s">
        <v>999</v>
      </c>
      <c r="E303" s="58">
        <v>45017</v>
      </c>
      <c r="F303" s="57">
        <v>45</v>
      </c>
      <c r="G303" s="59">
        <v>1.5</v>
      </c>
      <c r="H303" s="57">
        <f>IF(MONTH(Call_Centre_Data[[#This Row],[Date of Call]])&lt;=6,YEAR(Call_Centre_Data[[#This Row],[Date of Call]]),YEAR(Call_Centre_Data[[#This Row],[Date of Call]])+1)</f>
        <v>2023</v>
      </c>
      <c r="I303" s="39" t="str">
        <f>TEXT(Call_Centre_Data[[#This Row],[Date of Call]],"DDDD")</f>
        <v>Saturday</v>
      </c>
      <c r="J303" s="39" t="str" cm="1">
        <f t="array" ref="J303">_xlfn.IFS(Call_Centre_Data[[#This Row],[Duration]]&lt;=10,"Under 10 Mins", Call_Centre_Data[[#This Row],[Duration]]&lt;=30,"10-30 Mins",Call_Centre_Data[[#This Row],[Duration]]&lt;=60,"30-60 Mins",Call_Centre_Data[[#This Row],[Duration]]&lt;=120,"1-2 Hours",TRUE,"More than 2 Hours")</f>
        <v>30-60 Mins</v>
      </c>
      <c r="K303" s="91">
        <f>ROUND(Call_Centre_Data[[#This Row],[Satisfaction Rating]],0)</f>
        <v>2</v>
      </c>
    </row>
    <row r="304" spans="1:11" x14ac:dyDescent="0.35">
      <c r="A304" s="56" t="s">
        <v>1309</v>
      </c>
      <c r="B304" s="57" t="s">
        <v>1007</v>
      </c>
      <c r="C304" s="87">
        <v>99</v>
      </c>
      <c r="D304" s="57" t="s">
        <v>994</v>
      </c>
      <c r="E304" s="58">
        <v>45017</v>
      </c>
      <c r="F304" s="57">
        <v>74</v>
      </c>
      <c r="G304" s="59">
        <v>4</v>
      </c>
      <c r="H304" s="57">
        <f>IF(MONTH(Call_Centre_Data[[#This Row],[Date of Call]])&lt;=6,YEAR(Call_Centre_Data[[#This Row],[Date of Call]]),YEAR(Call_Centre_Data[[#This Row],[Date of Call]])+1)</f>
        <v>2023</v>
      </c>
      <c r="I304" s="39" t="str">
        <f>TEXT(Call_Centre_Data[[#This Row],[Date of Call]],"DDDD")</f>
        <v>Saturday</v>
      </c>
      <c r="J304" s="39" t="str" cm="1">
        <f t="array" ref="J304">_xlfn.IFS(Call_Centre_Data[[#This Row],[Duration]]&lt;=10,"Under 10 Mins", Call_Centre_Data[[#This Row],[Duration]]&lt;=30,"10-30 Mins",Call_Centre_Data[[#This Row],[Duration]]&lt;=60,"30-60 Mins",Call_Centre_Data[[#This Row],[Duration]]&lt;=120,"1-2 Hours",TRUE,"More than 2 Hours")</f>
        <v>1-2 Hours</v>
      </c>
      <c r="K304" s="91">
        <f>ROUND(Call_Centre_Data[[#This Row],[Satisfaction Rating]],0)</f>
        <v>4</v>
      </c>
    </row>
    <row r="305" spans="1:11" x14ac:dyDescent="0.35">
      <c r="A305" s="56" t="s">
        <v>1310</v>
      </c>
      <c r="B305" s="57" t="s">
        <v>993</v>
      </c>
      <c r="C305" s="87">
        <v>20</v>
      </c>
      <c r="D305" s="57" t="s">
        <v>999</v>
      </c>
      <c r="E305" s="58">
        <v>45017</v>
      </c>
      <c r="F305" s="57">
        <v>60</v>
      </c>
      <c r="G305" s="59">
        <v>3.6</v>
      </c>
      <c r="H305" s="57">
        <f>IF(MONTH(Call_Centre_Data[[#This Row],[Date of Call]])&lt;=6,YEAR(Call_Centre_Data[[#This Row],[Date of Call]]),YEAR(Call_Centre_Data[[#This Row],[Date of Call]])+1)</f>
        <v>2023</v>
      </c>
      <c r="I305" s="39" t="str">
        <f>TEXT(Call_Centre_Data[[#This Row],[Date of Call]],"DDDD")</f>
        <v>Saturday</v>
      </c>
      <c r="J305" s="39" t="str" cm="1">
        <f t="array" ref="J305">_xlfn.IFS(Call_Centre_Data[[#This Row],[Duration]]&lt;=10,"Under 10 Mins", Call_Centre_Data[[#This Row],[Duration]]&lt;=30,"10-30 Mins",Call_Centre_Data[[#This Row],[Duration]]&lt;=60,"30-60 Mins",Call_Centre_Data[[#This Row],[Duration]]&lt;=120,"1-2 Hours",TRUE,"More than 2 Hours")</f>
        <v>10-30 Mins</v>
      </c>
      <c r="K305" s="91">
        <f>ROUND(Call_Centre_Data[[#This Row],[Satisfaction Rating]],0)</f>
        <v>4</v>
      </c>
    </row>
    <row r="306" spans="1:11" x14ac:dyDescent="0.35">
      <c r="A306" s="56" t="s">
        <v>1311</v>
      </c>
      <c r="B306" s="57" t="s">
        <v>1011</v>
      </c>
      <c r="C306" s="87">
        <v>65</v>
      </c>
      <c r="D306" s="57" t="s">
        <v>994</v>
      </c>
      <c r="E306" s="58">
        <v>45017</v>
      </c>
      <c r="F306" s="57">
        <v>64</v>
      </c>
      <c r="G306" s="59">
        <v>3.7</v>
      </c>
      <c r="H306" s="57">
        <f>IF(MONTH(Call_Centre_Data[[#This Row],[Date of Call]])&lt;=6,YEAR(Call_Centre_Data[[#This Row],[Date of Call]]),YEAR(Call_Centre_Data[[#This Row],[Date of Call]])+1)</f>
        <v>2023</v>
      </c>
      <c r="I306" s="39" t="str">
        <f>TEXT(Call_Centre_Data[[#This Row],[Date of Call]],"DDDD")</f>
        <v>Saturday</v>
      </c>
      <c r="J306" s="39" t="str" cm="1">
        <f t="array" ref="J306">_xlfn.IFS(Call_Centre_Data[[#This Row],[Duration]]&lt;=10,"Under 10 Mins", Call_Centre_Data[[#This Row],[Duration]]&lt;=30,"10-30 Mins",Call_Centre_Data[[#This Row],[Duration]]&lt;=60,"30-60 Mins",Call_Centre_Data[[#This Row],[Duration]]&lt;=120,"1-2 Hours",TRUE,"More than 2 Hours")</f>
        <v>1-2 Hours</v>
      </c>
      <c r="K306" s="91">
        <f>ROUND(Call_Centre_Data[[#This Row],[Satisfaction Rating]],0)</f>
        <v>4</v>
      </c>
    </row>
    <row r="307" spans="1:11" x14ac:dyDescent="0.35">
      <c r="A307" s="56" t="s">
        <v>1312</v>
      </c>
      <c r="B307" s="57" t="s">
        <v>1030</v>
      </c>
      <c r="C307" s="87">
        <v>71</v>
      </c>
      <c r="D307" s="57" t="s">
        <v>989</v>
      </c>
      <c r="E307" s="58">
        <v>45018</v>
      </c>
      <c r="F307" s="57">
        <v>110</v>
      </c>
      <c r="G307" s="59">
        <v>4.8</v>
      </c>
      <c r="H307" s="57">
        <f>IF(MONTH(Call_Centre_Data[[#This Row],[Date of Call]])&lt;=6,YEAR(Call_Centre_Data[[#This Row],[Date of Call]]),YEAR(Call_Centre_Data[[#This Row],[Date of Call]])+1)</f>
        <v>2023</v>
      </c>
      <c r="I307" s="39" t="str">
        <f>TEXT(Call_Centre_Data[[#This Row],[Date of Call]],"DDDD")</f>
        <v>Sunday</v>
      </c>
      <c r="J307" s="39" t="str" cm="1">
        <f t="array" ref="J307">_xlfn.IFS(Call_Centre_Data[[#This Row],[Duration]]&lt;=10,"Under 10 Mins", Call_Centre_Data[[#This Row],[Duration]]&lt;=30,"10-30 Mins",Call_Centre_Data[[#This Row],[Duration]]&lt;=60,"30-60 Mins",Call_Centre_Data[[#This Row],[Duration]]&lt;=120,"1-2 Hours",TRUE,"More than 2 Hours")</f>
        <v>1-2 Hours</v>
      </c>
      <c r="K307" s="91">
        <f>ROUND(Call_Centre_Data[[#This Row],[Satisfaction Rating]],0)</f>
        <v>5</v>
      </c>
    </row>
    <row r="308" spans="1:11" x14ac:dyDescent="0.35">
      <c r="A308" s="56" t="s">
        <v>1313</v>
      </c>
      <c r="B308" s="57" t="s">
        <v>991</v>
      </c>
      <c r="C308" s="87">
        <v>95</v>
      </c>
      <c r="D308" s="57" t="s">
        <v>1008</v>
      </c>
      <c r="E308" s="58">
        <v>45018</v>
      </c>
      <c r="F308" s="57">
        <v>52</v>
      </c>
      <c r="G308" s="59">
        <v>1.2</v>
      </c>
      <c r="H308" s="57">
        <f>IF(MONTH(Call_Centre_Data[[#This Row],[Date of Call]])&lt;=6,YEAR(Call_Centre_Data[[#This Row],[Date of Call]]),YEAR(Call_Centre_Data[[#This Row],[Date of Call]])+1)</f>
        <v>2023</v>
      </c>
      <c r="I308" s="39" t="str">
        <f>TEXT(Call_Centre_Data[[#This Row],[Date of Call]],"DDDD")</f>
        <v>Sunday</v>
      </c>
      <c r="J308" s="39" t="str" cm="1">
        <f t="array" ref="J308">_xlfn.IFS(Call_Centre_Data[[#This Row],[Duration]]&lt;=10,"Under 10 Mins", Call_Centre_Data[[#This Row],[Duration]]&lt;=30,"10-30 Mins",Call_Centre_Data[[#This Row],[Duration]]&lt;=60,"30-60 Mins",Call_Centre_Data[[#This Row],[Duration]]&lt;=120,"1-2 Hours",TRUE,"More than 2 Hours")</f>
        <v>1-2 Hours</v>
      </c>
      <c r="K308" s="91">
        <f>ROUND(Call_Centre_Data[[#This Row],[Satisfaction Rating]],0)</f>
        <v>1</v>
      </c>
    </row>
    <row r="309" spans="1:11" x14ac:dyDescent="0.35">
      <c r="A309" s="56" t="s">
        <v>1314</v>
      </c>
      <c r="B309" s="57" t="s">
        <v>993</v>
      </c>
      <c r="C309" s="87">
        <v>81</v>
      </c>
      <c r="D309" s="57" t="s">
        <v>1004</v>
      </c>
      <c r="E309" s="58">
        <v>45019</v>
      </c>
      <c r="F309" s="57">
        <v>160</v>
      </c>
      <c r="G309" s="59">
        <v>4.7</v>
      </c>
      <c r="H309" s="57">
        <f>IF(MONTH(Call_Centre_Data[[#This Row],[Date of Call]])&lt;=6,YEAR(Call_Centre_Data[[#This Row],[Date of Call]]),YEAR(Call_Centre_Data[[#This Row],[Date of Call]])+1)</f>
        <v>2023</v>
      </c>
      <c r="I309" s="39" t="str">
        <f>TEXT(Call_Centre_Data[[#This Row],[Date of Call]],"DDDD")</f>
        <v>Monday</v>
      </c>
      <c r="J309" s="39" t="str" cm="1">
        <f t="array" ref="J309">_xlfn.IFS(Call_Centre_Data[[#This Row],[Duration]]&lt;=10,"Under 10 Mins", Call_Centre_Data[[#This Row],[Duration]]&lt;=30,"10-30 Mins",Call_Centre_Data[[#This Row],[Duration]]&lt;=60,"30-60 Mins",Call_Centre_Data[[#This Row],[Duration]]&lt;=120,"1-2 Hours",TRUE,"More than 2 Hours")</f>
        <v>1-2 Hours</v>
      </c>
      <c r="K309" s="91">
        <f>ROUND(Call_Centre_Data[[#This Row],[Satisfaction Rating]],0)</f>
        <v>5</v>
      </c>
    </row>
    <row r="310" spans="1:11" x14ac:dyDescent="0.35">
      <c r="A310" s="56" t="s">
        <v>1315</v>
      </c>
      <c r="B310" s="57" t="s">
        <v>1022</v>
      </c>
      <c r="C310" s="87">
        <v>137</v>
      </c>
      <c r="D310" s="57" t="s">
        <v>1004</v>
      </c>
      <c r="E310" s="58">
        <v>45019</v>
      </c>
      <c r="F310" s="57">
        <v>215</v>
      </c>
      <c r="G310" s="59">
        <v>4.7</v>
      </c>
      <c r="H310" s="57">
        <f>IF(MONTH(Call_Centre_Data[[#This Row],[Date of Call]])&lt;=6,YEAR(Call_Centre_Data[[#This Row],[Date of Call]]),YEAR(Call_Centre_Data[[#This Row],[Date of Call]])+1)</f>
        <v>2023</v>
      </c>
      <c r="I310" s="39" t="str">
        <f>TEXT(Call_Centre_Data[[#This Row],[Date of Call]],"DDDD")</f>
        <v>Monday</v>
      </c>
      <c r="J310" s="39" t="str" cm="1">
        <f t="array" ref="J310">_xlfn.IFS(Call_Centre_Data[[#This Row],[Duration]]&lt;=10,"Under 10 Mins", Call_Centre_Data[[#This Row],[Duration]]&lt;=30,"10-30 Mins",Call_Centre_Data[[#This Row],[Duration]]&lt;=60,"30-60 Mins",Call_Centre_Data[[#This Row],[Duration]]&lt;=120,"1-2 Hours",TRUE,"More than 2 Hours")</f>
        <v>More than 2 Hours</v>
      </c>
      <c r="K310" s="91">
        <f>ROUND(Call_Centre_Data[[#This Row],[Satisfaction Rating]],0)</f>
        <v>5</v>
      </c>
    </row>
    <row r="311" spans="1:11" x14ac:dyDescent="0.35">
      <c r="A311" s="56" t="s">
        <v>1316</v>
      </c>
      <c r="B311" s="57" t="s">
        <v>1022</v>
      </c>
      <c r="C311" s="87">
        <v>40</v>
      </c>
      <c r="D311" s="57" t="s">
        <v>1008</v>
      </c>
      <c r="E311" s="58">
        <v>45019</v>
      </c>
      <c r="F311" s="57">
        <v>220</v>
      </c>
      <c r="G311" s="59">
        <v>4.5</v>
      </c>
      <c r="H311" s="57">
        <f>IF(MONTH(Call_Centre_Data[[#This Row],[Date of Call]])&lt;=6,YEAR(Call_Centre_Data[[#This Row],[Date of Call]]),YEAR(Call_Centre_Data[[#This Row],[Date of Call]])+1)</f>
        <v>2023</v>
      </c>
      <c r="I311" s="39" t="str">
        <f>TEXT(Call_Centre_Data[[#This Row],[Date of Call]],"DDDD")</f>
        <v>Monday</v>
      </c>
      <c r="J311" s="39" t="str" cm="1">
        <f t="array" ref="J311">_xlfn.IFS(Call_Centre_Data[[#This Row],[Duration]]&lt;=10,"Under 10 Mins", Call_Centre_Data[[#This Row],[Duration]]&lt;=30,"10-30 Mins",Call_Centre_Data[[#This Row],[Duration]]&lt;=60,"30-60 Mins",Call_Centre_Data[[#This Row],[Duration]]&lt;=120,"1-2 Hours",TRUE,"More than 2 Hours")</f>
        <v>30-60 Mins</v>
      </c>
      <c r="K311" s="91">
        <f>ROUND(Call_Centre_Data[[#This Row],[Satisfaction Rating]],0)</f>
        <v>5</v>
      </c>
    </row>
    <row r="312" spans="1:11" x14ac:dyDescent="0.35">
      <c r="A312" s="56" t="s">
        <v>1317</v>
      </c>
      <c r="B312" s="57" t="s">
        <v>1007</v>
      </c>
      <c r="C312" s="87">
        <v>111</v>
      </c>
      <c r="D312" s="57" t="s">
        <v>994</v>
      </c>
      <c r="E312" s="58">
        <v>45020</v>
      </c>
      <c r="F312" s="57">
        <v>175</v>
      </c>
      <c r="G312" s="59">
        <v>3.5</v>
      </c>
      <c r="H312" s="57">
        <f>IF(MONTH(Call_Centre_Data[[#This Row],[Date of Call]])&lt;=6,YEAR(Call_Centre_Data[[#This Row],[Date of Call]]),YEAR(Call_Centre_Data[[#This Row],[Date of Call]])+1)</f>
        <v>2023</v>
      </c>
      <c r="I312" s="39" t="str">
        <f>TEXT(Call_Centre_Data[[#This Row],[Date of Call]],"DDDD")</f>
        <v>Tuesday</v>
      </c>
      <c r="J312" s="39" t="str" cm="1">
        <f t="array" ref="J312">_xlfn.IFS(Call_Centre_Data[[#This Row],[Duration]]&lt;=10,"Under 10 Mins", Call_Centre_Data[[#This Row],[Duration]]&lt;=30,"10-30 Mins",Call_Centre_Data[[#This Row],[Duration]]&lt;=60,"30-60 Mins",Call_Centre_Data[[#This Row],[Duration]]&lt;=120,"1-2 Hours",TRUE,"More than 2 Hours")</f>
        <v>1-2 Hours</v>
      </c>
      <c r="K312" s="91">
        <f>ROUND(Call_Centre_Data[[#This Row],[Satisfaction Rating]],0)</f>
        <v>4</v>
      </c>
    </row>
    <row r="313" spans="1:11" x14ac:dyDescent="0.35">
      <c r="A313" s="56" t="s">
        <v>1318</v>
      </c>
      <c r="B313" s="57" t="s">
        <v>1030</v>
      </c>
      <c r="C313" s="87">
        <v>106</v>
      </c>
      <c r="D313" s="57" t="s">
        <v>994</v>
      </c>
      <c r="E313" s="58">
        <v>45020</v>
      </c>
      <c r="F313" s="57">
        <v>145</v>
      </c>
      <c r="G313" s="59">
        <v>4.0999999999999996</v>
      </c>
      <c r="H313" s="57">
        <f>IF(MONTH(Call_Centre_Data[[#This Row],[Date of Call]])&lt;=6,YEAR(Call_Centre_Data[[#This Row],[Date of Call]]),YEAR(Call_Centre_Data[[#This Row],[Date of Call]])+1)</f>
        <v>2023</v>
      </c>
      <c r="I313" s="39" t="str">
        <f>TEXT(Call_Centre_Data[[#This Row],[Date of Call]],"DDDD")</f>
        <v>Tuesday</v>
      </c>
      <c r="J313" s="39" t="str" cm="1">
        <f t="array" ref="J313">_xlfn.IFS(Call_Centre_Data[[#This Row],[Duration]]&lt;=10,"Under 10 Mins", Call_Centre_Data[[#This Row],[Duration]]&lt;=30,"10-30 Mins",Call_Centre_Data[[#This Row],[Duration]]&lt;=60,"30-60 Mins",Call_Centre_Data[[#This Row],[Duration]]&lt;=120,"1-2 Hours",TRUE,"More than 2 Hours")</f>
        <v>1-2 Hours</v>
      </c>
      <c r="K313" s="91">
        <f>ROUND(Call_Centre_Data[[#This Row],[Satisfaction Rating]],0)</f>
        <v>4</v>
      </c>
    </row>
    <row r="314" spans="1:11" x14ac:dyDescent="0.35">
      <c r="A314" s="56" t="s">
        <v>1319</v>
      </c>
      <c r="B314" s="57" t="s">
        <v>996</v>
      </c>
      <c r="C314" s="87">
        <v>133</v>
      </c>
      <c r="D314" s="57" t="s">
        <v>999</v>
      </c>
      <c r="E314" s="58">
        <v>45020</v>
      </c>
      <c r="F314" s="57">
        <v>72</v>
      </c>
      <c r="G314" s="59">
        <v>4.4000000000000004</v>
      </c>
      <c r="H314" s="57">
        <f>IF(MONTH(Call_Centre_Data[[#This Row],[Date of Call]])&lt;=6,YEAR(Call_Centre_Data[[#This Row],[Date of Call]]),YEAR(Call_Centre_Data[[#This Row],[Date of Call]])+1)</f>
        <v>2023</v>
      </c>
      <c r="I314" s="39" t="str">
        <f>TEXT(Call_Centre_Data[[#This Row],[Date of Call]],"DDDD")</f>
        <v>Tuesday</v>
      </c>
      <c r="J314" s="39" t="str" cm="1">
        <f t="array" ref="J314">_xlfn.IFS(Call_Centre_Data[[#This Row],[Duration]]&lt;=10,"Under 10 Mins", Call_Centre_Data[[#This Row],[Duration]]&lt;=30,"10-30 Mins",Call_Centre_Data[[#This Row],[Duration]]&lt;=60,"30-60 Mins",Call_Centre_Data[[#This Row],[Duration]]&lt;=120,"1-2 Hours",TRUE,"More than 2 Hours")</f>
        <v>More than 2 Hours</v>
      </c>
      <c r="K314" s="91">
        <f>ROUND(Call_Centre_Data[[#This Row],[Satisfaction Rating]],0)</f>
        <v>4</v>
      </c>
    </row>
    <row r="315" spans="1:11" x14ac:dyDescent="0.35">
      <c r="A315" s="56" t="s">
        <v>1320</v>
      </c>
      <c r="B315" s="57" t="s">
        <v>1002</v>
      </c>
      <c r="C315" s="87">
        <v>38</v>
      </c>
      <c r="D315" s="57" t="s">
        <v>994</v>
      </c>
      <c r="E315" s="58">
        <v>45021</v>
      </c>
      <c r="F315" s="57">
        <v>81</v>
      </c>
      <c r="G315" s="59">
        <v>3.6</v>
      </c>
      <c r="H315" s="57">
        <f>IF(MONTH(Call_Centre_Data[[#This Row],[Date of Call]])&lt;=6,YEAR(Call_Centre_Data[[#This Row],[Date of Call]]),YEAR(Call_Centre_Data[[#This Row],[Date of Call]])+1)</f>
        <v>2023</v>
      </c>
      <c r="I315" s="39" t="str">
        <f>TEXT(Call_Centre_Data[[#This Row],[Date of Call]],"DDDD")</f>
        <v>Wednesday</v>
      </c>
      <c r="J315" s="39" t="str" cm="1">
        <f t="array" ref="J315">_xlfn.IFS(Call_Centre_Data[[#This Row],[Duration]]&lt;=10,"Under 10 Mins", Call_Centre_Data[[#This Row],[Duration]]&lt;=30,"10-30 Mins",Call_Centre_Data[[#This Row],[Duration]]&lt;=60,"30-60 Mins",Call_Centre_Data[[#This Row],[Duration]]&lt;=120,"1-2 Hours",TRUE,"More than 2 Hours")</f>
        <v>30-60 Mins</v>
      </c>
      <c r="K315" s="91">
        <f>ROUND(Call_Centre_Data[[#This Row],[Satisfaction Rating]],0)</f>
        <v>4</v>
      </c>
    </row>
    <row r="316" spans="1:11" x14ac:dyDescent="0.35">
      <c r="A316" s="56" t="s">
        <v>1321</v>
      </c>
      <c r="B316" s="57" t="s">
        <v>1027</v>
      </c>
      <c r="C316" s="87">
        <v>130</v>
      </c>
      <c r="D316" s="57" t="s">
        <v>1008</v>
      </c>
      <c r="E316" s="58">
        <v>45021</v>
      </c>
      <c r="F316" s="57">
        <v>54</v>
      </c>
      <c r="G316" s="59">
        <v>4.0999999999999996</v>
      </c>
      <c r="H316" s="57">
        <f>IF(MONTH(Call_Centre_Data[[#This Row],[Date of Call]])&lt;=6,YEAR(Call_Centre_Data[[#This Row],[Date of Call]]),YEAR(Call_Centre_Data[[#This Row],[Date of Call]])+1)</f>
        <v>2023</v>
      </c>
      <c r="I316" s="39" t="str">
        <f>TEXT(Call_Centre_Data[[#This Row],[Date of Call]],"DDDD")</f>
        <v>Wednesday</v>
      </c>
      <c r="J316" s="39" t="str" cm="1">
        <f t="array" ref="J316">_xlfn.IFS(Call_Centre_Data[[#This Row],[Duration]]&lt;=10,"Under 10 Mins", Call_Centre_Data[[#This Row],[Duration]]&lt;=30,"10-30 Mins",Call_Centre_Data[[#This Row],[Duration]]&lt;=60,"30-60 Mins",Call_Centre_Data[[#This Row],[Duration]]&lt;=120,"1-2 Hours",TRUE,"More than 2 Hours")</f>
        <v>More than 2 Hours</v>
      </c>
      <c r="K316" s="91">
        <f>ROUND(Call_Centre_Data[[#This Row],[Satisfaction Rating]],0)</f>
        <v>4</v>
      </c>
    </row>
    <row r="317" spans="1:11" x14ac:dyDescent="0.35">
      <c r="A317" s="56" t="s">
        <v>1322</v>
      </c>
      <c r="B317" s="57" t="s">
        <v>1011</v>
      </c>
      <c r="C317" s="87">
        <v>23</v>
      </c>
      <c r="D317" s="57" t="s">
        <v>999</v>
      </c>
      <c r="E317" s="58">
        <v>45021</v>
      </c>
      <c r="F317" s="57">
        <v>105</v>
      </c>
      <c r="G317" s="59">
        <v>4.8</v>
      </c>
      <c r="H317" s="57">
        <f>IF(MONTH(Call_Centre_Data[[#This Row],[Date of Call]])&lt;=6,YEAR(Call_Centre_Data[[#This Row],[Date of Call]]),YEAR(Call_Centre_Data[[#This Row],[Date of Call]])+1)</f>
        <v>2023</v>
      </c>
      <c r="I317" s="39" t="str">
        <f>TEXT(Call_Centre_Data[[#This Row],[Date of Call]],"DDDD")</f>
        <v>Wednesday</v>
      </c>
      <c r="J317" s="39" t="str" cm="1">
        <f t="array" ref="J317">_xlfn.IFS(Call_Centre_Data[[#This Row],[Duration]]&lt;=10,"Under 10 Mins", Call_Centre_Data[[#This Row],[Duration]]&lt;=30,"10-30 Mins",Call_Centre_Data[[#This Row],[Duration]]&lt;=60,"30-60 Mins",Call_Centre_Data[[#This Row],[Duration]]&lt;=120,"1-2 Hours",TRUE,"More than 2 Hours")</f>
        <v>10-30 Mins</v>
      </c>
      <c r="K317" s="91">
        <f>ROUND(Call_Centre_Data[[#This Row],[Satisfaction Rating]],0)</f>
        <v>5</v>
      </c>
    </row>
    <row r="318" spans="1:11" x14ac:dyDescent="0.35">
      <c r="A318" s="56" t="s">
        <v>1323</v>
      </c>
      <c r="B318" s="57" t="s">
        <v>1027</v>
      </c>
      <c r="C318" s="87">
        <v>124</v>
      </c>
      <c r="D318" s="57" t="s">
        <v>994</v>
      </c>
      <c r="E318" s="58">
        <v>45022</v>
      </c>
      <c r="F318" s="57">
        <v>176</v>
      </c>
      <c r="G318" s="59">
        <v>3.9</v>
      </c>
      <c r="H318" s="57">
        <f>IF(MONTH(Call_Centre_Data[[#This Row],[Date of Call]])&lt;=6,YEAR(Call_Centre_Data[[#This Row],[Date of Call]]),YEAR(Call_Centre_Data[[#This Row],[Date of Call]])+1)</f>
        <v>2023</v>
      </c>
      <c r="I318" s="39" t="str">
        <f>TEXT(Call_Centre_Data[[#This Row],[Date of Call]],"DDDD")</f>
        <v>Thursday</v>
      </c>
      <c r="J318" s="39" t="str" cm="1">
        <f t="array" ref="J318">_xlfn.IFS(Call_Centre_Data[[#This Row],[Duration]]&lt;=10,"Under 10 Mins", Call_Centre_Data[[#This Row],[Duration]]&lt;=30,"10-30 Mins",Call_Centre_Data[[#This Row],[Duration]]&lt;=60,"30-60 Mins",Call_Centre_Data[[#This Row],[Duration]]&lt;=120,"1-2 Hours",TRUE,"More than 2 Hours")</f>
        <v>More than 2 Hours</v>
      </c>
      <c r="K318" s="91">
        <f>ROUND(Call_Centre_Data[[#This Row],[Satisfaction Rating]],0)</f>
        <v>4</v>
      </c>
    </row>
    <row r="319" spans="1:11" x14ac:dyDescent="0.35">
      <c r="A319" s="56" t="s">
        <v>1324</v>
      </c>
      <c r="B319" s="57" t="s">
        <v>993</v>
      </c>
      <c r="C319" s="87">
        <v>107</v>
      </c>
      <c r="D319" s="57" t="s">
        <v>994</v>
      </c>
      <c r="E319" s="58">
        <v>45022</v>
      </c>
      <c r="F319" s="57">
        <v>115</v>
      </c>
      <c r="G319" s="59">
        <v>3.8</v>
      </c>
      <c r="H319" s="57">
        <f>IF(MONTH(Call_Centre_Data[[#This Row],[Date of Call]])&lt;=6,YEAR(Call_Centre_Data[[#This Row],[Date of Call]]),YEAR(Call_Centre_Data[[#This Row],[Date of Call]])+1)</f>
        <v>2023</v>
      </c>
      <c r="I319" s="39" t="str">
        <f>TEXT(Call_Centre_Data[[#This Row],[Date of Call]],"DDDD")</f>
        <v>Thursday</v>
      </c>
      <c r="J319" s="39" t="str" cm="1">
        <f t="array" ref="J319">_xlfn.IFS(Call_Centre_Data[[#This Row],[Duration]]&lt;=10,"Under 10 Mins", Call_Centre_Data[[#This Row],[Duration]]&lt;=30,"10-30 Mins",Call_Centre_Data[[#This Row],[Duration]]&lt;=60,"30-60 Mins",Call_Centre_Data[[#This Row],[Duration]]&lt;=120,"1-2 Hours",TRUE,"More than 2 Hours")</f>
        <v>1-2 Hours</v>
      </c>
      <c r="K319" s="91">
        <f>ROUND(Call_Centre_Data[[#This Row],[Satisfaction Rating]],0)</f>
        <v>4</v>
      </c>
    </row>
    <row r="320" spans="1:11" x14ac:dyDescent="0.35">
      <c r="A320" s="56" t="s">
        <v>1325</v>
      </c>
      <c r="B320" s="57" t="s">
        <v>1022</v>
      </c>
      <c r="C320" s="87">
        <v>60</v>
      </c>
      <c r="D320" s="57" t="s">
        <v>989</v>
      </c>
      <c r="E320" s="58">
        <v>45022</v>
      </c>
      <c r="F320" s="57">
        <v>116</v>
      </c>
      <c r="G320" s="59">
        <v>3.9</v>
      </c>
      <c r="H320" s="57">
        <f>IF(MONTH(Call_Centre_Data[[#This Row],[Date of Call]])&lt;=6,YEAR(Call_Centre_Data[[#This Row],[Date of Call]]),YEAR(Call_Centre_Data[[#This Row],[Date of Call]])+1)</f>
        <v>2023</v>
      </c>
      <c r="I320" s="39" t="str">
        <f>TEXT(Call_Centre_Data[[#This Row],[Date of Call]],"DDDD")</f>
        <v>Thursday</v>
      </c>
      <c r="J320" s="39" t="str" cm="1">
        <f t="array" ref="J320">_xlfn.IFS(Call_Centre_Data[[#This Row],[Duration]]&lt;=10,"Under 10 Mins", Call_Centre_Data[[#This Row],[Duration]]&lt;=30,"10-30 Mins",Call_Centre_Data[[#This Row],[Duration]]&lt;=60,"30-60 Mins",Call_Centre_Data[[#This Row],[Duration]]&lt;=120,"1-2 Hours",TRUE,"More than 2 Hours")</f>
        <v>30-60 Mins</v>
      </c>
      <c r="K320" s="91">
        <f>ROUND(Call_Centre_Data[[#This Row],[Satisfaction Rating]],0)</f>
        <v>4</v>
      </c>
    </row>
    <row r="321" spans="1:11" x14ac:dyDescent="0.35">
      <c r="A321" s="56" t="s">
        <v>1326</v>
      </c>
      <c r="B321" s="57" t="s">
        <v>1022</v>
      </c>
      <c r="C321" s="87">
        <v>158</v>
      </c>
      <c r="D321" s="57" t="s">
        <v>1008</v>
      </c>
      <c r="E321" s="58">
        <v>45022</v>
      </c>
      <c r="F321" s="57">
        <v>100</v>
      </c>
      <c r="G321" s="59">
        <v>4.0999999999999996</v>
      </c>
      <c r="H321" s="57">
        <f>IF(MONTH(Call_Centre_Data[[#This Row],[Date of Call]])&lt;=6,YEAR(Call_Centre_Data[[#This Row],[Date of Call]]),YEAR(Call_Centre_Data[[#This Row],[Date of Call]])+1)</f>
        <v>2023</v>
      </c>
      <c r="I321" s="39" t="str">
        <f>TEXT(Call_Centre_Data[[#This Row],[Date of Call]],"DDDD")</f>
        <v>Thursday</v>
      </c>
      <c r="J321" s="39" t="str" cm="1">
        <f t="array" ref="J321">_xlfn.IFS(Call_Centre_Data[[#This Row],[Duration]]&lt;=10,"Under 10 Mins", Call_Centre_Data[[#This Row],[Duration]]&lt;=30,"10-30 Mins",Call_Centre_Data[[#This Row],[Duration]]&lt;=60,"30-60 Mins",Call_Centre_Data[[#This Row],[Duration]]&lt;=120,"1-2 Hours",TRUE,"More than 2 Hours")</f>
        <v>More than 2 Hours</v>
      </c>
      <c r="K321" s="91">
        <f>ROUND(Call_Centre_Data[[#This Row],[Satisfaction Rating]],0)</f>
        <v>4</v>
      </c>
    </row>
    <row r="322" spans="1:11" x14ac:dyDescent="0.35">
      <c r="A322" s="56" t="s">
        <v>1327</v>
      </c>
      <c r="B322" s="57" t="s">
        <v>1019</v>
      </c>
      <c r="C322" s="87">
        <v>110</v>
      </c>
      <c r="D322" s="57" t="s">
        <v>1008</v>
      </c>
      <c r="E322" s="58">
        <v>45023</v>
      </c>
      <c r="F322" s="57">
        <v>36</v>
      </c>
      <c r="G322" s="59">
        <v>2.2000000000000002</v>
      </c>
      <c r="H322" s="57">
        <f>IF(MONTH(Call_Centre_Data[[#This Row],[Date of Call]])&lt;=6,YEAR(Call_Centre_Data[[#This Row],[Date of Call]]),YEAR(Call_Centre_Data[[#This Row],[Date of Call]])+1)</f>
        <v>2023</v>
      </c>
      <c r="I322" s="39" t="str">
        <f>TEXT(Call_Centre_Data[[#This Row],[Date of Call]],"DDDD")</f>
        <v>Friday</v>
      </c>
      <c r="J322" s="39" t="str" cm="1">
        <f t="array" ref="J322">_xlfn.IFS(Call_Centre_Data[[#This Row],[Duration]]&lt;=10,"Under 10 Mins", Call_Centre_Data[[#This Row],[Duration]]&lt;=30,"10-30 Mins",Call_Centre_Data[[#This Row],[Duration]]&lt;=60,"30-60 Mins",Call_Centre_Data[[#This Row],[Duration]]&lt;=120,"1-2 Hours",TRUE,"More than 2 Hours")</f>
        <v>1-2 Hours</v>
      </c>
      <c r="K322" s="91">
        <f>ROUND(Call_Centre_Data[[#This Row],[Satisfaction Rating]],0)</f>
        <v>2</v>
      </c>
    </row>
    <row r="323" spans="1:11" x14ac:dyDescent="0.35">
      <c r="A323" s="56" t="s">
        <v>1328</v>
      </c>
      <c r="B323" s="57" t="s">
        <v>1040</v>
      </c>
      <c r="C323" s="87">
        <v>70</v>
      </c>
      <c r="D323" s="57" t="s">
        <v>1008</v>
      </c>
      <c r="E323" s="58">
        <v>45023</v>
      </c>
      <c r="F323" s="57">
        <v>114</v>
      </c>
      <c r="G323" s="59">
        <v>5</v>
      </c>
      <c r="H323" s="57">
        <f>IF(MONTH(Call_Centre_Data[[#This Row],[Date of Call]])&lt;=6,YEAR(Call_Centre_Data[[#This Row],[Date of Call]]),YEAR(Call_Centre_Data[[#This Row],[Date of Call]])+1)</f>
        <v>2023</v>
      </c>
      <c r="I323" s="39" t="str">
        <f>TEXT(Call_Centre_Data[[#This Row],[Date of Call]],"DDDD")</f>
        <v>Friday</v>
      </c>
      <c r="J323" s="39" t="str" cm="1">
        <f t="array" ref="J323">_xlfn.IFS(Call_Centre_Data[[#This Row],[Duration]]&lt;=10,"Under 10 Mins", Call_Centre_Data[[#This Row],[Duration]]&lt;=30,"10-30 Mins",Call_Centre_Data[[#This Row],[Duration]]&lt;=60,"30-60 Mins",Call_Centre_Data[[#This Row],[Duration]]&lt;=120,"1-2 Hours",TRUE,"More than 2 Hours")</f>
        <v>1-2 Hours</v>
      </c>
      <c r="K323" s="91">
        <f>ROUND(Call_Centre_Data[[#This Row],[Satisfaction Rating]],0)</f>
        <v>5</v>
      </c>
    </row>
    <row r="324" spans="1:11" x14ac:dyDescent="0.35">
      <c r="A324" s="56" t="s">
        <v>1329</v>
      </c>
      <c r="B324" s="57" t="s">
        <v>1040</v>
      </c>
      <c r="C324" s="87">
        <v>150</v>
      </c>
      <c r="D324" s="57" t="s">
        <v>989</v>
      </c>
      <c r="E324" s="58">
        <v>45023</v>
      </c>
      <c r="F324" s="57">
        <v>24</v>
      </c>
      <c r="G324" s="59">
        <v>3.8</v>
      </c>
      <c r="H324" s="57">
        <f>IF(MONTH(Call_Centre_Data[[#This Row],[Date of Call]])&lt;=6,YEAR(Call_Centre_Data[[#This Row],[Date of Call]]),YEAR(Call_Centre_Data[[#This Row],[Date of Call]])+1)</f>
        <v>2023</v>
      </c>
      <c r="I324" s="39" t="str">
        <f>TEXT(Call_Centre_Data[[#This Row],[Date of Call]],"DDDD")</f>
        <v>Friday</v>
      </c>
      <c r="J324" s="39" t="str" cm="1">
        <f t="array" ref="J324">_xlfn.IFS(Call_Centre_Data[[#This Row],[Duration]]&lt;=10,"Under 10 Mins", Call_Centre_Data[[#This Row],[Duration]]&lt;=30,"10-30 Mins",Call_Centre_Data[[#This Row],[Duration]]&lt;=60,"30-60 Mins",Call_Centre_Data[[#This Row],[Duration]]&lt;=120,"1-2 Hours",TRUE,"More than 2 Hours")</f>
        <v>More than 2 Hours</v>
      </c>
      <c r="K324" s="91">
        <f>ROUND(Call_Centre_Data[[#This Row],[Satisfaction Rating]],0)</f>
        <v>4</v>
      </c>
    </row>
    <row r="325" spans="1:11" x14ac:dyDescent="0.35">
      <c r="A325" s="56" t="s">
        <v>1330</v>
      </c>
      <c r="B325" s="57" t="s">
        <v>1002</v>
      </c>
      <c r="C325" s="87">
        <v>36</v>
      </c>
      <c r="D325" s="57" t="s">
        <v>994</v>
      </c>
      <c r="E325" s="58">
        <v>45023</v>
      </c>
      <c r="F325" s="57">
        <v>135</v>
      </c>
      <c r="G325" s="59">
        <v>4.5999999999999996</v>
      </c>
      <c r="H325" s="57">
        <f>IF(MONTH(Call_Centre_Data[[#This Row],[Date of Call]])&lt;=6,YEAR(Call_Centre_Data[[#This Row],[Date of Call]]),YEAR(Call_Centre_Data[[#This Row],[Date of Call]])+1)</f>
        <v>2023</v>
      </c>
      <c r="I325" s="39" t="str">
        <f>TEXT(Call_Centre_Data[[#This Row],[Date of Call]],"DDDD")</f>
        <v>Friday</v>
      </c>
      <c r="J325" s="39" t="str" cm="1">
        <f t="array" ref="J325">_xlfn.IFS(Call_Centre_Data[[#This Row],[Duration]]&lt;=10,"Under 10 Mins", Call_Centre_Data[[#This Row],[Duration]]&lt;=30,"10-30 Mins",Call_Centre_Data[[#This Row],[Duration]]&lt;=60,"30-60 Mins",Call_Centre_Data[[#This Row],[Duration]]&lt;=120,"1-2 Hours",TRUE,"More than 2 Hours")</f>
        <v>30-60 Mins</v>
      </c>
      <c r="K325" s="91">
        <f>ROUND(Call_Centre_Data[[#This Row],[Satisfaction Rating]],0)</f>
        <v>5</v>
      </c>
    </row>
    <row r="326" spans="1:11" x14ac:dyDescent="0.35">
      <c r="A326" s="56" t="s">
        <v>1331</v>
      </c>
      <c r="B326" s="57" t="s">
        <v>1027</v>
      </c>
      <c r="C326" s="87">
        <v>74</v>
      </c>
      <c r="D326" s="57" t="s">
        <v>994</v>
      </c>
      <c r="E326" s="58">
        <v>45023</v>
      </c>
      <c r="F326" s="57">
        <v>30</v>
      </c>
      <c r="G326" s="59">
        <v>4</v>
      </c>
      <c r="H326" s="57">
        <f>IF(MONTH(Call_Centre_Data[[#This Row],[Date of Call]])&lt;=6,YEAR(Call_Centre_Data[[#This Row],[Date of Call]]),YEAR(Call_Centre_Data[[#This Row],[Date of Call]])+1)</f>
        <v>2023</v>
      </c>
      <c r="I326" s="39" t="str">
        <f>TEXT(Call_Centre_Data[[#This Row],[Date of Call]],"DDDD")</f>
        <v>Friday</v>
      </c>
      <c r="J326" s="39" t="str" cm="1">
        <f t="array" ref="J326">_xlfn.IFS(Call_Centre_Data[[#This Row],[Duration]]&lt;=10,"Under 10 Mins", Call_Centre_Data[[#This Row],[Duration]]&lt;=30,"10-30 Mins",Call_Centre_Data[[#This Row],[Duration]]&lt;=60,"30-60 Mins",Call_Centre_Data[[#This Row],[Duration]]&lt;=120,"1-2 Hours",TRUE,"More than 2 Hours")</f>
        <v>1-2 Hours</v>
      </c>
      <c r="K326" s="91">
        <f>ROUND(Call_Centre_Data[[#This Row],[Satisfaction Rating]],0)</f>
        <v>4</v>
      </c>
    </row>
    <row r="327" spans="1:11" x14ac:dyDescent="0.35">
      <c r="A327" s="56" t="s">
        <v>1332</v>
      </c>
      <c r="B327" s="57" t="s">
        <v>991</v>
      </c>
      <c r="C327" s="87">
        <v>75</v>
      </c>
      <c r="D327" s="57" t="s">
        <v>994</v>
      </c>
      <c r="E327" s="58">
        <v>45023</v>
      </c>
      <c r="F327" s="57">
        <v>84</v>
      </c>
      <c r="G327" s="59">
        <v>2.8</v>
      </c>
      <c r="H327" s="57">
        <f>IF(MONTH(Call_Centre_Data[[#This Row],[Date of Call]])&lt;=6,YEAR(Call_Centre_Data[[#This Row],[Date of Call]]),YEAR(Call_Centre_Data[[#This Row],[Date of Call]])+1)</f>
        <v>2023</v>
      </c>
      <c r="I327" s="39" t="str">
        <f>TEXT(Call_Centre_Data[[#This Row],[Date of Call]],"DDDD")</f>
        <v>Friday</v>
      </c>
      <c r="J327" s="39" t="str" cm="1">
        <f t="array" ref="J327">_xlfn.IFS(Call_Centre_Data[[#This Row],[Duration]]&lt;=10,"Under 10 Mins", Call_Centre_Data[[#This Row],[Duration]]&lt;=30,"10-30 Mins",Call_Centre_Data[[#This Row],[Duration]]&lt;=60,"30-60 Mins",Call_Centre_Data[[#This Row],[Duration]]&lt;=120,"1-2 Hours",TRUE,"More than 2 Hours")</f>
        <v>1-2 Hours</v>
      </c>
      <c r="K327" s="91">
        <f>ROUND(Call_Centre_Data[[#This Row],[Satisfaction Rating]],0)</f>
        <v>3</v>
      </c>
    </row>
    <row r="328" spans="1:11" x14ac:dyDescent="0.35">
      <c r="A328" s="56" t="s">
        <v>1333</v>
      </c>
      <c r="B328" s="57" t="s">
        <v>1060</v>
      </c>
      <c r="C328" s="87">
        <v>70</v>
      </c>
      <c r="D328" s="57" t="s">
        <v>1004</v>
      </c>
      <c r="E328" s="58">
        <v>45023</v>
      </c>
      <c r="F328" s="57">
        <v>42</v>
      </c>
      <c r="G328" s="59">
        <v>4.4000000000000004</v>
      </c>
      <c r="H328" s="57">
        <f>IF(MONTH(Call_Centre_Data[[#This Row],[Date of Call]])&lt;=6,YEAR(Call_Centre_Data[[#This Row],[Date of Call]]),YEAR(Call_Centre_Data[[#This Row],[Date of Call]])+1)</f>
        <v>2023</v>
      </c>
      <c r="I328" s="39" t="str">
        <f>TEXT(Call_Centre_Data[[#This Row],[Date of Call]],"DDDD")</f>
        <v>Friday</v>
      </c>
      <c r="J328" s="39" t="str" cm="1">
        <f t="array" ref="J328">_xlfn.IFS(Call_Centre_Data[[#This Row],[Duration]]&lt;=10,"Under 10 Mins", Call_Centre_Data[[#This Row],[Duration]]&lt;=30,"10-30 Mins",Call_Centre_Data[[#This Row],[Duration]]&lt;=60,"30-60 Mins",Call_Centre_Data[[#This Row],[Duration]]&lt;=120,"1-2 Hours",TRUE,"More than 2 Hours")</f>
        <v>1-2 Hours</v>
      </c>
      <c r="K328" s="91">
        <f>ROUND(Call_Centre_Data[[#This Row],[Satisfaction Rating]],0)</f>
        <v>4</v>
      </c>
    </row>
    <row r="329" spans="1:11" x14ac:dyDescent="0.35">
      <c r="A329" s="56" t="s">
        <v>1334</v>
      </c>
      <c r="B329" s="57" t="s">
        <v>1019</v>
      </c>
      <c r="C329" s="87">
        <v>23</v>
      </c>
      <c r="D329" s="57" t="s">
        <v>1008</v>
      </c>
      <c r="E329" s="58">
        <v>45023</v>
      </c>
      <c r="F329" s="57">
        <v>117</v>
      </c>
      <c r="G329" s="59">
        <v>2.4</v>
      </c>
      <c r="H329" s="57">
        <f>IF(MONTH(Call_Centre_Data[[#This Row],[Date of Call]])&lt;=6,YEAR(Call_Centre_Data[[#This Row],[Date of Call]]),YEAR(Call_Centre_Data[[#This Row],[Date of Call]])+1)</f>
        <v>2023</v>
      </c>
      <c r="I329" s="39" t="str">
        <f>TEXT(Call_Centre_Data[[#This Row],[Date of Call]],"DDDD")</f>
        <v>Friday</v>
      </c>
      <c r="J329" s="39" t="str" cm="1">
        <f t="array" ref="J329">_xlfn.IFS(Call_Centre_Data[[#This Row],[Duration]]&lt;=10,"Under 10 Mins", Call_Centre_Data[[#This Row],[Duration]]&lt;=30,"10-30 Mins",Call_Centre_Data[[#This Row],[Duration]]&lt;=60,"30-60 Mins",Call_Centre_Data[[#This Row],[Duration]]&lt;=120,"1-2 Hours",TRUE,"More than 2 Hours")</f>
        <v>10-30 Mins</v>
      </c>
      <c r="K329" s="91">
        <f>ROUND(Call_Centre_Data[[#This Row],[Satisfaction Rating]],0)</f>
        <v>2</v>
      </c>
    </row>
    <row r="330" spans="1:11" x14ac:dyDescent="0.35">
      <c r="A330" s="56" t="s">
        <v>1335</v>
      </c>
      <c r="B330" s="57" t="s">
        <v>1007</v>
      </c>
      <c r="C330" s="87">
        <v>104</v>
      </c>
      <c r="D330" s="57" t="s">
        <v>999</v>
      </c>
      <c r="E330" s="58">
        <v>45023</v>
      </c>
      <c r="F330" s="57">
        <v>164</v>
      </c>
      <c r="G330" s="59">
        <v>4</v>
      </c>
      <c r="H330" s="57">
        <f>IF(MONTH(Call_Centre_Data[[#This Row],[Date of Call]])&lt;=6,YEAR(Call_Centre_Data[[#This Row],[Date of Call]]),YEAR(Call_Centre_Data[[#This Row],[Date of Call]])+1)</f>
        <v>2023</v>
      </c>
      <c r="I330" s="39" t="str">
        <f>TEXT(Call_Centre_Data[[#This Row],[Date of Call]],"DDDD")</f>
        <v>Friday</v>
      </c>
      <c r="J330" s="39" t="str" cm="1">
        <f t="array" ref="J330">_xlfn.IFS(Call_Centre_Data[[#This Row],[Duration]]&lt;=10,"Under 10 Mins", Call_Centre_Data[[#This Row],[Duration]]&lt;=30,"10-30 Mins",Call_Centre_Data[[#This Row],[Duration]]&lt;=60,"30-60 Mins",Call_Centre_Data[[#This Row],[Duration]]&lt;=120,"1-2 Hours",TRUE,"More than 2 Hours")</f>
        <v>1-2 Hours</v>
      </c>
      <c r="K330" s="91">
        <f>ROUND(Call_Centre_Data[[#This Row],[Satisfaction Rating]],0)</f>
        <v>4</v>
      </c>
    </row>
    <row r="331" spans="1:11" x14ac:dyDescent="0.35">
      <c r="A331" s="56" t="s">
        <v>1336</v>
      </c>
      <c r="B331" s="57" t="s">
        <v>1040</v>
      </c>
      <c r="C331" s="87">
        <v>95</v>
      </c>
      <c r="D331" s="57" t="s">
        <v>1004</v>
      </c>
      <c r="E331" s="58">
        <v>45024</v>
      </c>
      <c r="F331" s="57">
        <v>123</v>
      </c>
      <c r="G331" s="59">
        <v>4.4000000000000004</v>
      </c>
      <c r="H331" s="57">
        <f>IF(MONTH(Call_Centre_Data[[#This Row],[Date of Call]])&lt;=6,YEAR(Call_Centre_Data[[#This Row],[Date of Call]]),YEAR(Call_Centre_Data[[#This Row],[Date of Call]])+1)</f>
        <v>2023</v>
      </c>
      <c r="I331" s="39" t="str">
        <f>TEXT(Call_Centre_Data[[#This Row],[Date of Call]],"DDDD")</f>
        <v>Saturday</v>
      </c>
      <c r="J331" s="39" t="str" cm="1">
        <f t="array" ref="J331">_xlfn.IFS(Call_Centre_Data[[#This Row],[Duration]]&lt;=10,"Under 10 Mins", Call_Centre_Data[[#This Row],[Duration]]&lt;=30,"10-30 Mins",Call_Centre_Data[[#This Row],[Duration]]&lt;=60,"30-60 Mins",Call_Centre_Data[[#This Row],[Duration]]&lt;=120,"1-2 Hours",TRUE,"More than 2 Hours")</f>
        <v>1-2 Hours</v>
      </c>
      <c r="K331" s="91">
        <f>ROUND(Call_Centre_Data[[#This Row],[Satisfaction Rating]],0)</f>
        <v>4</v>
      </c>
    </row>
    <row r="332" spans="1:11" x14ac:dyDescent="0.35">
      <c r="A332" s="56" t="s">
        <v>1337</v>
      </c>
      <c r="B332" s="57" t="s">
        <v>998</v>
      </c>
      <c r="C332" s="87">
        <v>49</v>
      </c>
      <c r="D332" s="57" t="s">
        <v>989</v>
      </c>
      <c r="E332" s="58">
        <v>45024</v>
      </c>
      <c r="F332" s="57">
        <v>172</v>
      </c>
      <c r="G332" s="59">
        <v>2.9</v>
      </c>
      <c r="H332" s="57">
        <f>IF(MONTH(Call_Centre_Data[[#This Row],[Date of Call]])&lt;=6,YEAR(Call_Centre_Data[[#This Row],[Date of Call]]),YEAR(Call_Centre_Data[[#This Row],[Date of Call]])+1)</f>
        <v>2023</v>
      </c>
      <c r="I332" s="39" t="str">
        <f>TEXT(Call_Centre_Data[[#This Row],[Date of Call]],"DDDD")</f>
        <v>Saturday</v>
      </c>
      <c r="J332" s="39" t="str" cm="1">
        <f t="array" ref="J332">_xlfn.IFS(Call_Centre_Data[[#This Row],[Duration]]&lt;=10,"Under 10 Mins", Call_Centre_Data[[#This Row],[Duration]]&lt;=30,"10-30 Mins",Call_Centre_Data[[#This Row],[Duration]]&lt;=60,"30-60 Mins",Call_Centre_Data[[#This Row],[Duration]]&lt;=120,"1-2 Hours",TRUE,"More than 2 Hours")</f>
        <v>30-60 Mins</v>
      </c>
      <c r="K332" s="91">
        <f>ROUND(Call_Centre_Data[[#This Row],[Satisfaction Rating]],0)</f>
        <v>3</v>
      </c>
    </row>
    <row r="333" spans="1:11" x14ac:dyDescent="0.35">
      <c r="A333" s="56" t="s">
        <v>1338</v>
      </c>
      <c r="B333" s="57" t="s">
        <v>1030</v>
      </c>
      <c r="C333" s="87">
        <v>8</v>
      </c>
      <c r="D333" s="57" t="s">
        <v>1008</v>
      </c>
      <c r="E333" s="58">
        <v>45024</v>
      </c>
      <c r="F333" s="57">
        <v>20</v>
      </c>
      <c r="G333" s="59">
        <v>4.8</v>
      </c>
      <c r="H333" s="57">
        <f>IF(MONTH(Call_Centre_Data[[#This Row],[Date of Call]])&lt;=6,YEAR(Call_Centre_Data[[#This Row],[Date of Call]]),YEAR(Call_Centre_Data[[#This Row],[Date of Call]])+1)</f>
        <v>2023</v>
      </c>
      <c r="I333" s="39" t="str">
        <f>TEXT(Call_Centre_Data[[#This Row],[Date of Call]],"DDDD")</f>
        <v>Saturday</v>
      </c>
      <c r="J333" s="39" t="str" cm="1">
        <f t="array" ref="J333">_xlfn.IFS(Call_Centre_Data[[#This Row],[Duration]]&lt;=10,"Under 10 Mins", Call_Centre_Data[[#This Row],[Duration]]&lt;=30,"10-30 Mins",Call_Centre_Data[[#This Row],[Duration]]&lt;=60,"30-60 Mins",Call_Centre_Data[[#This Row],[Duration]]&lt;=120,"1-2 Hours",TRUE,"More than 2 Hours")</f>
        <v>Under 10 Mins</v>
      </c>
      <c r="K333" s="91">
        <f>ROUND(Call_Centre_Data[[#This Row],[Satisfaction Rating]],0)</f>
        <v>5</v>
      </c>
    </row>
    <row r="334" spans="1:11" x14ac:dyDescent="0.35">
      <c r="A334" s="56" t="s">
        <v>1339</v>
      </c>
      <c r="B334" s="57" t="s">
        <v>1040</v>
      </c>
      <c r="C334" s="87">
        <v>157</v>
      </c>
      <c r="D334" s="57" t="s">
        <v>989</v>
      </c>
      <c r="E334" s="58">
        <v>45024</v>
      </c>
      <c r="F334" s="57">
        <v>72</v>
      </c>
      <c r="G334" s="59">
        <v>3.7</v>
      </c>
      <c r="H334" s="57">
        <f>IF(MONTH(Call_Centre_Data[[#This Row],[Date of Call]])&lt;=6,YEAR(Call_Centre_Data[[#This Row],[Date of Call]]),YEAR(Call_Centre_Data[[#This Row],[Date of Call]])+1)</f>
        <v>2023</v>
      </c>
      <c r="I334" s="39" t="str">
        <f>TEXT(Call_Centre_Data[[#This Row],[Date of Call]],"DDDD")</f>
        <v>Saturday</v>
      </c>
      <c r="J334" s="39" t="str" cm="1">
        <f t="array" ref="J334">_xlfn.IFS(Call_Centre_Data[[#This Row],[Duration]]&lt;=10,"Under 10 Mins", Call_Centre_Data[[#This Row],[Duration]]&lt;=30,"10-30 Mins",Call_Centre_Data[[#This Row],[Duration]]&lt;=60,"30-60 Mins",Call_Centre_Data[[#This Row],[Duration]]&lt;=120,"1-2 Hours",TRUE,"More than 2 Hours")</f>
        <v>More than 2 Hours</v>
      </c>
      <c r="K334" s="91">
        <f>ROUND(Call_Centre_Data[[#This Row],[Satisfaction Rating]],0)</f>
        <v>4</v>
      </c>
    </row>
    <row r="335" spans="1:11" x14ac:dyDescent="0.35">
      <c r="A335" s="56" t="s">
        <v>1340</v>
      </c>
      <c r="B335" s="57" t="s">
        <v>993</v>
      </c>
      <c r="C335" s="87">
        <v>74</v>
      </c>
      <c r="D335" s="57" t="s">
        <v>994</v>
      </c>
      <c r="E335" s="58">
        <v>45024</v>
      </c>
      <c r="F335" s="57">
        <v>32</v>
      </c>
      <c r="G335" s="59">
        <v>4.8</v>
      </c>
      <c r="H335" s="57">
        <f>IF(MONTH(Call_Centre_Data[[#This Row],[Date of Call]])&lt;=6,YEAR(Call_Centre_Data[[#This Row],[Date of Call]]),YEAR(Call_Centre_Data[[#This Row],[Date of Call]])+1)</f>
        <v>2023</v>
      </c>
      <c r="I335" s="39" t="str">
        <f>TEXT(Call_Centre_Data[[#This Row],[Date of Call]],"DDDD")</f>
        <v>Saturday</v>
      </c>
      <c r="J335" s="39" t="str" cm="1">
        <f t="array" ref="J335">_xlfn.IFS(Call_Centre_Data[[#This Row],[Duration]]&lt;=10,"Under 10 Mins", Call_Centre_Data[[#This Row],[Duration]]&lt;=30,"10-30 Mins",Call_Centre_Data[[#This Row],[Duration]]&lt;=60,"30-60 Mins",Call_Centre_Data[[#This Row],[Duration]]&lt;=120,"1-2 Hours",TRUE,"More than 2 Hours")</f>
        <v>1-2 Hours</v>
      </c>
      <c r="K335" s="91">
        <f>ROUND(Call_Centre_Data[[#This Row],[Satisfaction Rating]],0)</f>
        <v>5</v>
      </c>
    </row>
    <row r="336" spans="1:11" x14ac:dyDescent="0.35">
      <c r="A336" s="56" t="s">
        <v>1341</v>
      </c>
      <c r="B336" s="57" t="s">
        <v>1019</v>
      </c>
      <c r="C336" s="87">
        <v>72</v>
      </c>
      <c r="D336" s="57" t="s">
        <v>1004</v>
      </c>
      <c r="E336" s="58">
        <v>45024</v>
      </c>
      <c r="F336" s="57">
        <v>140</v>
      </c>
      <c r="G336" s="59">
        <v>3.2</v>
      </c>
      <c r="H336" s="57">
        <f>IF(MONTH(Call_Centre_Data[[#This Row],[Date of Call]])&lt;=6,YEAR(Call_Centre_Data[[#This Row],[Date of Call]]),YEAR(Call_Centre_Data[[#This Row],[Date of Call]])+1)</f>
        <v>2023</v>
      </c>
      <c r="I336" s="39" t="str">
        <f>TEXT(Call_Centre_Data[[#This Row],[Date of Call]],"DDDD")</f>
        <v>Saturday</v>
      </c>
      <c r="J336" s="39" t="str" cm="1">
        <f t="array" ref="J336">_xlfn.IFS(Call_Centre_Data[[#This Row],[Duration]]&lt;=10,"Under 10 Mins", Call_Centre_Data[[#This Row],[Duration]]&lt;=30,"10-30 Mins",Call_Centre_Data[[#This Row],[Duration]]&lt;=60,"30-60 Mins",Call_Centre_Data[[#This Row],[Duration]]&lt;=120,"1-2 Hours",TRUE,"More than 2 Hours")</f>
        <v>1-2 Hours</v>
      </c>
      <c r="K336" s="91">
        <f>ROUND(Call_Centre_Data[[#This Row],[Satisfaction Rating]],0)</f>
        <v>3</v>
      </c>
    </row>
    <row r="337" spans="1:11" x14ac:dyDescent="0.35">
      <c r="A337" s="56" t="s">
        <v>1342</v>
      </c>
      <c r="B337" s="57" t="s">
        <v>993</v>
      </c>
      <c r="C337" s="87">
        <v>79</v>
      </c>
      <c r="D337" s="57" t="s">
        <v>994</v>
      </c>
      <c r="E337" s="58">
        <v>45025</v>
      </c>
      <c r="F337" s="57">
        <v>120</v>
      </c>
      <c r="G337" s="59">
        <v>4.9000000000000004</v>
      </c>
      <c r="H337" s="57">
        <f>IF(MONTH(Call_Centre_Data[[#This Row],[Date of Call]])&lt;=6,YEAR(Call_Centre_Data[[#This Row],[Date of Call]]),YEAR(Call_Centre_Data[[#This Row],[Date of Call]])+1)</f>
        <v>2023</v>
      </c>
      <c r="I337" s="39" t="str">
        <f>TEXT(Call_Centre_Data[[#This Row],[Date of Call]],"DDDD")</f>
        <v>Sunday</v>
      </c>
      <c r="J337" s="39" t="str" cm="1">
        <f t="array" ref="J337">_xlfn.IFS(Call_Centre_Data[[#This Row],[Duration]]&lt;=10,"Under 10 Mins", Call_Centre_Data[[#This Row],[Duration]]&lt;=30,"10-30 Mins",Call_Centre_Data[[#This Row],[Duration]]&lt;=60,"30-60 Mins",Call_Centre_Data[[#This Row],[Duration]]&lt;=120,"1-2 Hours",TRUE,"More than 2 Hours")</f>
        <v>1-2 Hours</v>
      </c>
      <c r="K337" s="91">
        <f>ROUND(Call_Centre_Data[[#This Row],[Satisfaction Rating]],0)</f>
        <v>5</v>
      </c>
    </row>
    <row r="338" spans="1:11" x14ac:dyDescent="0.35">
      <c r="A338" s="56" t="s">
        <v>1343</v>
      </c>
      <c r="B338" s="57" t="s">
        <v>1027</v>
      </c>
      <c r="C338" s="87">
        <v>23</v>
      </c>
      <c r="D338" s="57" t="s">
        <v>994</v>
      </c>
      <c r="E338" s="58">
        <v>45025</v>
      </c>
      <c r="F338" s="57">
        <v>86</v>
      </c>
      <c r="G338" s="59">
        <v>2.2000000000000002</v>
      </c>
      <c r="H338" s="57">
        <f>IF(MONTH(Call_Centre_Data[[#This Row],[Date of Call]])&lt;=6,YEAR(Call_Centre_Data[[#This Row],[Date of Call]]),YEAR(Call_Centre_Data[[#This Row],[Date of Call]])+1)</f>
        <v>2023</v>
      </c>
      <c r="I338" s="39" t="str">
        <f>TEXT(Call_Centre_Data[[#This Row],[Date of Call]],"DDDD")</f>
        <v>Sunday</v>
      </c>
      <c r="J338" s="39" t="str" cm="1">
        <f t="array" ref="J338">_xlfn.IFS(Call_Centre_Data[[#This Row],[Duration]]&lt;=10,"Under 10 Mins", Call_Centre_Data[[#This Row],[Duration]]&lt;=30,"10-30 Mins",Call_Centre_Data[[#This Row],[Duration]]&lt;=60,"30-60 Mins",Call_Centre_Data[[#This Row],[Duration]]&lt;=120,"1-2 Hours",TRUE,"More than 2 Hours")</f>
        <v>10-30 Mins</v>
      </c>
      <c r="K338" s="91">
        <f>ROUND(Call_Centre_Data[[#This Row],[Satisfaction Rating]],0)</f>
        <v>2</v>
      </c>
    </row>
    <row r="339" spans="1:11" x14ac:dyDescent="0.35">
      <c r="A339" s="56" t="s">
        <v>1344</v>
      </c>
      <c r="B339" s="57" t="s">
        <v>991</v>
      </c>
      <c r="C339" s="87">
        <v>69</v>
      </c>
      <c r="D339" s="57" t="s">
        <v>994</v>
      </c>
      <c r="E339" s="58">
        <v>45025</v>
      </c>
      <c r="F339" s="57">
        <v>132</v>
      </c>
      <c r="G339" s="59">
        <v>5</v>
      </c>
      <c r="H339" s="57">
        <f>IF(MONTH(Call_Centre_Data[[#This Row],[Date of Call]])&lt;=6,YEAR(Call_Centre_Data[[#This Row],[Date of Call]]),YEAR(Call_Centre_Data[[#This Row],[Date of Call]])+1)</f>
        <v>2023</v>
      </c>
      <c r="I339" s="39" t="str">
        <f>TEXT(Call_Centre_Data[[#This Row],[Date of Call]],"DDDD")</f>
        <v>Sunday</v>
      </c>
      <c r="J339" s="39" t="str" cm="1">
        <f t="array" ref="J339">_xlfn.IFS(Call_Centre_Data[[#This Row],[Duration]]&lt;=10,"Under 10 Mins", Call_Centre_Data[[#This Row],[Duration]]&lt;=30,"10-30 Mins",Call_Centre_Data[[#This Row],[Duration]]&lt;=60,"30-60 Mins",Call_Centre_Data[[#This Row],[Duration]]&lt;=120,"1-2 Hours",TRUE,"More than 2 Hours")</f>
        <v>1-2 Hours</v>
      </c>
      <c r="K339" s="91">
        <f>ROUND(Call_Centre_Data[[#This Row],[Satisfaction Rating]],0)</f>
        <v>5</v>
      </c>
    </row>
    <row r="340" spans="1:11" x14ac:dyDescent="0.35">
      <c r="A340" s="56" t="s">
        <v>1345</v>
      </c>
      <c r="B340" s="57" t="s">
        <v>1022</v>
      </c>
      <c r="C340" s="87">
        <v>64</v>
      </c>
      <c r="D340" s="57" t="s">
        <v>994</v>
      </c>
      <c r="E340" s="58">
        <v>45025</v>
      </c>
      <c r="F340" s="57">
        <v>80</v>
      </c>
      <c r="G340" s="59">
        <v>3.3</v>
      </c>
      <c r="H340" s="57">
        <f>IF(MONTH(Call_Centre_Data[[#This Row],[Date of Call]])&lt;=6,YEAR(Call_Centre_Data[[#This Row],[Date of Call]]),YEAR(Call_Centre_Data[[#This Row],[Date of Call]])+1)</f>
        <v>2023</v>
      </c>
      <c r="I340" s="39" t="str">
        <f>TEXT(Call_Centre_Data[[#This Row],[Date of Call]],"DDDD")</f>
        <v>Sunday</v>
      </c>
      <c r="J340" s="39" t="str" cm="1">
        <f t="array" ref="J340">_xlfn.IFS(Call_Centre_Data[[#This Row],[Duration]]&lt;=10,"Under 10 Mins", Call_Centre_Data[[#This Row],[Duration]]&lt;=30,"10-30 Mins",Call_Centre_Data[[#This Row],[Duration]]&lt;=60,"30-60 Mins",Call_Centre_Data[[#This Row],[Duration]]&lt;=120,"1-2 Hours",TRUE,"More than 2 Hours")</f>
        <v>1-2 Hours</v>
      </c>
      <c r="K340" s="91">
        <f>ROUND(Call_Centre_Data[[#This Row],[Satisfaction Rating]],0)</f>
        <v>3</v>
      </c>
    </row>
    <row r="341" spans="1:11" x14ac:dyDescent="0.35">
      <c r="A341" s="56" t="s">
        <v>1346</v>
      </c>
      <c r="B341" s="57" t="s">
        <v>1013</v>
      </c>
      <c r="C341" s="87">
        <v>47</v>
      </c>
      <c r="D341" s="57" t="s">
        <v>989</v>
      </c>
      <c r="E341" s="58">
        <v>45025</v>
      </c>
      <c r="F341" s="57">
        <v>132</v>
      </c>
      <c r="G341" s="59">
        <v>3.7</v>
      </c>
      <c r="H341" s="57">
        <f>IF(MONTH(Call_Centre_Data[[#This Row],[Date of Call]])&lt;=6,YEAR(Call_Centre_Data[[#This Row],[Date of Call]]),YEAR(Call_Centre_Data[[#This Row],[Date of Call]])+1)</f>
        <v>2023</v>
      </c>
      <c r="I341" s="39" t="str">
        <f>TEXT(Call_Centre_Data[[#This Row],[Date of Call]],"DDDD")</f>
        <v>Sunday</v>
      </c>
      <c r="J341" s="39" t="str" cm="1">
        <f t="array" ref="J341">_xlfn.IFS(Call_Centre_Data[[#This Row],[Duration]]&lt;=10,"Under 10 Mins", Call_Centre_Data[[#This Row],[Duration]]&lt;=30,"10-30 Mins",Call_Centre_Data[[#This Row],[Duration]]&lt;=60,"30-60 Mins",Call_Centre_Data[[#This Row],[Duration]]&lt;=120,"1-2 Hours",TRUE,"More than 2 Hours")</f>
        <v>30-60 Mins</v>
      </c>
      <c r="K341" s="91">
        <f>ROUND(Call_Centre_Data[[#This Row],[Satisfaction Rating]],0)</f>
        <v>4</v>
      </c>
    </row>
    <row r="342" spans="1:11" x14ac:dyDescent="0.35">
      <c r="A342" s="56" t="s">
        <v>1347</v>
      </c>
      <c r="B342" s="57" t="s">
        <v>993</v>
      </c>
      <c r="C342" s="87">
        <v>55</v>
      </c>
      <c r="D342" s="57" t="s">
        <v>1004</v>
      </c>
      <c r="E342" s="58">
        <v>45025</v>
      </c>
      <c r="F342" s="57">
        <v>27</v>
      </c>
      <c r="G342" s="59">
        <v>3.7</v>
      </c>
      <c r="H342" s="57">
        <f>IF(MONTH(Call_Centre_Data[[#This Row],[Date of Call]])&lt;=6,YEAR(Call_Centre_Data[[#This Row],[Date of Call]]),YEAR(Call_Centre_Data[[#This Row],[Date of Call]])+1)</f>
        <v>2023</v>
      </c>
      <c r="I342" s="39" t="str">
        <f>TEXT(Call_Centre_Data[[#This Row],[Date of Call]],"DDDD")</f>
        <v>Sunday</v>
      </c>
      <c r="J342" s="39" t="str" cm="1">
        <f t="array" ref="J342">_xlfn.IFS(Call_Centre_Data[[#This Row],[Duration]]&lt;=10,"Under 10 Mins", Call_Centre_Data[[#This Row],[Duration]]&lt;=30,"10-30 Mins",Call_Centre_Data[[#This Row],[Duration]]&lt;=60,"30-60 Mins",Call_Centre_Data[[#This Row],[Duration]]&lt;=120,"1-2 Hours",TRUE,"More than 2 Hours")</f>
        <v>30-60 Mins</v>
      </c>
      <c r="K342" s="91">
        <f>ROUND(Call_Centre_Data[[#This Row],[Satisfaction Rating]],0)</f>
        <v>4</v>
      </c>
    </row>
    <row r="343" spans="1:11" x14ac:dyDescent="0.35">
      <c r="A343" s="56" t="s">
        <v>1348</v>
      </c>
      <c r="B343" s="57" t="s">
        <v>1007</v>
      </c>
      <c r="C343" s="87">
        <v>104</v>
      </c>
      <c r="D343" s="57" t="s">
        <v>1004</v>
      </c>
      <c r="E343" s="58">
        <v>45026</v>
      </c>
      <c r="F343" s="57">
        <v>68</v>
      </c>
      <c r="G343" s="59">
        <v>3.6</v>
      </c>
      <c r="H343" s="57">
        <f>IF(MONTH(Call_Centre_Data[[#This Row],[Date of Call]])&lt;=6,YEAR(Call_Centre_Data[[#This Row],[Date of Call]]),YEAR(Call_Centre_Data[[#This Row],[Date of Call]])+1)</f>
        <v>2023</v>
      </c>
      <c r="I343" s="39" t="str">
        <f>TEXT(Call_Centre_Data[[#This Row],[Date of Call]],"DDDD")</f>
        <v>Monday</v>
      </c>
      <c r="J343" s="39" t="str" cm="1">
        <f t="array" ref="J343">_xlfn.IFS(Call_Centre_Data[[#This Row],[Duration]]&lt;=10,"Under 10 Mins", Call_Centre_Data[[#This Row],[Duration]]&lt;=30,"10-30 Mins",Call_Centre_Data[[#This Row],[Duration]]&lt;=60,"30-60 Mins",Call_Centre_Data[[#This Row],[Duration]]&lt;=120,"1-2 Hours",TRUE,"More than 2 Hours")</f>
        <v>1-2 Hours</v>
      </c>
      <c r="K343" s="91">
        <f>ROUND(Call_Centre_Data[[#This Row],[Satisfaction Rating]],0)</f>
        <v>4</v>
      </c>
    </row>
    <row r="344" spans="1:11" x14ac:dyDescent="0.35">
      <c r="A344" s="56" t="s">
        <v>1349</v>
      </c>
      <c r="B344" s="57" t="s">
        <v>1013</v>
      </c>
      <c r="C344" s="87">
        <v>116</v>
      </c>
      <c r="D344" s="57" t="s">
        <v>994</v>
      </c>
      <c r="E344" s="58">
        <v>45026</v>
      </c>
      <c r="F344" s="57">
        <v>22</v>
      </c>
      <c r="G344" s="59">
        <v>4.7</v>
      </c>
      <c r="H344" s="57">
        <f>IF(MONTH(Call_Centre_Data[[#This Row],[Date of Call]])&lt;=6,YEAR(Call_Centre_Data[[#This Row],[Date of Call]]),YEAR(Call_Centre_Data[[#This Row],[Date of Call]])+1)</f>
        <v>2023</v>
      </c>
      <c r="I344" s="39" t="str">
        <f>TEXT(Call_Centre_Data[[#This Row],[Date of Call]],"DDDD")</f>
        <v>Monday</v>
      </c>
      <c r="J344" s="39" t="str" cm="1">
        <f t="array" ref="J344">_xlfn.IFS(Call_Centre_Data[[#This Row],[Duration]]&lt;=10,"Under 10 Mins", Call_Centre_Data[[#This Row],[Duration]]&lt;=30,"10-30 Mins",Call_Centre_Data[[#This Row],[Duration]]&lt;=60,"30-60 Mins",Call_Centre_Data[[#This Row],[Duration]]&lt;=120,"1-2 Hours",TRUE,"More than 2 Hours")</f>
        <v>1-2 Hours</v>
      </c>
      <c r="K344" s="91">
        <f>ROUND(Call_Centre_Data[[#This Row],[Satisfaction Rating]],0)</f>
        <v>5</v>
      </c>
    </row>
    <row r="345" spans="1:11" x14ac:dyDescent="0.35">
      <c r="A345" s="56" t="s">
        <v>1350</v>
      </c>
      <c r="B345" s="57" t="s">
        <v>1027</v>
      </c>
      <c r="C345" s="87">
        <v>99</v>
      </c>
      <c r="D345" s="57" t="s">
        <v>1004</v>
      </c>
      <c r="E345" s="58">
        <v>45026</v>
      </c>
      <c r="F345" s="57">
        <v>42</v>
      </c>
      <c r="G345" s="59">
        <v>3.1</v>
      </c>
      <c r="H345" s="57">
        <f>IF(MONTH(Call_Centre_Data[[#This Row],[Date of Call]])&lt;=6,YEAR(Call_Centre_Data[[#This Row],[Date of Call]]),YEAR(Call_Centre_Data[[#This Row],[Date of Call]])+1)</f>
        <v>2023</v>
      </c>
      <c r="I345" s="39" t="str">
        <f>TEXT(Call_Centre_Data[[#This Row],[Date of Call]],"DDDD")</f>
        <v>Monday</v>
      </c>
      <c r="J345" s="39" t="str" cm="1">
        <f t="array" ref="J345">_xlfn.IFS(Call_Centre_Data[[#This Row],[Duration]]&lt;=10,"Under 10 Mins", Call_Centre_Data[[#This Row],[Duration]]&lt;=30,"10-30 Mins",Call_Centre_Data[[#This Row],[Duration]]&lt;=60,"30-60 Mins",Call_Centre_Data[[#This Row],[Duration]]&lt;=120,"1-2 Hours",TRUE,"More than 2 Hours")</f>
        <v>1-2 Hours</v>
      </c>
      <c r="K345" s="91">
        <f>ROUND(Call_Centre_Data[[#This Row],[Satisfaction Rating]],0)</f>
        <v>3</v>
      </c>
    </row>
    <row r="346" spans="1:11" x14ac:dyDescent="0.35">
      <c r="A346" s="56" t="s">
        <v>1351</v>
      </c>
      <c r="B346" s="57" t="s">
        <v>1007</v>
      </c>
      <c r="C346" s="87">
        <v>84</v>
      </c>
      <c r="D346" s="57" t="s">
        <v>1004</v>
      </c>
      <c r="E346" s="58">
        <v>45027</v>
      </c>
      <c r="F346" s="57">
        <v>38</v>
      </c>
      <c r="G346" s="59">
        <v>3.3</v>
      </c>
      <c r="H346" s="57">
        <f>IF(MONTH(Call_Centre_Data[[#This Row],[Date of Call]])&lt;=6,YEAR(Call_Centre_Data[[#This Row],[Date of Call]]),YEAR(Call_Centre_Data[[#This Row],[Date of Call]])+1)</f>
        <v>2023</v>
      </c>
      <c r="I346" s="39" t="str">
        <f>TEXT(Call_Centre_Data[[#This Row],[Date of Call]],"DDDD")</f>
        <v>Tuesday</v>
      </c>
      <c r="J346" s="39" t="str" cm="1">
        <f t="array" ref="J346">_xlfn.IFS(Call_Centre_Data[[#This Row],[Duration]]&lt;=10,"Under 10 Mins", Call_Centre_Data[[#This Row],[Duration]]&lt;=30,"10-30 Mins",Call_Centre_Data[[#This Row],[Duration]]&lt;=60,"30-60 Mins",Call_Centre_Data[[#This Row],[Duration]]&lt;=120,"1-2 Hours",TRUE,"More than 2 Hours")</f>
        <v>1-2 Hours</v>
      </c>
      <c r="K346" s="91">
        <f>ROUND(Call_Centre_Data[[#This Row],[Satisfaction Rating]],0)</f>
        <v>3</v>
      </c>
    </row>
    <row r="347" spans="1:11" x14ac:dyDescent="0.35">
      <c r="A347" s="56" t="s">
        <v>1352</v>
      </c>
      <c r="B347" s="57" t="s">
        <v>1030</v>
      </c>
      <c r="C347" s="87">
        <v>159</v>
      </c>
      <c r="D347" s="57" t="s">
        <v>1004</v>
      </c>
      <c r="E347" s="58">
        <v>45027</v>
      </c>
      <c r="F347" s="57">
        <v>42</v>
      </c>
      <c r="G347" s="59">
        <v>4.5</v>
      </c>
      <c r="H347" s="57">
        <f>IF(MONTH(Call_Centre_Data[[#This Row],[Date of Call]])&lt;=6,YEAR(Call_Centre_Data[[#This Row],[Date of Call]]),YEAR(Call_Centre_Data[[#This Row],[Date of Call]])+1)</f>
        <v>2023</v>
      </c>
      <c r="I347" s="39" t="str">
        <f>TEXT(Call_Centre_Data[[#This Row],[Date of Call]],"DDDD")</f>
        <v>Tuesday</v>
      </c>
      <c r="J347" s="39" t="str" cm="1">
        <f t="array" ref="J347">_xlfn.IFS(Call_Centre_Data[[#This Row],[Duration]]&lt;=10,"Under 10 Mins", Call_Centre_Data[[#This Row],[Duration]]&lt;=30,"10-30 Mins",Call_Centre_Data[[#This Row],[Duration]]&lt;=60,"30-60 Mins",Call_Centre_Data[[#This Row],[Duration]]&lt;=120,"1-2 Hours",TRUE,"More than 2 Hours")</f>
        <v>More than 2 Hours</v>
      </c>
      <c r="K347" s="91">
        <f>ROUND(Call_Centre_Data[[#This Row],[Satisfaction Rating]],0)</f>
        <v>5</v>
      </c>
    </row>
    <row r="348" spans="1:11" x14ac:dyDescent="0.35">
      <c r="A348" s="56" t="s">
        <v>1353</v>
      </c>
      <c r="B348" s="57" t="s">
        <v>1002</v>
      </c>
      <c r="C348" s="87">
        <v>25</v>
      </c>
      <c r="D348" s="57" t="s">
        <v>989</v>
      </c>
      <c r="E348" s="58">
        <v>45027</v>
      </c>
      <c r="F348" s="57">
        <v>75</v>
      </c>
      <c r="G348" s="59">
        <v>3.9</v>
      </c>
      <c r="H348" s="57">
        <f>IF(MONTH(Call_Centre_Data[[#This Row],[Date of Call]])&lt;=6,YEAR(Call_Centre_Data[[#This Row],[Date of Call]]),YEAR(Call_Centre_Data[[#This Row],[Date of Call]])+1)</f>
        <v>2023</v>
      </c>
      <c r="I348" s="39" t="str">
        <f>TEXT(Call_Centre_Data[[#This Row],[Date of Call]],"DDDD")</f>
        <v>Tuesday</v>
      </c>
      <c r="J348" s="39" t="str" cm="1">
        <f t="array" ref="J348">_xlfn.IFS(Call_Centre_Data[[#This Row],[Duration]]&lt;=10,"Under 10 Mins", Call_Centre_Data[[#This Row],[Duration]]&lt;=30,"10-30 Mins",Call_Centre_Data[[#This Row],[Duration]]&lt;=60,"30-60 Mins",Call_Centre_Data[[#This Row],[Duration]]&lt;=120,"1-2 Hours",TRUE,"More than 2 Hours")</f>
        <v>10-30 Mins</v>
      </c>
      <c r="K348" s="91">
        <f>ROUND(Call_Centre_Data[[#This Row],[Satisfaction Rating]],0)</f>
        <v>4</v>
      </c>
    </row>
    <row r="349" spans="1:11" x14ac:dyDescent="0.35">
      <c r="A349" s="56" t="s">
        <v>1354</v>
      </c>
      <c r="B349" s="57" t="s">
        <v>1030</v>
      </c>
      <c r="C349" s="87">
        <v>53</v>
      </c>
      <c r="D349" s="57" t="s">
        <v>1008</v>
      </c>
      <c r="E349" s="58">
        <v>45028</v>
      </c>
      <c r="F349" s="57">
        <v>23</v>
      </c>
      <c r="G349" s="59">
        <v>4.9000000000000004</v>
      </c>
      <c r="H349" s="57">
        <f>IF(MONTH(Call_Centre_Data[[#This Row],[Date of Call]])&lt;=6,YEAR(Call_Centre_Data[[#This Row],[Date of Call]]),YEAR(Call_Centre_Data[[#This Row],[Date of Call]])+1)</f>
        <v>2023</v>
      </c>
      <c r="I349" s="39" t="str">
        <f>TEXT(Call_Centre_Data[[#This Row],[Date of Call]],"DDDD")</f>
        <v>Wednesday</v>
      </c>
      <c r="J349" s="39" t="str" cm="1">
        <f t="array" ref="J349">_xlfn.IFS(Call_Centre_Data[[#This Row],[Duration]]&lt;=10,"Under 10 Mins", Call_Centre_Data[[#This Row],[Duration]]&lt;=30,"10-30 Mins",Call_Centre_Data[[#This Row],[Duration]]&lt;=60,"30-60 Mins",Call_Centre_Data[[#This Row],[Duration]]&lt;=120,"1-2 Hours",TRUE,"More than 2 Hours")</f>
        <v>30-60 Mins</v>
      </c>
      <c r="K349" s="91">
        <f>ROUND(Call_Centre_Data[[#This Row],[Satisfaction Rating]],0)</f>
        <v>5</v>
      </c>
    </row>
    <row r="350" spans="1:11" x14ac:dyDescent="0.35">
      <c r="A350" s="56" t="s">
        <v>1355</v>
      </c>
      <c r="B350" s="57" t="s">
        <v>1030</v>
      </c>
      <c r="C350" s="87">
        <v>89</v>
      </c>
      <c r="D350" s="57" t="s">
        <v>989</v>
      </c>
      <c r="E350" s="58">
        <v>45028</v>
      </c>
      <c r="F350" s="57">
        <v>200</v>
      </c>
      <c r="G350" s="59">
        <v>4.8</v>
      </c>
      <c r="H350" s="57">
        <f>IF(MONTH(Call_Centre_Data[[#This Row],[Date of Call]])&lt;=6,YEAR(Call_Centre_Data[[#This Row],[Date of Call]]),YEAR(Call_Centre_Data[[#This Row],[Date of Call]])+1)</f>
        <v>2023</v>
      </c>
      <c r="I350" s="39" t="str">
        <f>TEXT(Call_Centre_Data[[#This Row],[Date of Call]],"DDDD")</f>
        <v>Wednesday</v>
      </c>
      <c r="J350" s="39" t="str" cm="1">
        <f t="array" ref="J350">_xlfn.IFS(Call_Centre_Data[[#This Row],[Duration]]&lt;=10,"Under 10 Mins", Call_Centre_Data[[#This Row],[Duration]]&lt;=30,"10-30 Mins",Call_Centre_Data[[#This Row],[Duration]]&lt;=60,"30-60 Mins",Call_Centre_Data[[#This Row],[Duration]]&lt;=120,"1-2 Hours",TRUE,"More than 2 Hours")</f>
        <v>1-2 Hours</v>
      </c>
      <c r="K350" s="91">
        <f>ROUND(Call_Centre_Data[[#This Row],[Satisfaction Rating]],0)</f>
        <v>5</v>
      </c>
    </row>
    <row r="351" spans="1:11" x14ac:dyDescent="0.35">
      <c r="A351" s="56" t="s">
        <v>1356</v>
      </c>
      <c r="B351" s="57" t="s">
        <v>996</v>
      </c>
      <c r="C351" s="87">
        <v>73</v>
      </c>
      <c r="D351" s="57" t="s">
        <v>994</v>
      </c>
      <c r="E351" s="58">
        <v>45029</v>
      </c>
      <c r="F351" s="57">
        <v>45</v>
      </c>
      <c r="G351" s="59">
        <v>3.6</v>
      </c>
      <c r="H351" s="57">
        <f>IF(MONTH(Call_Centre_Data[[#This Row],[Date of Call]])&lt;=6,YEAR(Call_Centre_Data[[#This Row],[Date of Call]]),YEAR(Call_Centre_Data[[#This Row],[Date of Call]])+1)</f>
        <v>2023</v>
      </c>
      <c r="I351" s="39" t="str">
        <f>TEXT(Call_Centre_Data[[#This Row],[Date of Call]],"DDDD")</f>
        <v>Thursday</v>
      </c>
      <c r="J351" s="39" t="str" cm="1">
        <f t="array" ref="J351">_xlfn.IFS(Call_Centre_Data[[#This Row],[Duration]]&lt;=10,"Under 10 Mins", Call_Centre_Data[[#This Row],[Duration]]&lt;=30,"10-30 Mins",Call_Centre_Data[[#This Row],[Duration]]&lt;=60,"30-60 Mins",Call_Centre_Data[[#This Row],[Duration]]&lt;=120,"1-2 Hours",TRUE,"More than 2 Hours")</f>
        <v>1-2 Hours</v>
      </c>
      <c r="K351" s="91">
        <f>ROUND(Call_Centre_Data[[#This Row],[Satisfaction Rating]],0)</f>
        <v>4</v>
      </c>
    </row>
    <row r="352" spans="1:11" x14ac:dyDescent="0.35">
      <c r="A352" s="56" t="s">
        <v>1357</v>
      </c>
      <c r="B352" s="57" t="s">
        <v>1027</v>
      </c>
      <c r="C352" s="87">
        <v>50</v>
      </c>
      <c r="D352" s="57" t="s">
        <v>994</v>
      </c>
      <c r="E352" s="58">
        <v>45029</v>
      </c>
      <c r="F352" s="57">
        <v>105</v>
      </c>
      <c r="G352" s="59">
        <v>3.5</v>
      </c>
      <c r="H352" s="57">
        <f>IF(MONTH(Call_Centre_Data[[#This Row],[Date of Call]])&lt;=6,YEAR(Call_Centre_Data[[#This Row],[Date of Call]]),YEAR(Call_Centre_Data[[#This Row],[Date of Call]])+1)</f>
        <v>2023</v>
      </c>
      <c r="I352" s="39" t="str">
        <f>TEXT(Call_Centre_Data[[#This Row],[Date of Call]],"DDDD")</f>
        <v>Thursday</v>
      </c>
      <c r="J352" s="39" t="str" cm="1">
        <f t="array" ref="J352">_xlfn.IFS(Call_Centre_Data[[#This Row],[Duration]]&lt;=10,"Under 10 Mins", Call_Centre_Data[[#This Row],[Duration]]&lt;=30,"10-30 Mins",Call_Centre_Data[[#This Row],[Duration]]&lt;=60,"30-60 Mins",Call_Centre_Data[[#This Row],[Duration]]&lt;=120,"1-2 Hours",TRUE,"More than 2 Hours")</f>
        <v>30-60 Mins</v>
      </c>
      <c r="K352" s="91">
        <f>ROUND(Call_Centre_Data[[#This Row],[Satisfaction Rating]],0)</f>
        <v>4</v>
      </c>
    </row>
    <row r="353" spans="1:11" x14ac:dyDescent="0.35">
      <c r="A353" s="56" t="s">
        <v>1358</v>
      </c>
      <c r="B353" s="57" t="s">
        <v>998</v>
      </c>
      <c r="C353" s="87">
        <v>98</v>
      </c>
      <c r="D353" s="57" t="s">
        <v>994</v>
      </c>
      <c r="E353" s="58">
        <v>45029</v>
      </c>
      <c r="F353" s="57">
        <v>22</v>
      </c>
      <c r="G353" s="59">
        <v>3.8</v>
      </c>
      <c r="H353" s="57">
        <f>IF(MONTH(Call_Centre_Data[[#This Row],[Date of Call]])&lt;=6,YEAR(Call_Centre_Data[[#This Row],[Date of Call]]),YEAR(Call_Centre_Data[[#This Row],[Date of Call]])+1)</f>
        <v>2023</v>
      </c>
      <c r="I353" s="39" t="str">
        <f>TEXT(Call_Centre_Data[[#This Row],[Date of Call]],"DDDD")</f>
        <v>Thursday</v>
      </c>
      <c r="J353" s="39" t="str" cm="1">
        <f t="array" ref="J353">_xlfn.IFS(Call_Centre_Data[[#This Row],[Duration]]&lt;=10,"Under 10 Mins", Call_Centre_Data[[#This Row],[Duration]]&lt;=30,"10-30 Mins",Call_Centre_Data[[#This Row],[Duration]]&lt;=60,"30-60 Mins",Call_Centre_Data[[#This Row],[Duration]]&lt;=120,"1-2 Hours",TRUE,"More than 2 Hours")</f>
        <v>1-2 Hours</v>
      </c>
      <c r="K353" s="91">
        <f>ROUND(Call_Centre_Data[[#This Row],[Satisfaction Rating]],0)</f>
        <v>4</v>
      </c>
    </row>
    <row r="354" spans="1:11" x14ac:dyDescent="0.35">
      <c r="A354" s="56" t="s">
        <v>1359</v>
      </c>
      <c r="B354" s="57" t="s">
        <v>1011</v>
      </c>
      <c r="C354" s="87">
        <v>114</v>
      </c>
      <c r="D354" s="57" t="s">
        <v>1004</v>
      </c>
      <c r="E354" s="58">
        <v>45030</v>
      </c>
      <c r="F354" s="57">
        <v>126</v>
      </c>
      <c r="G354" s="59">
        <v>4.4000000000000004</v>
      </c>
      <c r="H354" s="57">
        <f>IF(MONTH(Call_Centre_Data[[#This Row],[Date of Call]])&lt;=6,YEAR(Call_Centre_Data[[#This Row],[Date of Call]]),YEAR(Call_Centre_Data[[#This Row],[Date of Call]])+1)</f>
        <v>2023</v>
      </c>
      <c r="I354" s="39" t="str">
        <f>TEXT(Call_Centre_Data[[#This Row],[Date of Call]],"DDDD")</f>
        <v>Friday</v>
      </c>
      <c r="J354" s="39" t="str" cm="1">
        <f t="array" ref="J354">_xlfn.IFS(Call_Centre_Data[[#This Row],[Duration]]&lt;=10,"Under 10 Mins", Call_Centre_Data[[#This Row],[Duration]]&lt;=30,"10-30 Mins",Call_Centre_Data[[#This Row],[Duration]]&lt;=60,"30-60 Mins",Call_Centre_Data[[#This Row],[Duration]]&lt;=120,"1-2 Hours",TRUE,"More than 2 Hours")</f>
        <v>1-2 Hours</v>
      </c>
      <c r="K354" s="91">
        <f>ROUND(Call_Centre_Data[[#This Row],[Satisfaction Rating]],0)</f>
        <v>4</v>
      </c>
    </row>
    <row r="355" spans="1:11" x14ac:dyDescent="0.35">
      <c r="A355" s="56" t="s">
        <v>1360</v>
      </c>
      <c r="B355" s="57" t="s">
        <v>1022</v>
      </c>
      <c r="C355" s="87">
        <v>67</v>
      </c>
      <c r="D355" s="57" t="s">
        <v>1004</v>
      </c>
      <c r="E355" s="58">
        <v>45030</v>
      </c>
      <c r="F355" s="57">
        <v>35</v>
      </c>
      <c r="G355" s="59">
        <v>3</v>
      </c>
      <c r="H355" s="57">
        <f>IF(MONTH(Call_Centre_Data[[#This Row],[Date of Call]])&lt;=6,YEAR(Call_Centre_Data[[#This Row],[Date of Call]]),YEAR(Call_Centre_Data[[#This Row],[Date of Call]])+1)</f>
        <v>2023</v>
      </c>
      <c r="I355" s="39" t="str">
        <f>TEXT(Call_Centre_Data[[#This Row],[Date of Call]],"DDDD")</f>
        <v>Friday</v>
      </c>
      <c r="J355" s="39" t="str" cm="1">
        <f t="array" ref="J355">_xlfn.IFS(Call_Centre_Data[[#This Row],[Duration]]&lt;=10,"Under 10 Mins", Call_Centre_Data[[#This Row],[Duration]]&lt;=30,"10-30 Mins",Call_Centre_Data[[#This Row],[Duration]]&lt;=60,"30-60 Mins",Call_Centre_Data[[#This Row],[Duration]]&lt;=120,"1-2 Hours",TRUE,"More than 2 Hours")</f>
        <v>1-2 Hours</v>
      </c>
      <c r="K355" s="91">
        <f>ROUND(Call_Centre_Data[[#This Row],[Satisfaction Rating]],0)</f>
        <v>3</v>
      </c>
    </row>
    <row r="356" spans="1:11" x14ac:dyDescent="0.35">
      <c r="A356" s="56" t="s">
        <v>1361</v>
      </c>
      <c r="B356" s="57" t="s">
        <v>993</v>
      </c>
      <c r="C356" s="87">
        <v>91</v>
      </c>
      <c r="D356" s="57" t="s">
        <v>994</v>
      </c>
      <c r="E356" s="58">
        <v>45030</v>
      </c>
      <c r="F356" s="57">
        <v>84</v>
      </c>
      <c r="G356" s="59">
        <v>4.5</v>
      </c>
      <c r="H356" s="57">
        <f>IF(MONTH(Call_Centre_Data[[#This Row],[Date of Call]])&lt;=6,YEAR(Call_Centre_Data[[#This Row],[Date of Call]]),YEAR(Call_Centre_Data[[#This Row],[Date of Call]])+1)</f>
        <v>2023</v>
      </c>
      <c r="I356" s="39" t="str">
        <f>TEXT(Call_Centre_Data[[#This Row],[Date of Call]],"DDDD")</f>
        <v>Friday</v>
      </c>
      <c r="J356" s="39" t="str" cm="1">
        <f t="array" ref="J356">_xlfn.IFS(Call_Centre_Data[[#This Row],[Duration]]&lt;=10,"Under 10 Mins", Call_Centre_Data[[#This Row],[Duration]]&lt;=30,"10-30 Mins",Call_Centre_Data[[#This Row],[Duration]]&lt;=60,"30-60 Mins",Call_Centre_Data[[#This Row],[Duration]]&lt;=120,"1-2 Hours",TRUE,"More than 2 Hours")</f>
        <v>1-2 Hours</v>
      </c>
      <c r="K356" s="91">
        <f>ROUND(Call_Centre_Data[[#This Row],[Satisfaction Rating]],0)</f>
        <v>5</v>
      </c>
    </row>
    <row r="357" spans="1:11" x14ac:dyDescent="0.35">
      <c r="A357" s="56" t="s">
        <v>1362</v>
      </c>
      <c r="B357" s="57" t="s">
        <v>1060</v>
      </c>
      <c r="C357" s="87">
        <v>67</v>
      </c>
      <c r="D357" s="57" t="s">
        <v>994</v>
      </c>
      <c r="E357" s="58">
        <v>45031</v>
      </c>
      <c r="F357" s="57">
        <v>172</v>
      </c>
      <c r="G357" s="59">
        <v>4.5</v>
      </c>
      <c r="H357" s="57">
        <f>IF(MONTH(Call_Centre_Data[[#This Row],[Date of Call]])&lt;=6,YEAR(Call_Centre_Data[[#This Row],[Date of Call]]),YEAR(Call_Centre_Data[[#This Row],[Date of Call]])+1)</f>
        <v>2023</v>
      </c>
      <c r="I357" s="39" t="str">
        <f>TEXT(Call_Centre_Data[[#This Row],[Date of Call]],"DDDD")</f>
        <v>Saturday</v>
      </c>
      <c r="J357" s="39" t="str" cm="1">
        <f t="array" ref="J357">_xlfn.IFS(Call_Centre_Data[[#This Row],[Duration]]&lt;=10,"Under 10 Mins", Call_Centre_Data[[#This Row],[Duration]]&lt;=30,"10-30 Mins",Call_Centre_Data[[#This Row],[Duration]]&lt;=60,"30-60 Mins",Call_Centre_Data[[#This Row],[Duration]]&lt;=120,"1-2 Hours",TRUE,"More than 2 Hours")</f>
        <v>1-2 Hours</v>
      </c>
      <c r="K357" s="91">
        <f>ROUND(Call_Centre_Data[[#This Row],[Satisfaction Rating]],0)</f>
        <v>5</v>
      </c>
    </row>
    <row r="358" spans="1:11" x14ac:dyDescent="0.35">
      <c r="A358" s="56" t="s">
        <v>1363</v>
      </c>
      <c r="B358" s="57" t="s">
        <v>1011</v>
      </c>
      <c r="C358" s="87">
        <v>139</v>
      </c>
      <c r="D358" s="57" t="s">
        <v>989</v>
      </c>
      <c r="E358" s="58">
        <v>45031</v>
      </c>
      <c r="F358" s="57">
        <v>114</v>
      </c>
      <c r="G358" s="59">
        <v>4</v>
      </c>
      <c r="H358" s="57">
        <f>IF(MONTH(Call_Centre_Data[[#This Row],[Date of Call]])&lt;=6,YEAR(Call_Centre_Data[[#This Row],[Date of Call]]),YEAR(Call_Centre_Data[[#This Row],[Date of Call]])+1)</f>
        <v>2023</v>
      </c>
      <c r="I358" s="39" t="str">
        <f>TEXT(Call_Centre_Data[[#This Row],[Date of Call]],"DDDD")</f>
        <v>Saturday</v>
      </c>
      <c r="J358" s="39" t="str" cm="1">
        <f t="array" ref="J358">_xlfn.IFS(Call_Centre_Data[[#This Row],[Duration]]&lt;=10,"Under 10 Mins", Call_Centre_Data[[#This Row],[Duration]]&lt;=30,"10-30 Mins",Call_Centre_Data[[#This Row],[Duration]]&lt;=60,"30-60 Mins",Call_Centre_Data[[#This Row],[Duration]]&lt;=120,"1-2 Hours",TRUE,"More than 2 Hours")</f>
        <v>More than 2 Hours</v>
      </c>
      <c r="K358" s="91">
        <f>ROUND(Call_Centre_Data[[#This Row],[Satisfaction Rating]],0)</f>
        <v>4</v>
      </c>
    </row>
    <row r="359" spans="1:11" x14ac:dyDescent="0.35">
      <c r="A359" s="56" t="s">
        <v>1364</v>
      </c>
      <c r="B359" s="57" t="s">
        <v>1060</v>
      </c>
      <c r="C359" s="87">
        <v>102</v>
      </c>
      <c r="D359" s="57" t="s">
        <v>989</v>
      </c>
      <c r="E359" s="58">
        <v>45031</v>
      </c>
      <c r="F359" s="57">
        <v>60</v>
      </c>
      <c r="G359" s="59">
        <v>3.8</v>
      </c>
      <c r="H359" s="57">
        <f>IF(MONTH(Call_Centre_Data[[#This Row],[Date of Call]])&lt;=6,YEAR(Call_Centre_Data[[#This Row],[Date of Call]]),YEAR(Call_Centre_Data[[#This Row],[Date of Call]])+1)</f>
        <v>2023</v>
      </c>
      <c r="I359" s="39" t="str">
        <f>TEXT(Call_Centre_Data[[#This Row],[Date of Call]],"DDDD")</f>
        <v>Saturday</v>
      </c>
      <c r="J359" s="39" t="str" cm="1">
        <f t="array" ref="J359">_xlfn.IFS(Call_Centre_Data[[#This Row],[Duration]]&lt;=10,"Under 10 Mins", Call_Centre_Data[[#This Row],[Duration]]&lt;=30,"10-30 Mins",Call_Centre_Data[[#This Row],[Duration]]&lt;=60,"30-60 Mins",Call_Centre_Data[[#This Row],[Duration]]&lt;=120,"1-2 Hours",TRUE,"More than 2 Hours")</f>
        <v>1-2 Hours</v>
      </c>
      <c r="K359" s="91">
        <f>ROUND(Call_Centre_Data[[#This Row],[Satisfaction Rating]],0)</f>
        <v>4</v>
      </c>
    </row>
    <row r="360" spans="1:11" x14ac:dyDescent="0.35">
      <c r="A360" s="56" t="s">
        <v>1365</v>
      </c>
      <c r="B360" s="57" t="s">
        <v>1040</v>
      </c>
      <c r="C360" s="87">
        <v>108</v>
      </c>
      <c r="D360" s="57" t="s">
        <v>999</v>
      </c>
      <c r="E360" s="58">
        <v>45031</v>
      </c>
      <c r="F360" s="57">
        <v>26</v>
      </c>
      <c r="G360" s="59">
        <v>3.3</v>
      </c>
      <c r="H360" s="57">
        <f>IF(MONTH(Call_Centre_Data[[#This Row],[Date of Call]])&lt;=6,YEAR(Call_Centre_Data[[#This Row],[Date of Call]]),YEAR(Call_Centre_Data[[#This Row],[Date of Call]])+1)</f>
        <v>2023</v>
      </c>
      <c r="I360" s="39" t="str">
        <f>TEXT(Call_Centre_Data[[#This Row],[Date of Call]],"DDDD")</f>
        <v>Saturday</v>
      </c>
      <c r="J360" s="39" t="str" cm="1">
        <f t="array" ref="J360">_xlfn.IFS(Call_Centre_Data[[#This Row],[Duration]]&lt;=10,"Under 10 Mins", Call_Centre_Data[[#This Row],[Duration]]&lt;=30,"10-30 Mins",Call_Centre_Data[[#This Row],[Duration]]&lt;=60,"30-60 Mins",Call_Centre_Data[[#This Row],[Duration]]&lt;=120,"1-2 Hours",TRUE,"More than 2 Hours")</f>
        <v>1-2 Hours</v>
      </c>
      <c r="K360" s="91">
        <f>ROUND(Call_Centre_Data[[#This Row],[Satisfaction Rating]],0)</f>
        <v>3</v>
      </c>
    </row>
    <row r="361" spans="1:11" x14ac:dyDescent="0.35">
      <c r="A361" s="56" t="s">
        <v>1366</v>
      </c>
      <c r="B361" s="57" t="s">
        <v>1002</v>
      </c>
      <c r="C361" s="87">
        <v>66</v>
      </c>
      <c r="D361" s="57" t="s">
        <v>994</v>
      </c>
      <c r="E361" s="58">
        <v>45031</v>
      </c>
      <c r="F361" s="57">
        <v>210</v>
      </c>
      <c r="G361" s="59">
        <v>4.3</v>
      </c>
      <c r="H361" s="57">
        <f>IF(MONTH(Call_Centre_Data[[#This Row],[Date of Call]])&lt;=6,YEAR(Call_Centre_Data[[#This Row],[Date of Call]]),YEAR(Call_Centre_Data[[#This Row],[Date of Call]])+1)</f>
        <v>2023</v>
      </c>
      <c r="I361" s="39" t="str">
        <f>TEXT(Call_Centre_Data[[#This Row],[Date of Call]],"DDDD")</f>
        <v>Saturday</v>
      </c>
      <c r="J361" s="39" t="str" cm="1">
        <f t="array" ref="J361">_xlfn.IFS(Call_Centre_Data[[#This Row],[Duration]]&lt;=10,"Under 10 Mins", Call_Centre_Data[[#This Row],[Duration]]&lt;=30,"10-30 Mins",Call_Centre_Data[[#This Row],[Duration]]&lt;=60,"30-60 Mins",Call_Centre_Data[[#This Row],[Duration]]&lt;=120,"1-2 Hours",TRUE,"More than 2 Hours")</f>
        <v>1-2 Hours</v>
      </c>
      <c r="K361" s="91">
        <f>ROUND(Call_Centre_Data[[#This Row],[Satisfaction Rating]],0)</f>
        <v>4</v>
      </c>
    </row>
    <row r="362" spans="1:11" x14ac:dyDescent="0.35">
      <c r="A362" s="56" t="s">
        <v>1367</v>
      </c>
      <c r="B362" s="57" t="s">
        <v>1019</v>
      </c>
      <c r="C362" s="87">
        <v>85</v>
      </c>
      <c r="D362" s="57" t="s">
        <v>989</v>
      </c>
      <c r="E362" s="58">
        <v>45031</v>
      </c>
      <c r="F362" s="57">
        <v>129</v>
      </c>
      <c r="G362" s="59">
        <v>4.2</v>
      </c>
      <c r="H362" s="57">
        <f>IF(MONTH(Call_Centre_Data[[#This Row],[Date of Call]])&lt;=6,YEAR(Call_Centre_Data[[#This Row],[Date of Call]]),YEAR(Call_Centre_Data[[#This Row],[Date of Call]])+1)</f>
        <v>2023</v>
      </c>
      <c r="I362" s="39" t="str">
        <f>TEXT(Call_Centre_Data[[#This Row],[Date of Call]],"DDDD")</f>
        <v>Saturday</v>
      </c>
      <c r="J362" s="39" t="str" cm="1">
        <f t="array" ref="J362">_xlfn.IFS(Call_Centre_Data[[#This Row],[Duration]]&lt;=10,"Under 10 Mins", Call_Centre_Data[[#This Row],[Duration]]&lt;=30,"10-30 Mins",Call_Centre_Data[[#This Row],[Duration]]&lt;=60,"30-60 Mins",Call_Centre_Data[[#This Row],[Duration]]&lt;=120,"1-2 Hours",TRUE,"More than 2 Hours")</f>
        <v>1-2 Hours</v>
      </c>
      <c r="K362" s="91">
        <f>ROUND(Call_Centre_Data[[#This Row],[Satisfaction Rating]],0)</f>
        <v>4</v>
      </c>
    </row>
    <row r="363" spans="1:11" x14ac:dyDescent="0.35">
      <c r="A363" s="56" t="s">
        <v>1368</v>
      </c>
      <c r="B363" s="57" t="s">
        <v>1022</v>
      </c>
      <c r="C363" s="87">
        <v>55</v>
      </c>
      <c r="D363" s="57" t="s">
        <v>999</v>
      </c>
      <c r="E363" s="58">
        <v>45031</v>
      </c>
      <c r="F363" s="57">
        <v>215</v>
      </c>
      <c r="G363" s="59">
        <v>4.3</v>
      </c>
      <c r="H363" s="57">
        <f>IF(MONTH(Call_Centre_Data[[#This Row],[Date of Call]])&lt;=6,YEAR(Call_Centre_Data[[#This Row],[Date of Call]]),YEAR(Call_Centre_Data[[#This Row],[Date of Call]])+1)</f>
        <v>2023</v>
      </c>
      <c r="I363" s="39" t="str">
        <f>TEXT(Call_Centre_Data[[#This Row],[Date of Call]],"DDDD")</f>
        <v>Saturday</v>
      </c>
      <c r="J363" s="39" t="str" cm="1">
        <f t="array" ref="J363">_xlfn.IFS(Call_Centre_Data[[#This Row],[Duration]]&lt;=10,"Under 10 Mins", Call_Centre_Data[[#This Row],[Duration]]&lt;=30,"10-30 Mins",Call_Centre_Data[[#This Row],[Duration]]&lt;=60,"30-60 Mins",Call_Centre_Data[[#This Row],[Duration]]&lt;=120,"1-2 Hours",TRUE,"More than 2 Hours")</f>
        <v>30-60 Mins</v>
      </c>
      <c r="K363" s="91">
        <f>ROUND(Call_Centre_Data[[#This Row],[Satisfaction Rating]],0)</f>
        <v>4</v>
      </c>
    </row>
    <row r="364" spans="1:11" x14ac:dyDescent="0.35">
      <c r="A364" s="56" t="s">
        <v>1369</v>
      </c>
      <c r="B364" s="57" t="s">
        <v>1040</v>
      </c>
      <c r="C364" s="87">
        <v>17</v>
      </c>
      <c r="D364" s="57" t="s">
        <v>1008</v>
      </c>
      <c r="E364" s="58">
        <v>45031</v>
      </c>
      <c r="F364" s="57">
        <v>69</v>
      </c>
      <c r="G364" s="59">
        <v>4.5999999999999996</v>
      </c>
      <c r="H364" s="57">
        <f>IF(MONTH(Call_Centre_Data[[#This Row],[Date of Call]])&lt;=6,YEAR(Call_Centre_Data[[#This Row],[Date of Call]]),YEAR(Call_Centre_Data[[#This Row],[Date of Call]])+1)</f>
        <v>2023</v>
      </c>
      <c r="I364" s="39" t="str">
        <f>TEXT(Call_Centre_Data[[#This Row],[Date of Call]],"DDDD")</f>
        <v>Saturday</v>
      </c>
      <c r="J364" s="39" t="str" cm="1">
        <f t="array" ref="J364">_xlfn.IFS(Call_Centre_Data[[#This Row],[Duration]]&lt;=10,"Under 10 Mins", Call_Centre_Data[[#This Row],[Duration]]&lt;=30,"10-30 Mins",Call_Centre_Data[[#This Row],[Duration]]&lt;=60,"30-60 Mins",Call_Centre_Data[[#This Row],[Duration]]&lt;=120,"1-2 Hours",TRUE,"More than 2 Hours")</f>
        <v>10-30 Mins</v>
      </c>
      <c r="K364" s="91">
        <f>ROUND(Call_Centre_Data[[#This Row],[Satisfaction Rating]],0)</f>
        <v>5</v>
      </c>
    </row>
    <row r="365" spans="1:11" x14ac:dyDescent="0.35">
      <c r="A365" s="56" t="s">
        <v>1370</v>
      </c>
      <c r="B365" s="57" t="s">
        <v>1022</v>
      </c>
      <c r="C365" s="87">
        <v>128</v>
      </c>
      <c r="D365" s="57" t="s">
        <v>1008</v>
      </c>
      <c r="E365" s="58">
        <v>45031</v>
      </c>
      <c r="F365" s="57">
        <v>140</v>
      </c>
      <c r="G365" s="59">
        <v>3</v>
      </c>
      <c r="H365" s="57">
        <f>IF(MONTH(Call_Centre_Data[[#This Row],[Date of Call]])&lt;=6,YEAR(Call_Centre_Data[[#This Row],[Date of Call]]),YEAR(Call_Centre_Data[[#This Row],[Date of Call]])+1)</f>
        <v>2023</v>
      </c>
      <c r="I365" s="39" t="str">
        <f>TEXT(Call_Centre_Data[[#This Row],[Date of Call]],"DDDD")</f>
        <v>Saturday</v>
      </c>
      <c r="J365" s="39" t="str" cm="1">
        <f t="array" ref="J365">_xlfn.IFS(Call_Centre_Data[[#This Row],[Duration]]&lt;=10,"Under 10 Mins", Call_Centre_Data[[#This Row],[Duration]]&lt;=30,"10-30 Mins",Call_Centre_Data[[#This Row],[Duration]]&lt;=60,"30-60 Mins",Call_Centre_Data[[#This Row],[Duration]]&lt;=120,"1-2 Hours",TRUE,"More than 2 Hours")</f>
        <v>More than 2 Hours</v>
      </c>
      <c r="K365" s="91">
        <f>ROUND(Call_Centre_Data[[#This Row],[Satisfaction Rating]],0)</f>
        <v>3</v>
      </c>
    </row>
    <row r="366" spans="1:11" x14ac:dyDescent="0.35">
      <c r="A366" s="56" t="s">
        <v>1371</v>
      </c>
      <c r="B366" s="57" t="s">
        <v>1027</v>
      </c>
      <c r="C366" s="87">
        <v>45</v>
      </c>
      <c r="D366" s="57" t="s">
        <v>999</v>
      </c>
      <c r="E366" s="58">
        <v>45032</v>
      </c>
      <c r="F366" s="57">
        <v>156</v>
      </c>
      <c r="G366" s="59">
        <v>2.7</v>
      </c>
      <c r="H366" s="57">
        <f>IF(MONTH(Call_Centre_Data[[#This Row],[Date of Call]])&lt;=6,YEAR(Call_Centre_Data[[#This Row],[Date of Call]]),YEAR(Call_Centre_Data[[#This Row],[Date of Call]])+1)</f>
        <v>2023</v>
      </c>
      <c r="I366" s="39" t="str">
        <f>TEXT(Call_Centre_Data[[#This Row],[Date of Call]],"DDDD")</f>
        <v>Sunday</v>
      </c>
      <c r="J366" s="39" t="str" cm="1">
        <f t="array" ref="J366">_xlfn.IFS(Call_Centre_Data[[#This Row],[Duration]]&lt;=10,"Under 10 Mins", Call_Centre_Data[[#This Row],[Duration]]&lt;=30,"10-30 Mins",Call_Centre_Data[[#This Row],[Duration]]&lt;=60,"30-60 Mins",Call_Centre_Data[[#This Row],[Duration]]&lt;=120,"1-2 Hours",TRUE,"More than 2 Hours")</f>
        <v>30-60 Mins</v>
      </c>
      <c r="K366" s="91">
        <f>ROUND(Call_Centre_Data[[#This Row],[Satisfaction Rating]],0)</f>
        <v>3</v>
      </c>
    </row>
    <row r="367" spans="1:11" x14ac:dyDescent="0.35">
      <c r="A367" s="56" t="s">
        <v>1372</v>
      </c>
      <c r="B367" s="57" t="s">
        <v>1040</v>
      </c>
      <c r="C367" s="87">
        <v>41</v>
      </c>
      <c r="D367" s="57" t="s">
        <v>1008</v>
      </c>
      <c r="E367" s="58">
        <v>45032</v>
      </c>
      <c r="F367" s="57">
        <v>164</v>
      </c>
      <c r="G367" s="59">
        <v>3.1</v>
      </c>
      <c r="H367" s="57">
        <f>IF(MONTH(Call_Centre_Data[[#This Row],[Date of Call]])&lt;=6,YEAR(Call_Centre_Data[[#This Row],[Date of Call]]),YEAR(Call_Centre_Data[[#This Row],[Date of Call]])+1)</f>
        <v>2023</v>
      </c>
      <c r="I367" s="39" t="str">
        <f>TEXT(Call_Centre_Data[[#This Row],[Date of Call]],"DDDD")</f>
        <v>Sunday</v>
      </c>
      <c r="J367" s="39" t="str" cm="1">
        <f t="array" ref="J367">_xlfn.IFS(Call_Centre_Data[[#This Row],[Duration]]&lt;=10,"Under 10 Mins", Call_Centre_Data[[#This Row],[Duration]]&lt;=30,"10-30 Mins",Call_Centre_Data[[#This Row],[Duration]]&lt;=60,"30-60 Mins",Call_Centre_Data[[#This Row],[Duration]]&lt;=120,"1-2 Hours",TRUE,"More than 2 Hours")</f>
        <v>30-60 Mins</v>
      </c>
      <c r="K367" s="91">
        <f>ROUND(Call_Centre_Data[[#This Row],[Satisfaction Rating]],0)</f>
        <v>3</v>
      </c>
    </row>
    <row r="368" spans="1:11" x14ac:dyDescent="0.35">
      <c r="A368" s="56" t="s">
        <v>1373</v>
      </c>
      <c r="B368" s="57" t="s">
        <v>1013</v>
      </c>
      <c r="C368" s="87">
        <v>49</v>
      </c>
      <c r="D368" s="57" t="s">
        <v>1008</v>
      </c>
      <c r="E368" s="58">
        <v>45032</v>
      </c>
      <c r="F368" s="57">
        <v>195</v>
      </c>
      <c r="G368" s="59">
        <v>2.6</v>
      </c>
      <c r="H368" s="57">
        <f>IF(MONTH(Call_Centre_Data[[#This Row],[Date of Call]])&lt;=6,YEAR(Call_Centre_Data[[#This Row],[Date of Call]]),YEAR(Call_Centre_Data[[#This Row],[Date of Call]])+1)</f>
        <v>2023</v>
      </c>
      <c r="I368" s="39" t="str">
        <f>TEXT(Call_Centre_Data[[#This Row],[Date of Call]],"DDDD")</f>
        <v>Sunday</v>
      </c>
      <c r="J368" s="39" t="str" cm="1">
        <f t="array" ref="J368">_xlfn.IFS(Call_Centre_Data[[#This Row],[Duration]]&lt;=10,"Under 10 Mins", Call_Centre_Data[[#This Row],[Duration]]&lt;=30,"10-30 Mins",Call_Centre_Data[[#This Row],[Duration]]&lt;=60,"30-60 Mins",Call_Centre_Data[[#This Row],[Duration]]&lt;=120,"1-2 Hours",TRUE,"More than 2 Hours")</f>
        <v>30-60 Mins</v>
      </c>
      <c r="K368" s="91">
        <f>ROUND(Call_Centre_Data[[#This Row],[Satisfaction Rating]],0)</f>
        <v>3</v>
      </c>
    </row>
    <row r="369" spans="1:11" x14ac:dyDescent="0.35">
      <c r="A369" s="56" t="s">
        <v>1374</v>
      </c>
      <c r="B369" s="57" t="s">
        <v>991</v>
      </c>
      <c r="C369" s="87">
        <v>21</v>
      </c>
      <c r="D369" s="57" t="s">
        <v>1004</v>
      </c>
      <c r="E369" s="58">
        <v>45032</v>
      </c>
      <c r="F369" s="57">
        <v>74</v>
      </c>
      <c r="G369" s="59">
        <v>4.5999999999999996</v>
      </c>
      <c r="H369" s="57">
        <f>IF(MONTH(Call_Centre_Data[[#This Row],[Date of Call]])&lt;=6,YEAR(Call_Centre_Data[[#This Row],[Date of Call]]),YEAR(Call_Centre_Data[[#This Row],[Date of Call]])+1)</f>
        <v>2023</v>
      </c>
      <c r="I369" s="39" t="str">
        <f>TEXT(Call_Centre_Data[[#This Row],[Date of Call]],"DDDD")</f>
        <v>Sunday</v>
      </c>
      <c r="J369" s="39" t="str" cm="1">
        <f t="array" ref="J369">_xlfn.IFS(Call_Centre_Data[[#This Row],[Duration]]&lt;=10,"Under 10 Mins", Call_Centre_Data[[#This Row],[Duration]]&lt;=30,"10-30 Mins",Call_Centre_Data[[#This Row],[Duration]]&lt;=60,"30-60 Mins",Call_Centre_Data[[#This Row],[Duration]]&lt;=120,"1-2 Hours",TRUE,"More than 2 Hours")</f>
        <v>10-30 Mins</v>
      </c>
      <c r="K369" s="91">
        <f>ROUND(Call_Centre_Data[[#This Row],[Satisfaction Rating]],0)</f>
        <v>5</v>
      </c>
    </row>
    <row r="370" spans="1:11" x14ac:dyDescent="0.35">
      <c r="A370" s="56" t="s">
        <v>1375</v>
      </c>
      <c r="B370" s="57" t="s">
        <v>1030</v>
      </c>
      <c r="C370" s="87">
        <v>133</v>
      </c>
      <c r="D370" s="57" t="s">
        <v>999</v>
      </c>
      <c r="E370" s="58">
        <v>45032</v>
      </c>
      <c r="F370" s="57">
        <v>100</v>
      </c>
      <c r="G370" s="59">
        <v>4</v>
      </c>
      <c r="H370" s="57">
        <f>IF(MONTH(Call_Centre_Data[[#This Row],[Date of Call]])&lt;=6,YEAR(Call_Centre_Data[[#This Row],[Date of Call]]),YEAR(Call_Centre_Data[[#This Row],[Date of Call]])+1)</f>
        <v>2023</v>
      </c>
      <c r="I370" s="39" t="str">
        <f>TEXT(Call_Centre_Data[[#This Row],[Date of Call]],"DDDD")</f>
        <v>Sunday</v>
      </c>
      <c r="J370" s="39" t="str" cm="1">
        <f t="array" ref="J370">_xlfn.IFS(Call_Centre_Data[[#This Row],[Duration]]&lt;=10,"Under 10 Mins", Call_Centre_Data[[#This Row],[Duration]]&lt;=30,"10-30 Mins",Call_Centre_Data[[#This Row],[Duration]]&lt;=60,"30-60 Mins",Call_Centre_Data[[#This Row],[Duration]]&lt;=120,"1-2 Hours",TRUE,"More than 2 Hours")</f>
        <v>More than 2 Hours</v>
      </c>
      <c r="K370" s="91">
        <f>ROUND(Call_Centre_Data[[#This Row],[Satisfaction Rating]],0)</f>
        <v>4</v>
      </c>
    </row>
    <row r="371" spans="1:11" x14ac:dyDescent="0.35">
      <c r="A371" s="56" t="s">
        <v>1376</v>
      </c>
      <c r="B371" s="57" t="s">
        <v>988</v>
      </c>
      <c r="C371" s="87">
        <v>135</v>
      </c>
      <c r="D371" s="57" t="s">
        <v>994</v>
      </c>
      <c r="E371" s="58">
        <v>45032</v>
      </c>
      <c r="F371" s="57">
        <v>185</v>
      </c>
      <c r="G371" s="59">
        <v>4.5</v>
      </c>
      <c r="H371" s="57">
        <f>IF(MONTH(Call_Centre_Data[[#This Row],[Date of Call]])&lt;=6,YEAR(Call_Centre_Data[[#This Row],[Date of Call]]),YEAR(Call_Centre_Data[[#This Row],[Date of Call]])+1)</f>
        <v>2023</v>
      </c>
      <c r="I371" s="39" t="str">
        <f>TEXT(Call_Centre_Data[[#This Row],[Date of Call]],"DDDD")</f>
        <v>Sunday</v>
      </c>
      <c r="J371" s="39" t="str" cm="1">
        <f t="array" ref="J371">_xlfn.IFS(Call_Centre_Data[[#This Row],[Duration]]&lt;=10,"Under 10 Mins", Call_Centre_Data[[#This Row],[Duration]]&lt;=30,"10-30 Mins",Call_Centre_Data[[#This Row],[Duration]]&lt;=60,"30-60 Mins",Call_Centre_Data[[#This Row],[Duration]]&lt;=120,"1-2 Hours",TRUE,"More than 2 Hours")</f>
        <v>More than 2 Hours</v>
      </c>
      <c r="K371" s="91">
        <f>ROUND(Call_Centre_Data[[#This Row],[Satisfaction Rating]],0)</f>
        <v>5</v>
      </c>
    </row>
    <row r="372" spans="1:11" x14ac:dyDescent="0.35">
      <c r="A372" s="56" t="s">
        <v>1377</v>
      </c>
      <c r="B372" s="57" t="s">
        <v>1011</v>
      </c>
      <c r="C372" s="87">
        <v>69</v>
      </c>
      <c r="D372" s="57" t="s">
        <v>999</v>
      </c>
      <c r="E372" s="58">
        <v>45032</v>
      </c>
      <c r="F372" s="57">
        <v>130</v>
      </c>
      <c r="G372" s="59">
        <v>1.9</v>
      </c>
      <c r="H372" s="57">
        <f>IF(MONTH(Call_Centre_Data[[#This Row],[Date of Call]])&lt;=6,YEAR(Call_Centre_Data[[#This Row],[Date of Call]]),YEAR(Call_Centre_Data[[#This Row],[Date of Call]])+1)</f>
        <v>2023</v>
      </c>
      <c r="I372" s="39" t="str">
        <f>TEXT(Call_Centre_Data[[#This Row],[Date of Call]],"DDDD")</f>
        <v>Sunday</v>
      </c>
      <c r="J372" s="39" t="str" cm="1">
        <f t="array" ref="J372">_xlfn.IFS(Call_Centre_Data[[#This Row],[Duration]]&lt;=10,"Under 10 Mins", Call_Centre_Data[[#This Row],[Duration]]&lt;=30,"10-30 Mins",Call_Centre_Data[[#This Row],[Duration]]&lt;=60,"30-60 Mins",Call_Centre_Data[[#This Row],[Duration]]&lt;=120,"1-2 Hours",TRUE,"More than 2 Hours")</f>
        <v>1-2 Hours</v>
      </c>
      <c r="K372" s="91">
        <f>ROUND(Call_Centre_Data[[#This Row],[Satisfaction Rating]],0)</f>
        <v>2</v>
      </c>
    </row>
    <row r="373" spans="1:11" x14ac:dyDescent="0.35">
      <c r="A373" s="56" t="s">
        <v>1378</v>
      </c>
      <c r="B373" s="57" t="s">
        <v>1007</v>
      </c>
      <c r="C373" s="87">
        <v>110</v>
      </c>
      <c r="D373" s="57" t="s">
        <v>1004</v>
      </c>
      <c r="E373" s="58">
        <v>45033</v>
      </c>
      <c r="F373" s="57">
        <v>21</v>
      </c>
      <c r="G373" s="59">
        <v>2.6</v>
      </c>
      <c r="H373" s="57">
        <f>IF(MONTH(Call_Centre_Data[[#This Row],[Date of Call]])&lt;=6,YEAR(Call_Centre_Data[[#This Row],[Date of Call]]),YEAR(Call_Centre_Data[[#This Row],[Date of Call]])+1)</f>
        <v>2023</v>
      </c>
      <c r="I373" s="39" t="str">
        <f>TEXT(Call_Centre_Data[[#This Row],[Date of Call]],"DDDD")</f>
        <v>Monday</v>
      </c>
      <c r="J373" s="39" t="str" cm="1">
        <f t="array" ref="J373">_xlfn.IFS(Call_Centre_Data[[#This Row],[Duration]]&lt;=10,"Under 10 Mins", Call_Centre_Data[[#This Row],[Duration]]&lt;=30,"10-30 Mins",Call_Centre_Data[[#This Row],[Duration]]&lt;=60,"30-60 Mins",Call_Centre_Data[[#This Row],[Duration]]&lt;=120,"1-2 Hours",TRUE,"More than 2 Hours")</f>
        <v>1-2 Hours</v>
      </c>
      <c r="K373" s="91">
        <f>ROUND(Call_Centre_Data[[#This Row],[Satisfaction Rating]],0)</f>
        <v>3</v>
      </c>
    </row>
    <row r="374" spans="1:11" x14ac:dyDescent="0.35">
      <c r="A374" s="56" t="s">
        <v>1379</v>
      </c>
      <c r="B374" s="57" t="s">
        <v>1060</v>
      </c>
      <c r="C374" s="87">
        <v>64</v>
      </c>
      <c r="D374" s="57" t="s">
        <v>989</v>
      </c>
      <c r="E374" s="58">
        <v>45033</v>
      </c>
      <c r="F374" s="57">
        <v>88</v>
      </c>
      <c r="G374" s="59">
        <v>4.3</v>
      </c>
      <c r="H374" s="57">
        <f>IF(MONTH(Call_Centre_Data[[#This Row],[Date of Call]])&lt;=6,YEAR(Call_Centre_Data[[#This Row],[Date of Call]]),YEAR(Call_Centre_Data[[#This Row],[Date of Call]])+1)</f>
        <v>2023</v>
      </c>
      <c r="I374" s="39" t="str">
        <f>TEXT(Call_Centre_Data[[#This Row],[Date of Call]],"DDDD")</f>
        <v>Monday</v>
      </c>
      <c r="J374" s="39" t="str" cm="1">
        <f t="array" ref="J374">_xlfn.IFS(Call_Centre_Data[[#This Row],[Duration]]&lt;=10,"Under 10 Mins", Call_Centre_Data[[#This Row],[Duration]]&lt;=30,"10-30 Mins",Call_Centre_Data[[#This Row],[Duration]]&lt;=60,"30-60 Mins",Call_Centre_Data[[#This Row],[Duration]]&lt;=120,"1-2 Hours",TRUE,"More than 2 Hours")</f>
        <v>1-2 Hours</v>
      </c>
      <c r="K374" s="91">
        <f>ROUND(Call_Centre_Data[[#This Row],[Satisfaction Rating]],0)</f>
        <v>4</v>
      </c>
    </row>
    <row r="375" spans="1:11" x14ac:dyDescent="0.35">
      <c r="A375" s="56" t="s">
        <v>1380</v>
      </c>
      <c r="B375" s="57" t="s">
        <v>993</v>
      </c>
      <c r="C375" s="87">
        <v>105</v>
      </c>
      <c r="D375" s="57" t="s">
        <v>1008</v>
      </c>
      <c r="E375" s="58">
        <v>45033</v>
      </c>
      <c r="F375" s="57">
        <v>35</v>
      </c>
      <c r="G375" s="59">
        <v>4.4000000000000004</v>
      </c>
      <c r="H375" s="57">
        <f>IF(MONTH(Call_Centre_Data[[#This Row],[Date of Call]])&lt;=6,YEAR(Call_Centre_Data[[#This Row],[Date of Call]]),YEAR(Call_Centre_Data[[#This Row],[Date of Call]])+1)</f>
        <v>2023</v>
      </c>
      <c r="I375" s="39" t="str">
        <f>TEXT(Call_Centre_Data[[#This Row],[Date of Call]],"DDDD")</f>
        <v>Monday</v>
      </c>
      <c r="J375" s="39" t="str" cm="1">
        <f t="array" ref="J375">_xlfn.IFS(Call_Centre_Data[[#This Row],[Duration]]&lt;=10,"Under 10 Mins", Call_Centre_Data[[#This Row],[Duration]]&lt;=30,"10-30 Mins",Call_Centre_Data[[#This Row],[Duration]]&lt;=60,"30-60 Mins",Call_Centre_Data[[#This Row],[Duration]]&lt;=120,"1-2 Hours",TRUE,"More than 2 Hours")</f>
        <v>1-2 Hours</v>
      </c>
      <c r="K375" s="91">
        <f>ROUND(Call_Centre_Data[[#This Row],[Satisfaction Rating]],0)</f>
        <v>4</v>
      </c>
    </row>
    <row r="376" spans="1:11" x14ac:dyDescent="0.35">
      <c r="A376" s="56" t="s">
        <v>1381</v>
      </c>
      <c r="B376" s="57" t="s">
        <v>1060</v>
      </c>
      <c r="C376" s="87">
        <v>165</v>
      </c>
      <c r="D376" s="57" t="s">
        <v>994</v>
      </c>
      <c r="E376" s="58">
        <v>45033</v>
      </c>
      <c r="F376" s="57">
        <v>68</v>
      </c>
      <c r="G376" s="59">
        <v>4.3</v>
      </c>
      <c r="H376" s="57">
        <f>IF(MONTH(Call_Centre_Data[[#This Row],[Date of Call]])&lt;=6,YEAR(Call_Centre_Data[[#This Row],[Date of Call]]),YEAR(Call_Centre_Data[[#This Row],[Date of Call]])+1)</f>
        <v>2023</v>
      </c>
      <c r="I376" s="39" t="str">
        <f>TEXT(Call_Centre_Data[[#This Row],[Date of Call]],"DDDD")</f>
        <v>Monday</v>
      </c>
      <c r="J376" s="39" t="str" cm="1">
        <f t="array" ref="J376">_xlfn.IFS(Call_Centre_Data[[#This Row],[Duration]]&lt;=10,"Under 10 Mins", Call_Centre_Data[[#This Row],[Duration]]&lt;=30,"10-30 Mins",Call_Centre_Data[[#This Row],[Duration]]&lt;=60,"30-60 Mins",Call_Centre_Data[[#This Row],[Duration]]&lt;=120,"1-2 Hours",TRUE,"More than 2 Hours")</f>
        <v>More than 2 Hours</v>
      </c>
      <c r="K376" s="91">
        <f>ROUND(Call_Centre_Data[[#This Row],[Satisfaction Rating]],0)</f>
        <v>4</v>
      </c>
    </row>
    <row r="377" spans="1:11" x14ac:dyDescent="0.35">
      <c r="A377" s="56" t="s">
        <v>1382</v>
      </c>
      <c r="B377" s="57" t="s">
        <v>1027</v>
      </c>
      <c r="C377" s="87">
        <v>125</v>
      </c>
      <c r="D377" s="57" t="s">
        <v>994</v>
      </c>
      <c r="E377" s="58">
        <v>45033</v>
      </c>
      <c r="F377" s="57">
        <v>148</v>
      </c>
      <c r="G377" s="59">
        <v>4.5</v>
      </c>
      <c r="H377" s="57">
        <f>IF(MONTH(Call_Centre_Data[[#This Row],[Date of Call]])&lt;=6,YEAR(Call_Centre_Data[[#This Row],[Date of Call]]),YEAR(Call_Centre_Data[[#This Row],[Date of Call]])+1)</f>
        <v>2023</v>
      </c>
      <c r="I377" s="39" t="str">
        <f>TEXT(Call_Centre_Data[[#This Row],[Date of Call]],"DDDD")</f>
        <v>Monday</v>
      </c>
      <c r="J377" s="39" t="str" cm="1">
        <f t="array" ref="J377">_xlfn.IFS(Call_Centre_Data[[#This Row],[Duration]]&lt;=10,"Under 10 Mins", Call_Centre_Data[[#This Row],[Duration]]&lt;=30,"10-30 Mins",Call_Centre_Data[[#This Row],[Duration]]&lt;=60,"30-60 Mins",Call_Centre_Data[[#This Row],[Duration]]&lt;=120,"1-2 Hours",TRUE,"More than 2 Hours")</f>
        <v>More than 2 Hours</v>
      </c>
      <c r="K377" s="91">
        <f>ROUND(Call_Centre_Data[[#This Row],[Satisfaction Rating]],0)</f>
        <v>5</v>
      </c>
    </row>
    <row r="378" spans="1:11" x14ac:dyDescent="0.35">
      <c r="A378" s="56" t="s">
        <v>1383</v>
      </c>
      <c r="B378" s="57" t="s">
        <v>993</v>
      </c>
      <c r="C378" s="87">
        <v>88</v>
      </c>
      <c r="D378" s="57" t="s">
        <v>989</v>
      </c>
      <c r="E378" s="58">
        <v>45034</v>
      </c>
      <c r="F378" s="57">
        <v>81</v>
      </c>
      <c r="G378" s="59">
        <v>4.2</v>
      </c>
      <c r="H378" s="57">
        <f>IF(MONTH(Call_Centre_Data[[#This Row],[Date of Call]])&lt;=6,YEAR(Call_Centre_Data[[#This Row],[Date of Call]]),YEAR(Call_Centre_Data[[#This Row],[Date of Call]])+1)</f>
        <v>2023</v>
      </c>
      <c r="I378" s="39" t="str">
        <f>TEXT(Call_Centre_Data[[#This Row],[Date of Call]],"DDDD")</f>
        <v>Tuesday</v>
      </c>
      <c r="J378" s="39" t="str" cm="1">
        <f t="array" ref="J378">_xlfn.IFS(Call_Centre_Data[[#This Row],[Duration]]&lt;=10,"Under 10 Mins", Call_Centre_Data[[#This Row],[Duration]]&lt;=30,"10-30 Mins",Call_Centre_Data[[#This Row],[Duration]]&lt;=60,"30-60 Mins",Call_Centre_Data[[#This Row],[Duration]]&lt;=120,"1-2 Hours",TRUE,"More than 2 Hours")</f>
        <v>1-2 Hours</v>
      </c>
      <c r="K378" s="91">
        <f>ROUND(Call_Centre_Data[[#This Row],[Satisfaction Rating]],0)</f>
        <v>4</v>
      </c>
    </row>
    <row r="379" spans="1:11" x14ac:dyDescent="0.35">
      <c r="A379" s="56" t="s">
        <v>1384</v>
      </c>
      <c r="B379" s="57" t="s">
        <v>1011</v>
      </c>
      <c r="C379" s="87">
        <v>6</v>
      </c>
      <c r="D379" s="57" t="s">
        <v>989</v>
      </c>
      <c r="E379" s="58">
        <v>45034</v>
      </c>
      <c r="F379" s="57">
        <v>75</v>
      </c>
      <c r="G379" s="59">
        <v>3.9</v>
      </c>
      <c r="H379" s="57">
        <f>IF(MONTH(Call_Centre_Data[[#This Row],[Date of Call]])&lt;=6,YEAR(Call_Centre_Data[[#This Row],[Date of Call]]),YEAR(Call_Centre_Data[[#This Row],[Date of Call]])+1)</f>
        <v>2023</v>
      </c>
      <c r="I379" s="39" t="str">
        <f>TEXT(Call_Centre_Data[[#This Row],[Date of Call]],"DDDD")</f>
        <v>Tuesday</v>
      </c>
      <c r="J379" s="39" t="str" cm="1">
        <f t="array" ref="J379">_xlfn.IFS(Call_Centre_Data[[#This Row],[Duration]]&lt;=10,"Under 10 Mins", Call_Centre_Data[[#This Row],[Duration]]&lt;=30,"10-30 Mins",Call_Centre_Data[[#This Row],[Duration]]&lt;=60,"30-60 Mins",Call_Centre_Data[[#This Row],[Duration]]&lt;=120,"1-2 Hours",TRUE,"More than 2 Hours")</f>
        <v>Under 10 Mins</v>
      </c>
      <c r="K379" s="91">
        <f>ROUND(Call_Centre_Data[[#This Row],[Satisfaction Rating]],0)</f>
        <v>4</v>
      </c>
    </row>
    <row r="380" spans="1:11" x14ac:dyDescent="0.35">
      <c r="A380" s="56" t="s">
        <v>1385</v>
      </c>
      <c r="B380" s="57" t="s">
        <v>1019</v>
      </c>
      <c r="C380" s="87">
        <v>69</v>
      </c>
      <c r="D380" s="57" t="s">
        <v>999</v>
      </c>
      <c r="E380" s="58">
        <v>45035</v>
      </c>
      <c r="F380" s="57">
        <v>32</v>
      </c>
      <c r="G380" s="59">
        <v>3.6</v>
      </c>
      <c r="H380" s="57">
        <f>IF(MONTH(Call_Centre_Data[[#This Row],[Date of Call]])&lt;=6,YEAR(Call_Centre_Data[[#This Row],[Date of Call]]),YEAR(Call_Centre_Data[[#This Row],[Date of Call]])+1)</f>
        <v>2023</v>
      </c>
      <c r="I380" s="39" t="str">
        <f>TEXT(Call_Centre_Data[[#This Row],[Date of Call]],"DDDD")</f>
        <v>Wednesday</v>
      </c>
      <c r="J380" s="39" t="str" cm="1">
        <f t="array" ref="J380">_xlfn.IFS(Call_Centre_Data[[#This Row],[Duration]]&lt;=10,"Under 10 Mins", Call_Centre_Data[[#This Row],[Duration]]&lt;=30,"10-30 Mins",Call_Centre_Data[[#This Row],[Duration]]&lt;=60,"30-60 Mins",Call_Centre_Data[[#This Row],[Duration]]&lt;=120,"1-2 Hours",TRUE,"More than 2 Hours")</f>
        <v>1-2 Hours</v>
      </c>
      <c r="K380" s="91">
        <f>ROUND(Call_Centre_Data[[#This Row],[Satisfaction Rating]],0)</f>
        <v>4</v>
      </c>
    </row>
    <row r="381" spans="1:11" x14ac:dyDescent="0.35">
      <c r="A381" s="56" t="s">
        <v>1386</v>
      </c>
      <c r="B381" s="57" t="s">
        <v>1040</v>
      </c>
      <c r="C381" s="87">
        <v>107</v>
      </c>
      <c r="D381" s="57" t="s">
        <v>999</v>
      </c>
      <c r="E381" s="58">
        <v>45035</v>
      </c>
      <c r="F381" s="57">
        <v>156</v>
      </c>
      <c r="G381" s="59">
        <v>3.8</v>
      </c>
      <c r="H381" s="57">
        <f>IF(MONTH(Call_Centre_Data[[#This Row],[Date of Call]])&lt;=6,YEAR(Call_Centre_Data[[#This Row],[Date of Call]]),YEAR(Call_Centre_Data[[#This Row],[Date of Call]])+1)</f>
        <v>2023</v>
      </c>
      <c r="I381" s="39" t="str">
        <f>TEXT(Call_Centre_Data[[#This Row],[Date of Call]],"DDDD")</f>
        <v>Wednesday</v>
      </c>
      <c r="J381" s="39" t="str" cm="1">
        <f t="array" ref="J381">_xlfn.IFS(Call_Centre_Data[[#This Row],[Duration]]&lt;=10,"Under 10 Mins", Call_Centre_Data[[#This Row],[Duration]]&lt;=30,"10-30 Mins",Call_Centre_Data[[#This Row],[Duration]]&lt;=60,"30-60 Mins",Call_Centre_Data[[#This Row],[Duration]]&lt;=120,"1-2 Hours",TRUE,"More than 2 Hours")</f>
        <v>1-2 Hours</v>
      </c>
      <c r="K381" s="91">
        <f>ROUND(Call_Centre_Data[[#This Row],[Satisfaction Rating]],0)</f>
        <v>4</v>
      </c>
    </row>
    <row r="382" spans="1:11" x14ac:dyDescent="0.35">
      <c r="A382" s="56" t="s">
        <v>1387</v>
      </c>
      <c r="B382" s="57" t="s">
        <v>991</v>
      </c>
      <c r="C382" s="87">
        <v>90</v>
      </c>
      <c r="D382" s="57" t="s">
        <v>994</v>
      </c>
      <c r="E382" s="58">
        <v>45035</v>
      </c>
      <c r="F382" s="57">
        <v>99</v>
      </c>
      <c r="G382" s="59">
        <v>4.9000000000000004</v>
      </c>
      <c r="H382" s="57">
        <f>IF(MONTH(Call_Centre_Data[[#This Row],[Date of Call]])&lt;=6,YEAR(Call_Centre_Data[[#This Row],[Date of Call]]),YEAR(Call_Centre_Data[[#This Row],[Date of Call]])+1)</f>
        <v>2023</v>
      </c>
      <c r="I382" s="39" t="str">
        <f>TEXT(Call_Centre_Data[[#This Row],[Date of Call]],"DDDD")</f>
        <v>Wednesday</v>
      </c>
      <c r="J382" s="39" t="str" cm="1">
        <f t="array" ref="J382">_xlfn.IFS(Call_Centre_Data[[#This Row],[Duration]]&lt;=10,"Under 10 Mins", Call_Centre_Data[[#This Row],[Duration]]&lt;=30,"10-30 Mins",Call_Centre_Data[[#This Row],[Duration]]&lt;=60,"30-60 Mins",Call_Centre_Data[[#This Row],[Duration]]&lt;=120,"1-2 Hours",TRUE,"More than 2 Hours")</f>
        <v>1-2 Hours</v>
      </c>
      <c r="K382" s="91">
        <f>ROUND(Call_Centre_Data[[#This Row],[Satisfaction Rating]],0)</f>
        <v>5</v>
      </c>
    </row>
    <row r="383" spans="1:11" x14ac:dyDescent="0.35">
      <c r="A383" s="56" t="s">
        <v>1388</v>
      </c>
      <c r="B383" s="57" t="s">
        <v>988</v>
      </c>
      <c r="C383" s="87">
        <v>120</v>
      </c>
      <c r="D383" s="57" t="s">
        <v>1008</v>
      </c>
      <c r="E383" s="58">
        <v>45035</v>
      </c>
      <c r="F383" s="57">
        <v>26</v>
      </c>
      <c r="G383" s="59">
        <v>4</v>
      </c>
      <c r="H383" s="57">
        <f>IF(MONTH(Call_Centre_Data[[#This Row],[Date of Call]])&lt;=6,YEAR(Call_Centre_Data[[#This Row],[Date of Call]]),YEAR(Call_Centre_Data[[#This Row],[Date of Call]])+1)</f>
        <v>2023</v>
      </c>
      <c r="I383" s="39" t="str">
        <f>TEXT(Call_Centre_Data[[#This Row],[Date of Call]],"DDDD")</f>
        <v>Wednesday</v>
      </c>
      <c r="J383" s="39" t="str" cm="1">
        <f t="array" ref="J383">_xlfn.IFS(Call_Centre_Data[[#This Row],[Duration]]&lt;=10,"Under 10 Mins", Call_Centre_Data[[#This Row],[Duration]]&lt;=30,"10-30 Mins",Call_Centre_Data[[#This Row],[Duration]]&lt;=60,"30-60 Mins",Call_Centre_Data[[#This Row],[Duration]]&lt;=120,"1-2 Hours",TRUE,"More than 2 Hours")</f>
        <v>1-2 Hours</v>
      </c>
      <c r="K383" s="91">
        <f>ROUND(Call_Centre_Data[[#This Row],[Satisfaction Rating]],0)</f>
        <v>4</v>
      </c>
    </row>
    <row r="384" spans="1:11" x14ac:dyDescent="0.35">
      <c r="A384" s="56" t="s">
        <v>1389</v>
      </c>
      <c r="B384" s="57" t="s">
        <v>998</v>
      </c>
      <c r="C384" s="87">
        <v>47</v>
      </c>
      <c r="D384" s="57" t="s">
        <v>999</v>
      </c>
      <c r="E384" s="58">
        <v>45035</v>
      </c>
      <c r="F384" s="57">
        <v>84</v>
      </c>
      <c r="G384" s="59">
        <v>4.0999999999999996</v>
      </c>
      <c r="H384" s="57">
        <f>IF(MONTH(Call_Centre_Data[[#This Row],[Date of Call]])&lt;=6,YEAR(Call_Centre_Data[[#This Row],[Date of Call]]),YEAR(Call_Centre_Data[[#This Row],[Date of Call]])+1)</f>
        <v>2023</v>
      </c>
      <c r="I384" s="39" t="str">
        <f>TEXT(Call_Centre_Data[[#This Row],[Date of Call]],"DDDD")</f>
        <v>Wednesday</v>
      </c>
      <c r="J384" s="39" t="str" cm="1">
        <f t="array" ref="J384">_xlfn.IFS(Call_Centre_Data[[#This Row],[Duration]]&lt;=10,"Under 10 Mins", Call_Centre_Data[[#This Row],[Duration]]&lt;=30,"10-30 Mins",Call_Centre_Data[[#This Row],[Duration]]&lt;=60,"30-60 Mins",Call_Centre_Data[[#This Row],[Duration]]&lt;=120,"1-2 Hours",TRUE,"More than 2 Hours")</f>
        <v>30-60 Mins</v>
      </c>
      <c r="K384" s="91">
        <f>ROUND(Call_Centre_Data[[#This Row],[Satisfaction Rating]],0)</f>
        <v>4</v>
      </c>
    </row>
    <row r="385" spans="1:11" x14ac:dyDescent="0.35">
      <c r="A385" s="56" t="s">
        <v>1390</v>
      </c>
      <c r="B385" s="57" t="s">
        <v>996</v>
      </c>
      <c r="C385" s="87">
        <v>60</v>
      </c>
      <c r="D385" s="57" t="s">
        <v>1008</v>
      </c>
      <c r="E385" s="58">
        <v>45035</v>
      </c>
      <c r="F385" s="57">
        <v>84</v>
      </c>
      <c r="G385" s="59">
        <v>4.8</v>
      </c>
      <c r="H385" s="57">
        <f>IF(MONTH(Call_Centre_Data[[#This Row],[Date of Call]])&lt;=6,YEAR(Call_Centre_Data[[#This Row],[Date of Call]]),YEAR(Call_Centre_Data[[#This Row],[Date of Call]])+1)</f>
        <v>2023</v>
      </c>
      <c r="I385" s="39" t="str">
        <f>TEXT(Call_Centre_Data[[#This Row],[Date of Call]],"DDDD")</f>
        <v>Wednesday</v>
      </c>
      <c r="J385" s="39" t="str" cm="1">
        <f t="array" ref="J385">_xlfn.IFS(Call_Centre_Data[[#This Row],[Duration]]&lt;=10,"Under 10 Mins", Call_Centre_Data[[#This Row],[Duration]]&lt;=30,"10-30 Mins",Call_Centre_Data[[#This Row],[Duration]]&lt;=60,"30-60 Mins",Call_Centre_Data[[#This Row],[Duration]]&lt;=120,"1-2 Hours",TRUE,"More than 2 Hours")</f>
        <v>30-60 Mins</v>
      </c>
      <c r="K385" s="91">
        <f>ROUND(Call_Centre_Data[[#This Row],[Satisfaction Rating]],0)</f>
        <v>5</v>
      </c>
    </row>
    <row r="386" spans="1:11" x14ac:dyDescent="0.35">
      <c r="A386" s="56" t="s">
        <v>1391</v>
      </c>
      <c r="B386" s="57" t="s">
        <v>1022</v>
      </c>
      <c r="C386" s="87">
        <v>64</v>
      </c>
      <c r="D386" s="57" t="s">
        <v>994</v>
      </c>
      <c r="E386" s="58">
        <v>45035</v>
      </c>
      <c r="F386" s="57">
        <v>170</v>
      </c>
      <c r="G386" s="59">
        <v>2.2999999999999998</v>
      </c>
      <c r="H386" s="57">
        <f>IF(MONTH(Call_Centre_Data[[#This Row],[Date of Call]])&lt;=6,YEAR(Call_Centre_Data[[#This Row],[Date of Call]]),YEAR(Call_Centre_Data[[#This Row],[Date of Call]])+1)</f>
        <v>2023</v>
      </c>
      <c r="I386" s="39" t="str">
        <f>TEXT(Call_Centre_Data[[#This Row],[Date of Call]],"DDDD")</f>
        <v>Wednesday</v>
      </c>
      <c r="J386" s="39" t="str" cm="1">
        <f t="array" ref="J386">_xlfn.IFS(Call_Centre_Data[[#This Row],[Duration]]&lt;=10,"Under 10 Mins", Call_Centre_Data[[#This Row],[Duration]]&lt;=30,"10-30 Mins",Call_Centre_Data[[#This Row],[Duration]]&lt;=60,"30-60 Mins",Call_Centre_Data[[#This Row],[Duration]]&lt;=120,"1-2 Hours",TRUE,"More than 2 Hours")</f>
        <v>1-2 Hours</v>
      </c>
      <c r="K386" s="91">
        <f>ROUND(Call_Centre_Data[[#This Row],[Satisfaction Rating]],0)</f>
        <v>2</v>
      </c>
    </row>
    <row r="387" spans="1:11" x14ac:dyDescent="0.35">
      <c r="A387" s="56" t="s">
        <v>1392</v>
      </c>
      <c r="B387" s="57" t="s">
        <v>1060</v>
      </c>
      <c r="C387" s="87">
        <v>62</v>
      </c>
      <c r="D387" s="57" t="s">
        <v>999</v>
      </c>
      <c r="E387" s="58">
        <v>45035</v>
      </c>
      <c r="F387" s="57">
        <v>35</v>
      </c>
      <c r="G387" s="59">
        <v>4.4000000000000004</v>
      </c>
      <c r="H387" s="57">
        <f>IF(MONTH(Call_Centre_Data[[#This Row],[Date of Call]])&lt;=6,YEAR(Call_Centre_Data[[#This Row],[Date of Call]]),YEAR(Call_Centre_Data[[#This Row],[Date of Call]])+1)</f>
        <v>2023</v>
      </c>
      <c r="I387" s="39" t="str">
        <f>TEXT(Call_Centre_Data[[#This Row],[Date of Call]],"DDDD")</f>
        <v>Wednesday</v>
      </c>
      <c r="J387" s="39" t="str" cm="1">
        <f t="array" ref="J387">_xlfn.IFS(Call_Centre_Data[[#This Row],[Duration]]&lt;=10,"Under 10 Mins", Call_Centre_Data[[#This Row],[Duration]]&lt;=30,"10-30 Mins",Call_Centre_Data[[#This Row],[Duration]]&lt;=60,"30-60 Mins",Call_Centre_Data[[#This Row],[Duration]]&lt;=120,"1-2 Hours",TRUE,"More than 2 Hours")</f>
        <v>1-2 Hours</v>
      </c>
      <c r="K387" s="91">
        <f>ROUND(Call_Centre_Data[[#This Row],[Satisfaction Rating]],0)</f>
        <v>4</v>
      </c>
    </row>
    <row r="388" spans="1:11" x14ac:dyDescent="0.35">
      <c r="A388" s="56" t="s">
        <v>1393</v>
      </c>
      <c r="B388" s="57" t="s">
        <v>1007</v>
      </c>
      <c r="C388" s="87">
        <v>88</v>
      </c>
      <c r="D388" s="57" t="s">
        <v>999</v>
      </c>
      <c r="E388" s="58">
        <v>45036</v>
      </c>
      <c r="F388" s="57">
        <v>35</v>
      </c>
      <c r="G388" s="59">
        <v>3.8</v>
      </c>
      <c r="H388" s="57">
        <f>IF(MONTH(Call_Centre_Data[[#This Row],[Date of Call]])&lt;=6,YEAR(Call_Centre_Data[[#This Row],[Date of Call]]),YEAR(Call_Centre_Data[[#This Row],[Date of Call]])+1)</f>
        <v>2023</v>
      </c>
      <c r="I388" s="39" t="str">
        <f>TEXT(Call_Centre_Data[[#This Row],[Date of Call]],"DDDD")</f>
        <v>Thursday</v>
      </c>
      <c r="J388" s="39" t="str" cm="1">
        <f t="array" ref="J388">_xlfn.IFS(Call_Centre_Data[[#This Row],[Duration]]&lt;=10,"Under 10 Mins", Call_Centre_Data[[#This Row],[Duration]]&lt;=30,"10-30 Mins",Call_Centre_Data[[#This Row],[Duration]]&lt;=60,"30-60 Mins",Call_Centre_Data[[#This Row],[Duration]]&lt;=120,"1-2 Hours",TRUE,"More than 2 Hours")</f>
        <v>1-2 Hours</v>
      </c>
      <c r="K388" s="91">
        <f>ROUND(Call_Centre_Data[[#This Row],[Satisfaction Rating]],0)</f>
        <v>4</v>
      </c>
    </row>
    <row r="389" spans="1:11" x14ac:dyDescent="0.35">
      <c r="A389" s="56" t="s">
        <v>1394</v>
      </c>
      <c r="B389" s="57" t="s">
        <v>1027</v>
      </c>
      <c r="C389" s="87">
        <v>116</v>
      </c>
      <c r="D389" s="57" t="s">
        <v>999</v>
      </c>
      <c r="E389" s="58">
        <v>45036</v>
      </c>
      <c r="F389" s="57">
        <v>132</v>
      </c>
      <c r="G389" s="59">
        <v>5</v>
      </c>
      <c r="H389" s="57">
        <f>IF(MONTH(Call_Centre_Data[[#This Row],[Date of Call]])&lt;=6,YEAR(Call_Centre_Data[[#This Row],[Date of Call]]),YEAR(Call_Centre_Data[[#This Row],[Date of Call]])+1)</f>
        <v>2023</v>
      </c>
      <c r="I389" s="39" t="str">
        <f>TEXT(Call_Centre_Data[[#This Row],[Date of Call]],"DDDD")</f>
        <v>Thursday</v>
      </c>
      <c r="J389" s="39" t="str" cm="1">
        <f t="array" ref="J389">_xlfn.IFS(Call_Centre_Data[[#This Row],[Duration]]&lt;=10,"Under 10 Mins", Call_Centre_Data[[#This Row],[Duration]]&lt;=30,"10-30 Mins",Call_Centre_Data[[#This Row],[Duration]]&lt;=60,"30-60 Mins",Call_Centre_Data[[#This Row],[Duration]]&lt;=120,"1-2 Hours",TRUE,"More than 2 Hours")</f>
        <v>1-2 Hours</v>
      </c>
      <c r="K389" s="91">
        <f>ROUND(Call_Centre_Data[[#This Row],[Satisfaction Rating]],0)</f>
        <v>5</v>
      </c>
    </row>
    <row r="390" spans="1:11" x14ac:dyDescent="0.35">
      <c r="A390" s="56" t="s">
        <v>1395</v>
      </c>
      <c r="B390" s="57" t="s">
        <v>991</v>
      </c>
      <c r="C390" s="87">
        <v>82</v>
      </c>
      <c r="D390" s="57" t="s">
        <v>989</v>
      </c>
      <c r="E390" s="58">
        <v>45037</v>
      </c>
      <c r="F390" s="57">
        <v>144</v>
      </c>
      <c r="G390" s="59">
        <v>3.3</v>
      </c>
      <c r="H390" s="57">
        <f>IF(MONTH(Call_Centre_Data[[#This Row],[Date of Call]])&lt;=6,YEAR(Call_Centre_Data[[#This Row],[Date of Call]]),YEAR(Call_Centre_Data[[#This Row],[Date of Call]])+1)</f>
        <v>2023</v>
      </c>
      <c r="I390" s="39" t="str">
        <f>TEXT(Call_Centre_Data[[#This Row],[Date of Call]],"DDDD")</f>
        <v>Friday</v>
      </c>
      <c r="J390" s="39" t="str" cm="1">
        <f t="array" ref="J390">_xlfn.IFS(Call_Centre_Data[[#This Row],[Duration]]&lt;=10,"Under 10 Mins", Call_Centre_Data[[#This Row],[Duration]]&lt;=30,"10-30 Mins",Call_Centre_Data[[#This Row],[Duration]]&lt;=60,"30-60 Mins",Call_Centre_Data[[#This Row],[Duration]]&lt;=120,"1-2 Hours",TRUE,"More than 2 Hours")</f>
        <v>1-2 Hours</v>
      </c>
      <c r="K390" s="91">
        <f>ROUND(Call_Centre_Data[[#This Row],[Satisfaction Rating]],0)</f>
        <v>3</v>
      </c>
    </row>
    <row r="391" spans="1:11" x14ac:dyDescent="0.35">
      <c r="A391" s="56" t="s">
        <v>1396</v>
      </c>
      <c r="B391" s="57" t="s">
        <v>1060</v>
      </c>
      <c r="C391" s="87">
        <v>99</v>
      </c>
      <c r="D391" s="57" t="s">
        <v>994</v>
      </c>
      <c r="E391" s="58">
        <v>45037</v>
      </c>
      <c r="F391" s="57">
        <v>48</v>
      </c>
      <c r="G391" s="59">
        <v>5</v>
      </c>
      <c r="H391" s="57">
        <f>IF(MONTH(Call_Centre_Data[[#This Row],[Date of Call]])&lt;=6,YEAR(Call_Centre_Data[[#This Row],[Date of Call]]),YEAR(Call_Centre_Data[[#This Row],[Date of Call]])+1)</f>
        <v>2023</v>
      </c>
      <c r="I391" s="39" t="str">
        <f>TEXT(Call_Centre_Data[[#This Row],[Date of Call]],"DDDD")</f>
        <v>Friday</v>
      </c>
      <c r="J391" s="39" t="str" cm="1">
        <f t="array" ref="J391">_xlfn.IFS(Call_Centre_Data[[#This Row],[Duration]]&lt;=10,"Under 10 Mins", Call_Centre_Data[[#This Row],[Duration]]&lt;=30,"10-30 Mins",Call_Centre_Data[[#This Row],[Duration]]&lt;=60,"30-60 Mins",Call_Centre_Data[[#This Row],[Duration]]&lt;=120,"1-2 Hours",TRUE,"More than 2 Hours")</f>
        <v>1-2 Hours</v>
      </c>
      <c r="K391" s="91">
        <f>ROUND(Call_Centre_Data[[#This Row],[Satisfaction Rating]],0)</f>
        <v>5</v>
      </c>
    </row>
    <row r="392" spans="1:11" x14ac:dyDescent="0.35">
      <c r="A392" s="56" t="s">
        <v>1397</v>
      </c>
      <c r="B392" s="57" t="s">
        <v>1060</v>
      </c>
      <c r="C392" s="87">
        <v>55</v>
      </c>
      <c r="D392" s="57" t="s">
        <v>989</v>
      </c>
      <c r="E392" s="58">
        <v>45037</v>
      </c>
      <c r="F392" s="57">
        <v>200</v>
      </c>
      <c r="G392" s="59">
        <v>2.2999999999999998</v>
      </c>
      <c r="H392" s="57">
        <f>IF(MONTH(Call_Centre_Data[[#This Row],[Date of Call]])&lt;=6,YEAR(Call_Centre_Data[[#This Row],[Date of Call]]),YEAR(Call_Centre_Data[[#This Row],[Date of Call]])+1)</f>
        <v>2023</v>
      </c>
      <c r="I392" s="39" t="str">
        <f>TEXT(Call_Centre_Data[[#This Row],[Date of Call]],"DDDD")</f>
        <v>Friday</v>
      </c>
      <c r="J392" s="39" t="str" cm="1">
        <f t="array" ref="J392">_xlfn.IFS(Call_Centre_Data[[#This Row],[Duration]]&lt;=10,"Under 10 Mins", Call_Centre_Data[[#This Row],[Duration]]&lt;=30,"10-30 Mins",Call_Centre_Data[[#This Row],[Duration]]&lt;=60,"30-60 Mins",Call_Centre_Data[[#This Row],[Duration]]&lt;=120,"1-2 Hours",TRUE,"More than 2 Hours")</f>
        <v>30-60 Mins</v>
      </c>
      <c r="K392" s="91">
        <f>ROUND(Call_Centre_Data[[#This Row],[Satisfaction Rating]],0)</f>
        <v>2</v>
      </c>
    </row>
    <row r="393" spans="1:11" x14ac:dyDescent="0.35">
      <c r="A393" s="56" t="s">
        <v>1398</v>
      </c>
      <c r="B393" s="57" t="s">
        <v>1022</v>
      </c>
      <c r="C393" s="87">
        <v>61</v>
      </c>
      <c r="D393" s="57" t="s">
        <v>1008</v>
      </c>
      <c r="E393" s="58">
        <v>45037</v>
      </c>
      <c r="F393" s="57">
        <v>38</v>
      </c>
      <c r="G393" s="59">
        <v>4.8</v>
      </c>
      <c r="H393" s="57">
        <f>IF(MONTH(Call_Centre_Data[[#This Row],[Date of Call]])&lt;=6,YEAR(Call_Centre_Data[[#This Row],[Date of Call]]),YEAR(Call_Centre_Data[[#This Row],[Date of Call]])+1)</f>
        <v>2023</v>
      </c>
      <c r="I393" s="39" t="str">
        <f>TEXT(Call_Centre_Data[[#This Row],[Date of Call]],"DDDD")</f>
        <v>Friday</v>
      </c>
      <c r="J393" s="39" t="str" cm="1">
        <f t="array" ref="J393">_xlfn.IFS(Call_Centre_Data[[#This Row],[Duration]]&lt;=10,"Under 10 Mins", Call_Centre_Data[[#This Row],[Duration]]&lt;=30,"10-30 Mins",Call_Centre_Data[[#This Row],[Duration]]&lt;=60,"30-60 Mins",Call_Centre_Data[[#This Row],[Duration]]&lt;=120,"1-2 Hours",TRUE,"More than 2 Hours")</f>
        <v>1-2 Hours</v>
      </c>
      <c r="K393" s="91">
        <f>ROUND(Call_Centre_Data[[#This Row],[Satisfaction Rating]],0)</f>
        <v>5</v>
      </c>
    </row>
    <row r="394" spans="1:11" x14ac:dyDescent="0.35">
      <c r="A394" s="56" t="s">
        <v>1399</v>
      </c>
      <c r="B394" s="57" t="s">
        <v>1027</v>
      </c>
      <c r="C394" s="87">
        <v>36</v>
      </c>
      <c r="D394" s="57" t="s">
        <v>1004</v>
      </c>
      <c r="E394" s="58">
        <v>45037</v>
      </c>
      <c r="F394" s="57">
        <v>81</v>
      </c>
      <c r="G394" s="59">
        <v>3.7</v>
      </c>
      <c r="H394" s="57">
        <f>IF(MONTH(Call_Centre_Data[[#This Row],[Date of Call]])&lt;=6,YEAR(Call_Centre_Data[[#This Row],[Date of Call]]),YEAR(Call_Centre_Data[[#This Row],[Date of Call]])+1)</f>
        <v>2023</v>
      </c>
      <c r="I394" s="39" t="str">
        <f>TEXT(Call_Centre_Data[[#This Row],[Date of Call]],"DDDD")</f>
        <v>Friday</v>
      </c>
      <c r="J394" s="39" t="str" cm="1">
        <f t="array" ref="J394">_xlfn.IFS(Call_Centre_Data[[#This Row],[Duration]]&lt;=10,"Under 10 Mins", Call_Centre_Data[[#This Row],[Duration]]&lt;=30,"10-30 Mins",Call_Centre_Data[[#This Row],[Duration]]&lt;=60,"30-60 Mins",Call_Centre_Data[[#This Row],[Duration]]&lt;=120,"1-2 Hours",TRUE,"More than 2 Hours")</f>
        <v>30-60 Mins</v>
      </c>
      <c r="K394" s="91">
        <f>ROUND(Call_Centre_Data[[#This Row],[Satisfaction Rating]],0)</f>
        <v>4</v>
      </c>
    </row>
    <row r="395" spans="1:11" x14ac:dyDescent="0.35">
      <c r="A395" s="56" t="s">
        <v>1400</v>
      </c>
      <c r="B395" s="57" t="s">
        <v>991</v>
      </c>
      <c r="C395" s="87">
        <v>123</v>
      </c>
      <c r="D395" s="57" t="s">
        <v>999</v>
      </c>
      <c r="E395" s="58">
        <v>45037</v>
      </c>
      <c r="F395" s="57">
        <v>120</v>
      </c>
      <c r="G395" s="59">
        <v>4.2</v>
      </c>
      <c r="H395" s="57">
        <f>IF(MONTH(Call_Centre_Data[[#This Row],[Date of Call]])&lt;=6,YEAR(Call_Centre_Data[[#This Row],[Date of Call]]),YEAR(Call_Centre_Data[[#This Row],[Date of Call]])+1)</f>
        <v>2023</v>
      </c>
      <c r="I395" s="39" t="str">
        <f>TEXT(Call_Centre_Data[[#This Row],[Date of Call]],"DDDD")</f>
        <v>Friday</v>
      </c>
      <c r="J395" s="39" t="str" cm="1">
        <f t="array" ref="J395">_xlfn.IFS(Call_Centre_Data[[#This Row],[Duration]]&lt;=10,"Under 10 Mins", Call_Centre_Data[[#This Row],[Duration]]&lt;=30,"10-30 Mins",Call_Centre_Data[[#This Row],[Duration]]&lt;=60,"30-60 Mins",Call_Centre_Data[[#This Row],[Duration]]&lt;=120,"1-2 Hours",TRUE,"More than 2 Hours")</f>
        <v>More than 2 Hours</v>
      </c>
      <c r="K395" s="91">
        <f>ROUND(Call_Centre_Data[[#This Row],[Satisfaction Rating]],0)</f>
        <v>4</v>
      </c>
    </row>
    <row r="396" spans="1:11" x14ac:dyDescent="0.35">
      <c r="A396" s="56" t="s">
        <v>1401</v>
      </c>
      <c r="B396" s="57" t="s">
        <v>1013</v>
      </c>
      <c r="C396" s="87">
        <v>24</v>
      </c>
      <c r="D396" s="57" t="s">
        <v>1008</v>
      </c>
      <c r="E396" s="58">
        <v>45037</v>
      </c>
      <c r="F396" s="57">
        <v>74</v>
      </c>
      <c r="G396" s="59">
        <v>4.8</v>
      </c>
      <c r="H396" s="57">
        <f>IF(MONTH(Call_Centre_Data[[#This Row],[Date of Call]])&lt;=6,YEAR(Call_Centre_Data[[#This Row],[Date of Call]]),YEAR(Call_Centre_Data[[#This Row],[Date of Call]])+1)</f>
        <v>2023</v>
      </c>
      <c r="I396" s="39" t="str">
        <f>TEXT(Call_Centre_Data[[#This Row],[Date of Call]],"DDDD")</f>
        <v>Friday</v>
      </c>
      <c r="J396" s="39" t="str" cm="1">
        <f t="array" ref="J396">_xlfn.IFS(Call_Centre_Data[[#This Row],[Duration]]&lt;=10,"Under 10 Mins", Call_Centre_Data[[#This Row],[Duration]]&lt;=30,"10-30 Mins",Call_Centre_Data[[#This Row],[Duration]]&lt;=60,"30-60 Mins",Call_Centre_Data[[#This Row],[Duration]]&lt;=120,"1-2 Hours",TRUE,"More than 2 Hours")</f>
        <v>10-30 Mins</v>
      </c>
      <c r="K396" s="91">
        <f>ROUND(Call_Centre_Data[[#This Row],[Satisfaction Rating]],0)</f>
        <v>5</v>
      </c>
    </row>
    <row r="397" spans="1:11" x14ac:dyDescent="0.35">
      <c r="A397" s="56" t="s">
        <v>1402</v>
      </c>
      <c r="B397" s="57" t="s">
        <v>991</v>
      </c>
      <c r="C397" s="87">
        <v>43</v>
      </c>
      <c r="D397" s="57" t="s">
        <v>999</v>
      </c>
      <c r="E397" s="58">
        <v>45038</v>
      </c>
      <c r="F397" s="57">
        <v>128</v>
      </c>
      <c r="G397" s="59">
        <v>4.7</v>
      </c>
      <c r="H397" s="57">
        <f>IF(MONTH(Call_Centre_Data[[#This Row],[Date of Call]])&lt;=6,YEAR(Call_Centre_Data[[#This Row],[Date of Call]]),YEAR(Call_Centre_Data[[#This Row],[Date of Call]])+1)</f>
        <v>2023</v>
      </c>
      <c r="I397" s="39" t="str">
        <f>TEXT(Call_Centre_Data[[#This Row],[Date of Call]],"DDDD")</f>
        <v>Saturday</v>
      </c>
      <c r="J397" s="39" t="str" cm="1">
        <f t="array" ref="J397">_xlfn.IFS(Call_Centre_Data[[#This Row],[Duration]]&lt;=10,"Under 10 Mins", Call_Centre_Data[[#This Row],[Duration]]&lt;=30,"10-30 Mins",Call_Centre_Data[[#This Row],[Duration]]&lt;=60,"30-60 Mins",Call_Centre_Data[[#This Row],[Duration]]&lt;=120,"1-2 Hours",TRUE,"More than 2 Hours")</f>
        <v>30-60 Mins</v>
      </c>
      <c r="K397" s="91">
        <f>ROUND(Call_Centre_Data[[#This Row],[Satisfaction Rating]],0)</f>
        <v>5</v>
      </c>
    </row>
    <row r="398" spans="1:11" x14ac:dyDescent="0.35">
      <c r="A398" s="56" t="s">
        <v>1403</v>
      </c>
      <c r="B398" s="57" t="s">
        <v>996</v>
      </c>
      <c r="C398" s="87">
        <v>95</v>
      </c>
      <c r="D398" s="57" t="s">
        <v>994</v>
      </c>
      <c r="E398" s="58">
        <v>45038</v>
      </c>
      <c r="F398" s="57">
        <v>21</v>
      </c>
      <c r="G398" s="59">
        <v>3.9</v>
      </c>
      <c r="H398" s="57">
        <f>IF(MONTH(Call_Centre_Data[[#This Row],[Date of Call]])&lt;=6,YEAR(Call_Centre_Data[[#This Row],[Date of Call]]),YEAR(Call_Centre_Data[[#This Row],[Date of Call]])+1)</f>
        <v>2023</v>
      </c>
      <c r="I398" s="39" t="str">
        <f>TEXT(Call_Centre_Data[[#This Row],[Date of Call]],"DDDD")</f>
        <v>Saturday</v>
      </c>
      <c r="J398" s="39" t="str" cm="1">
        <f t="array" ref="J398">_xlfn.IFS(Call_Centre_Data[[#This Row],[Duration]]&lt;=10,"Under 10 Mins", Call_Centre_Data[[#This Row],[Duration]]&lt;=30,"10-30 Mins",Call_Centre_Data[[#This Row],[Duration]]&lt;=60,"30-60 Mins",Call_Centre_Data[[#This Row],[Duration]]&lt;=120,"1-2 Hours",TRUE,"More than 2 Hours")</f>
        <v>1-2 Hours</v>
      </c>
      <c r="K398" s="91">
        <f>ROUND(Call_Centre_Data[[#This Row],[Satisfaction Rating]],0)</f>
        <v>4</v>
      </c>
    </row>
    <row r="399" spans="1:11" x14ac:dyDescent="0.35">
      <c r="A399" s="56" t="s">
        <v>1404</v>
      </c>
      <c r="B399" s="57" t="s">
        <v>1060</v>
      </c>
      <c r="C399" s="87">
        <v>53</v>
      </c>
      <c r="D399" s="57" t="s">
        <v>999</v>
      </c>
      <c r="E399" s="58">
        <v>45038</v>
      </c>
      <c r="F399" s="57">
        <v>110</v>
      </c>
      <c r="G399" s="59">
        <v>4.3</v>
      </c>
      <c r="H399" s="57">
        <f>IF(MONTH(Call_Centre_Data[[#This Row],[Date of Call]])&lt;=6,YEAR(Call_Centre_Data[[#This Row],[Date of Call]]),YEAR(Call_Centre_Data[[#This Row],[Date of Call]])+1)</f>
        <v>2023</v>
      </c>
      <c r="I399" s="39" t="str">
        <f>TEXT(Call_Centre_Data[[#This Row],[Date of Call]],"DDDD")</f>
        <v>Saturday</v>
      </c>
      <c r="J399" s="39" t="str" cm="1">
        <f t="array" ref="J399">_xlfn.IFS(Call_Centre_Data[[#This Row],[Duration]]&lt;=10,"Under 10 Mins", Call_Centre_Data[[#This Row],[Duration]]&lt;=30,"10-30 Mins",Call_Centre_Data[[#This Row],[Duration]]&lt;=60,"30-60 Mins",Call_Centre_Data[[#This Row],[Duration]]&lt;=120,"1-2 Hours",TRUE,"More than 2 Hours")</f>
        <v>30-60 Mins</v>
      </c>
      <c r="K399" s="91">
        <f>ROUND(Call_Centre_Data[[#This Row],[Satisfaction Rating]],0)</f>
        <v>4</v>
      </c>
    </row>
    <row r="400" spans="1:11" x14ac:dyDescent="0.35">
      <c r="A400" s="56" t="s">
        <v>1405</v>
      </c>
      <c r="B400" s="57" t="s">
        <v>991</v>
      </c>
      <c r="C400" s="87">
        <v>113</v>
      </c>
      <c r="D400" s="57" t="s">
        <v>999</v>
      </c>
      <c r="E400" s="58">
        <v>45038</v>
      </c>
      <c r="F400" s="57">
        <v>145</v>
      </c>
      <c r="G400" s="59">
        <v>4</v>
      </c>
      <c r="H400" s="57">
        <f>IF(MONTH(Call_Centre_Data[[#This Row],[Date of Call]])&lt;=6,YEAR(Call_Centre_Data[[#This Row],[Date of Call]]),YEAR(Call_Centre_Data[[#This Row],[Date of Call]])+1)</f>
        <v>2023</v>
      </c>
      <c r="I400" s="39" t="str">
        <f>TEXT(Call_Centre_Data[[#This Row],[Date of Call]],"DDDD")</f>
        <v>Saturday</v>
      </c>
      <c r="J400" s="39" t="str" cm="1">
        <f t="array" ref="J400">_xlfn.IFS(Call_Centre_Data[[#This Row],[Duration]]&lt;=10,"Under 10 Mins", Call_Centre_Data[[#This Row],[Duration]]&lt;=30,"10-30 Mins",Call_Centre_Data[[#This Row],[Duration]]&lt;=60,"30-60 Mins",Call_Centre_Data[[#This Row],[Duration]]&lt;=120,"1-2 Hours",TRUE,"More than 2 Hours")</f>
        <v>1-2 Hours</v>
      </c>
      <c r="K400" s="91">
        <f>ROUND(Call_Centre_Data[[#This Row],[Satisfaction Rating]],0)</f>
        <v>4</v>
      </c>
    </row>
    <row r="401" spans="1:11" x14ac:dyDescent="0.35">
      <c r="A401" s="56" t="s">
        <v>1406</v>
      </c>
      <c r="B401" s="57" t="s">
        <v>1060</v>
      </c>
      <c r="C401" s="87">
        <v>89</v>
      </c>
      <c r="D401" s="57" t="s">
        <v>1004</v>
      </c>
      <c r="E401" s="58">
        <v>45038</v>
      </c>
      <c r="F401" s="57">
        <v>129</v>
      </c>
      <c r="G401" s="59">
        <v>4</v>
      </c>
      <c r="H401" s="57">
        <f>IF(MONTH(Call_Centre_Data[[#This Row],[Date of Call]])&lt;=6,YEAR(Call_Centre_Data[[#This Row],[Date of Call]]),YEAR(Call_Centre_Data[[#This Row],[Date of Call]])+1)</f>
        <v>2023</v>
      </c>
      <c r="I401" s="39" t="str">
        <f>TEXT(Call_Centre_Data[[#This Row],[Date of Call]],"DDDD")</f>
        <v>Saturday</v>
      </c>
      <c r="J401" s="39" t="str" cm="1">
        <f t="array" ref="J401">_xlfn.IFS(Call_Centre_Data[[#This Row],[Duration]]&lt;=10,"Under 10 Mins", Call_Centre_Data[[#This Row],[Duration]]&lt;=30,"10-30 Mins",Call_Centre_Data[[#This Row],[Duration]]&lt;=60,"30-60 Mins",Call_Centre_Data[[#This Row],[Duration]]&lt;=120,"1-2 Hours",TRUE,"More than 2 Hours")</f>
        <v>1-2 Hours</v>
      </c>
      <c r="K401" s="91">
        <f>ROUND(Call_Centre_Data[[#This Row],[Satisfaction Rating]],0)</f>
        <v>4</v>
      </c>
    </row>
    <row r="402" spans="1:11" x14ac:dyDescent="0.35">
      <c r="A402" s="56" t="s">
        <v>1407</v>
      </c>
      <c r="B402" s="57" t="s">
        <v>1007</v>
      </c>
      <c r="C402" s="87">
        <v>84</v>
      </c>
      <c r="D402" s="57" t="s">
        <v>989</v>
      </c>
      <c r="E402" s="58">
        <v>45038</v>
      </c>
      <c r="F402" s="57">
        <v>156</v>
      </c>
      <c r="G402" s="59">
        <v>3.2</v>
      </c>
      <c r="H402" s="57">
        <f>IF(MONTH(Call_Centre_Data[[#This Row],[Date of Call]])&lt;=6,YEAR(Call_Centre_Data[[#This Row],[Date of Call]]),YEAR(Call_Centre_Data[[#This Row],[Date of Call]])+1)</f>
        <v>2023</v>
      </c>
      <c r="I402" s="39" t="str">
        <f>TEXT(Call_Centre_Data[[#This Row],[Date of Call]],"DDDD")</f>
        <v>Saturday</v>
      </c>
      <c r="J402" s="39" t="str" cm="1">
        <f t="array" ref="J402">_xlfn.IFS(Call_Centre_Data[[#This Row],[Duration]]&lt;=10,"Under 10 Mins", Call_Centre_Data[[#This Row],[Duration]]&lt;=30,"10-30 Mins",Call_Centre_Data[[#This Row],[Duration]]&lt;=60,"30-60 Mins",Call_Centre_Data[[#This Row],[Duration]]&lt;=120,"1-2 Hours",TRUE,"More than 2 Hours")</f>
        <v>1-2 Hours</v>
      </c>
      <c r="K402" s="91">
        <f>ROUND(Call_Centre_Data[[#This Row],[Satisfaction Rating]],0)</f>
        <v>3</v>
      </c>
    </row>
    <row r="403" spans="1:11" x14ac:dyDescent="0.35">
      <c r="A403" s="56" t="s">
        <v>1408</v>
      </c>
      <c r="B403" s="57" t="s">
        <v>1013</v>
      </c>
      <c r="C403" s="87">
        <v>130</v>
      </c>
      <c r="D403" s="57" t="s">
        <v>999</v>
      </c>
      <c r="E403" s="58">
        <v>45039</v>
      </c>
      <c r="F403" s="57">
        <v>120</v>
      </c>
      <c r="G403" s="59">
        <v>3.8</v>
      </c>
      <c r="H403" s="57">
        <f>IF(MONTH(Call_Centre_Data[[#This Row],[Date of Call]])&lt;=6,YEAR(Call_Centre_Data[[#This Row],[Date of Call]]),YEAR(Call_Centre_Data[[#This Row],[Date of Call]])+1)</f>
        <v>2023</v>
      </c>
      <c r="I403" s="39" t="str">
        <f>TEXT(Call_Centre_Data[[#This Row],[Date of Call]],"DDDD")</f>
        <v>Sunday</v>
      </c>
      <c r="J403" s="39" t="str" cm="1">
        <f t="array" ref="J403">_xlfn.IFS(Call_Centre_Data[[#This Row],[Duration]]&lt;=10,"Under 10 Mins", Call_Centre_Data[[#This Row],[Duration]]&lt;=30,"10-30 Mins",Call_Centre_Data[[#This Row],[Duration]]&lt;=60,"30-60 Mins",Call_Centre_Data[[#This Row],[Duration]]&lt;=120,"1-2 Hours",TRUE,"More than 2 Hours")</f>
        <v>More than 2 Hours</v>
      </c>
      <c r="K403" s="91">
        <f>ROUND(Call_Centre_Data[[#This Row],[Satisfaction Rating]],0)</f>
        <v>4</v>
      </c>
    </row>
    <row r="404" spans="1:11" x14ac:dyDescent="0.35">
      <c r="A404" s="56" t="s">
        <v>1409</v>
      </c>
      <c r="B404" s="57" t="s">
        <v>996</v>
      </c>
      <c r="C404" s="87">
        <v>163</v>
      </c>
      <c r="D404" s="57" t="s">
        <v>1004</v>
      </c>
      <c r="E404" s="58">
        <v>45039</v>
      </c>
      <c r="F404" s="57">
        <v>62</v>
      </c>
      <c r="G404" s="59">
        <v>3.4</v>
      </c>
      <c r="H404" s="57">
        <f>IF(MONTH(Call_Centre_Data[[#This Row],[Date of Call]])&lt;=6,YEAR(Call_Centre_Data[[#This Row],[Date of Call]]),YEAR(Call_Centre_Data[[#This Row],[Date of Call]])+1)</f>
        <v>2023</v>
      </c>
      <c r="I404" s="39" t="str">
        <f>TEXT(Call_Centre_Data[[#This Row],[Date of Call]],"DDDD")</f>
        <v>Sunday</v>
      </c>
      <c r="J404" s="39" t="str" cm="1">
        <f t="array" ref="J404">_xlfn.IFS(Call_Centre_Data[[#This Row],[Duration]]&lt;=10,"Under 10 Mins", Call_Centre_Data[[#This Row],[Duration]]&lt;=30,"10-30 Mins",Call_Centre_Data[[#This Row],[Duration]]&lt;=60,"30-60 Mins",Call_Centre_Data[[#This Row],[Duration]]&lt;=120,"1-2 Hours",TRUE,"More than 2 Hours")</f>
        <v>More than 2 Hours</v>
      </c>
      <c r="K404" s="91">
        <f>ROUND(Call_Centre_Data[[#This Row],[Satisfaction Rating]],0)</f>
        <v>3</v>
      </c>
    </row>
    <row r="405" spans="1:11" x14ac:dyDescent="0.35">
      <c r="A405" s="56" t="s">
        <v>1410</v>
      </c>
      <c r="B405" s="57" t="s">
        <v>1019</v>
      </c>
      <c r="C405" s="87">
        <v>127</v>
      </c>
      <c r="D405" s="57" t="s">
        <v>999</v>
      </c>
      <c r="E405" s="58">
        <v>45039</v>
      </c>
      <c r="F405" s="57">
        <v>160</v>
      </c>
      <c r="G405" s="59">
        <v>3.2</v>
      </c>
      <c r="H405" s="57">
        <f>IF(MONTH(Call_Centre_Data[[#This Row],[Date of Call]])&lt;=6,YEAR(Call_Centre_Data[[#This Row],[Date of Call]]),YEAR(Call_Centre_Data[[#This Row],[Date of Call]])+1)</f>
        <v>2023</v>
      </c>
      <c r="I405" s="39" t="str">
        <f>TEXT(Call_Centre_Data[[#This Row],[Date of Call]],"DDDD")</f>
        <v>Sunday</v>
      </c>
      <c r="J405" s="39" t="str" cm="1">
        <f t="array" ref="J405">_xlfn.IFS(Call_Centre_Data[[#This Row],[Duration]]&lt;=10,"Under 10 Mins", Call_Centre_Data[[#This Row],[Duration]]&lt;=30,"10-30 Mins",Call_Centre_Data[[#This Row],[Duration]]&lt;=60,"30-60 Mins",Call_Centre_Data[[#This Row],[Duration]]&lt;=120,"1-2 Hours",TRUE,"More than 2 Hours")</f>
        <v>More than 2 Hours</v>
      </c>
      <c r="K405" s="91">
        <f>ROUND(Call_Centre_Data[[#This Row],[Satisfaction Rating]],0)</f>
        <v>3</v>
      </c>
    </row>
    <row r="406" spans="1:11" x14ac:dyDescent="0.35">
      <c r="A406" s="56" t="s">
        <v>1411</v>
      </c>
      <c r="B406" s="57" t="s">
        <v>991</v>
      </c>
      <c r="C406" s="87">
        <v>50</v>
      </c>
      <c r="D406" s="57" t="s">
        <v>999</v>
      </c>
      <c r="E406" s="58">
        <v>45039</v>
      </c>
      <c r="F406" s="57">
        <v>56</v>
      </c>
      <c r="G406" s="59">
        <v>4.7</v>
      </c>
      <c r="H406" s="57">
        <f>IF(MONTH(Call_Centre_Data[[#This Row],[Date of Call]])&lt;=6,YEAR(Call_Centre_Data[[#This Row],[Date of Call]]),YEAR(Call_Centre_Data[[#This Row],[Date of Call]])+1)</f>
        <v>2023</v>
      </c>
      <c r="I406" s="39" t="str">
        <f>TEXT(Call_Centre_Data[[#This Row],[Date of Call]],"DDDD")</f>
        <v>Sunday</v>
      </c>
      <c r="J406" s="39" t="str" cm="1">
        <f t="array" ref="J406">_xlfn.IFS(Call_Centre_Data[[#This Row],[Duration]]&lt;=10,"Under 10 Mins", Call_Centre_Data[[#This Row],[Duration]]&lt;=30,"10-30 Mins",Call_Centre_Data[[#This Row],[Duration]]&lt;=60,"30-60 Mins",Call_Centre_Data[[#This Row],[Duration]]&lt;=120,"1-2 Hours",TRUE,"More than 2 Hours")</f>
        <v>30-60 Mins</v>
      </c>
      <c r="K406" s="91">
        <f>ROUND(Call_Centre_Data[[#This Row],[Satisfaction Rating]],0)</f>
        <v>5</v>
      </c>
    </row>
    <row r="407" spans="1:11" x14ac:dyDescent="0.35">
      <c r="A407" s="56" t="s">
        <v>1412</v>
      </c>
      <c r="B407" s="57" t="s">
        <v>1002</v>
      </c>
      <c r="C407" s="87">
        <v>88</v>
      </c>
      <c r="D407" s="57" t="s">
        <v>1008</v>
      </c>
      <c r="E407" s="58">
        <v>45039</v>
      </c>
      <c r="F407" s="57">
        <v>72</v>
      </c>
      <c r="G407" s="59">
        <v>4</v>
      </c>
      <c r="H407" s="57">
        <f>IF(MONTH(Call_Centre_Data[[#This Row],[Date of Call]])&lt;=6,YEAR(Call_Centre_Data[[#This Row],[Date of Call]]),YEAR(Call_Centre_Data[[#This Row],[Date of Call]])+1)</f>
        <v>2023</v>
      </c>
      <c r="I407" s="39" t="str">
        <f>TEXT(Call_Centre_Data[[#This Row],[Date of Call]],"DDDD")</f>
        <v>Sunday</v>
      </c>
      <c r="J407" s="39" t="str" cm="1">
        <f t="array" ref="J407">_xlfn.IFS(Call_Centre_Data[[#This Row],[Duration]]&lt;=10,"Under 10 Mins", Call_Centre_Data[[#This Row],[Duration]]&lt;=30,"10-30 Mins",Call_Centre_Data[[#This Row],[Duration]]&lt;=60,"30-60 Mins",Call_Centre_Data[[#This Row],[Duration]]&lt;=120,"1-2 Hours",TRUE,"More than 2 Hours")</f>
        <v>1-2 Hours</v>
      </c>
      <c r="K407" s="91">
        <f>ROUND(Call_Centre_Data[[#This Row],[Satisfaction Rating]],0)</f>
        <v>4</v>
      </c>
    </row>
    <row r="408" spans="1:11" x14ac:dyDescent="0.35">
      <c r="A408" s="56" t="s">
        <v>1413</v>
      </c>
      <c r="B408" s="57" t="s">
        <v>991</v>
      </c>
      <c r="C408" s="87">
        <v>139</v>
      </c>
      <c r="D408" s="57" t="s">
        <v>994</v>
      </c>
      <c r="E408" s="58">
        <v>45040</v>
      </c>
      <c r="F408" s="57">
        <v>81</v>
      </c>
      <c r="G408" s="59">
        <v>4.8</v>
      </c>
      <c r="H408" s="57">
        <f>IF(MONTH(Call_Centre_Data[[#This Row],[Date of Call]])&lt;=6,YEAR(Call_Centre_Data[[#This Row],[Date of Call]]),YEAR(Call_Centre_Data[[#This Row],[Date of Call]])+1)</f>
        <v>2023</v>
      </c>
      <c r="I408" s="39" t="str">
        <f>TEXT(Call_Centre_Data[[#This Row],[Date of Call]],"DDDD")</f>
        <v>Monday</v>
      </c>
      <c r="J408" s="39" t="str" cm="1">
        <f t="array" ref="J408">_xlfn.IFS(Call_Centre_Data[[#This Row],[Duration]]&lt;=10,"Under 10 Mins", Call_Centre_Data[[#This Row],[Duration]]&lt;=30,"10-30 Mins",Call_Centre_Data[[#This Row],[Duration]]&lt;=60,"30-60 Mins",Call_Centre_Data[[#This Row],[Duration]]&lt;=120,"1-2 Hours",TRUE,"More than 2 Hours")</f>
        <v>More than 2 Hours</v>
      </c>
      <c r="K408" s="91">
        <f>ROUND(Call_Centre_Data[[#This Row],[Satisfaction Rating]],0)</f>
        <v>5</v>
      </c>
    </row>
    <row r="409" spans="1:11" x14ac:dyDescent="0.35">
      <c r="A409" s="56" t="s">
        <v>1414</v>
      </c>
      <c r="B409" s="57" t="s">
        <v>996</v>
      </c>
      <c r="C409" s="87">
        <v>111</v>
      </c>
      <c r="D409" s="57" t="s">
        <v>999</v>
      </c>
      <c r="E409" s="58">
        <v>45040</v>
      </c>
      <c r="F409" s="57">
        <v>144</v>
      </c>
      <c r="G409" s="59">
        <v>3.9</v>
      </c>
      <c r="H409" s="57">
        <f>IF(MONTH(Call_Centre_Data[[#This Row],[Date of Call]])&lt;=6,YEAR(Call_Centre_Data[[#This Row],[Date of Call]]),YEAR(Call_Centre_Data[[#This Row],[Date of Call]])+1)</f>
        <v>2023</v>
      </c>
      <c r="I409" s="39" t="str">
        <f>TEXT(Call_Centre_Data[[#This Row],[Date of Call]],"DDDD")</f>
        <v>Monday</v>
      </c>
      <c r="J409" s="39" t="str" cm="1">
        <f t="array" ref="J409">_xlfn.IFS(Call_Centre_Data[[#This Row],[Duration]]&lt;=10,"Under 10 Mins", Call_Centre_Data[[#This Row],[Duration]]&lt;=30,"10-30 Mins",Call_Centre_Data[[#This Row],[Duration]]&lt;=60,"30-60 Mins",Call_Centre_Data[[#This Row],[Duration]]&lt;=120,"1-2 Hours",TRUE,"More than 2 Hours")</f>
        <v>1-2 Hours</v>
      </c>
      <c r="K409" s="91">
        <f>ROUND(Call_Centre_Data[[#This Row],[Satisfaction Rating]],0)</f>
        <v>4</v>
      </c>
    </row>
    <row r="410" spans="1:11" x14ac:dyDescent="0.35">
      <c r="A410" s="56" t="s">
        <v>1415</v>
      </c>
      <c r="B410" s="57" t="s">
        <v>993</v>
      </c>
      <c r="C410" s="87">
        <v>115</v>
      </c>
      <c r="D410" s="57" t="s">
        <v>994</v>
      </c>
      <c r="E410" s="58">
        <v>45040</v>
      </c>
      <c r="F410" s="57">
        <v>111</v>
      </c>
      <c r="G410" s="59">
        <v>4.3</v>
      </c>
      <c r="H410" s="57">
        <f>IF(MONTH(Call_Centre_Data[[#This Row],[Date of Call]])&lt;=6,YEAR(Call_Centre_Data[[#This Row],[Date of Call]]),YEAR(Call_Centre_Data[[#This Row],[Date of Call]])+1)</f>
        <v>2023</v>
      </c>
      <c r="I410" s="39" t="str">
        <f>TEXT(Call_Centre_Data[[#This Row],[Date of Call]],"DDDD")</f>
        <v>Monday</v>
      </c>
      <c r="J410" s="39" t="str" cm="1">
        <f t="array" ref="J410">_xlfn.IFS(Call_Centre_Data[[#This Row],[Duration]]&lt;=10,"Under 10 Mins", Call_Centre_Data[[#This Row],[Duration]]&lt;=30,"10-30 Mins",Call_Centre_Data[[#This Row],[Duration]]&lt;=60,"30-60 Mins",Call_Centre_Data[[#This Row],[Duration]]&lt;=120,"1-2 Hours",TRUE,"More than 2 Hours")</f>
        <v>1-2 Hours</v>
      </c>
      <c r="K410" s="91">
        <f>ROUND(Call_Centre_Data[[#This Row],[Satisfaction Rating]],0)</f>
        <v>4</v>
      </c>
    </row>
    <row r="411" spans="1:11" x14ac:dyDescent="0.35">
      <c r="A411" s="56" t="s">
        <v>1416</v>
      </c>
      <c r="B411" s="57" t="s">
        <v>1060</v>
      </c>
      <c r="C411" s="87">
        <v>26</v>
      </c>
      <c r="D411" s="57" t="s">
        <v>1004</v>
      </c>
      <c r="E411" s="58">
        <v>45040</v>
      </c>
      <c r="F411" s="57">
        <v>43</v>
      </c>
      <c r="G411" s="59">
        <v>4.2</v>
      </c>
      <c r="H411" s="57">
        <f>IF(MONTH(Call_Centre_Data[[#This Row],[Date of Call]])&lt;=6,YEAR(Call_Centre_Data[[#This Row],[Date of Call]]),YEAR(Call_Centre_Data[[#This Row],[Date of Call]])+1)</f>
        <v>2023</v>
      </c>
      <c r="I411" s="39" t="str">
        <f>TEXT(Call_Centre_Data[[#This Row],[Date of Call]],"DDDD")</f>
        <v>Monday</v>
      </c>
      <c r="J411" s="39" t="str" cm="1">
        <f t="array" ref="J411">_xlfn.IFS(Call_Centre_Data[[#This Row],[Duration]]&lt;=10,"Under 10 Mins", Call_Centre_Data[[#This Row],[Duration]]&lt;=30,"10-30 Mins",Call_Centre_Data[[#This Row],[Duration]]&lt;=60,"30-60 Mins",Call_Centre_Data[[#This Row],[Duration]]&lt;=120,"1-2 Hours",TRUE,"More than 2 Hours")</f>
        <v>10-30 Mins</v>
      </c>
      <c r="K411" s="91">
        <f>ROUND(Call_Centre_Data[[#This Row],[Satisfaction Rating]],0)</f>
        <v>4</v>
      </c>
    </row>
    <row r="412" spans="1:11" x14ac:dyDescent="0.35">
      <c r="A412" s="56" t="s">
        <v>1417</v>
      </c>
      <c r="B412" s="57" t="s">
        <v>1007</v>
      </c>
      <c r="C412" s="87">
        <v>131</v>
      </c>
      <c r="D412" s="57" t="s">
        <v>1008</v>
      </c>
      <c r="E412" s="58">
        <v>45040</v>
      </c>
      <c r="F412" s="57">
        <v>41</v>
      </c>
      <c r="G412" s="59">
        <v>4.9000000000000004</v>
      </c>
      <c r="H412" s="57">
        <f>IF(MONTH(Call_Centre_Data[[#This Row],[Date of Call]])&lt;=6,YEAR(Call_Centre_Data[[#This Row],[Date of Call]]),YEAR(Call_Centre_Data[[#This Row],[Date of Call]])+1)</f>
        <v>2023</v>
      </c>
      <c r="I412" s="39" t="str">
        <f>TEXT(Call_Centre_Data[[#This Row],[Date of Call]],"DDDD")</f>
        <v>Monday</v>
      </c>
      <c r="J412" s="39" t="str" cm="1">
        <f t="array" ref="J412">_xlfn.IFS(Call_Centre_Data[[#This Row],[Duration]]&lt;=10,"Under 10 Mins", Call_Centre_Data[[#This Row],[Duration]]&lt;=30,"10-30 Mins",Call_Centre_Data[[#This Row],[Duration]]&lt;=60,"30-60 Mins",Call_Centre_Data[[#This Row],[Duration]]&lt;=120,"1-2 Hours",TRUE,"More than 2 Hours")</f>
        <v>More than 2 Hours</v>
      </c>
      <c r="K412" s="91">
        <f>ROUND(Call_Centre_Data[[#This Row],[Satisfaction Rating]],0)</f>
        <v>5</v>
      </c>
    </row>
    <row r="413" spans="1:11" x14ac:dyDescent="0.35">
      <c r="A413" s="56" t="s">
        <v>1418</v>
      </c>
      <c r="B413" s="57" t="s">
        <v>993</v>
      </c>
      <c r="C413" s="87">
        <v>27</v>
      </c>
      <c r="D413" s="57" t="s">
        <v>1008</v>
      </c>
      <c r="E413" s="58">
        <v>45040</v>
      </c>
      <c r="F413" s="57">
        <v>74</v>
      </c>
      <c r="G413" s="59">
        <v>4</v>
      </c>
      <c r="H413" s="57">
        <f>IF(MONTH(Call_Centre_Data[[#This Row],[Date of Call]])&lt;=6,YEAR(Call_Centre_Data[[#This Row],[Date of Call]]),YEAR(Call_Centre_Data[[#This Row],[Date of Call]])+1)</f>
        <v>2023</v>
      </c>
      <c r="I413" s="39" t="str">
        <f>TEXT(Call_Centre_Data[[#This Row],[Date of Call]],"DDDD")</f>
        <v>Monday</v>
      </c>
      <c r="J413" s="39" t="str" cm="1">
        <f t="array" ref="J413">_xlfn.IFS(Call_Centre_Data[[#This Row],[Duration]]&lt;=10,"Under 10 Mins", Call_Centre_Data[[#This Row],[Duration]]&lt;=30,"10-30 Mins",Call_Centre_Data[[#This Row],[Duration]]&lt;=60,"30-60 Mins",Call_Centre_Data[[#This Row],[Duration]]&lt;=120,"1-2 Hours",TRUE,"More than 2 Hours")</f>
        <v>10-30 Mins</v>
      </c>
      <c r="K413" s="91">
        <f>ROUND(Call_Centre_Data[[#This Row],[Satisfaction Rating]],0)</f>
        <v>4</v>
      </c>
    </row>
    <row r="414" spans="1:11" x14ac:dyDescent="0.35">
      <c r="A414" s="56" t="s">
        <v>1419</v>
      </c>
      <c r="B414" s="57" t="s">
        <v>1030</v>
      </c>
      <c r="C414" s="87">
        <v>75</v>
      </c>
      <c r="D414" s="57" t="s">
        <v>999</v>
      </c>
      <c r="E414" s="58">
        <v>45040</v>
      </c>
      <c r="F414" s="57">
        <v>43</v>
      </c>
      <c r="G414" s="59">
        <v>4.9000000000000004</v>
      </c>
      <c r="H414" s="57">
        <f>IF(MONTH(Call_Centre_Data[[#This Row],[Date of Call]])&lt;=6,YEAR(Call_Centre_Data[[#This Row],[Date of Call]]),YEAR(Call_Centre_Data[[#This Row],[Date of Call]])+1)</f>
        <v>2023</v>
      </c>
      <c r="I414" s="39" t="str">
        <f>TEXT(Call_Centre_Data[[#This Row],[Date of Call]],"DDDD")</f>
        <v>Monday</v>
      </c>
      <c r="J414" s="39" t="str" cm="1">
        <f t="array" ref="J414">_xlfn.IFS(Call_Centre_Data[[#This Row],[Duration]]&lt;=10,"Under 10 Mins", Call_Centre_Data[[#This Row],[Duration]]&lt;=30,"10-30 Mins",Call_Centre_Data[[#This Row],[Duration]]&lt;=60,"30-60 Mins",Call_Centre_Data[[#This Row],[Duration]]&lt;=120,"1-2 Hours",TRUE,"More than 2 Hours")</f>
        <v>1-2 Hours</v>
      </c>
      <c r="K414" s="91">
        <f>ROUND(Call_Centre_Data[[#This Row],[Satisfaction Rating]],0)</f>
        <v>5</v>
      </c>
    </row>
    <row r="415" spans="1:11" x14ac:dyDescent="0.35">
      <c r="A415" s="56" t="s">
        <v>1420</v>
      </c>
      <c r="B415" s="57" t="s">
        <v>1022</v>
      </c>
      <c r="C415" s="87">
        <v>123</v>
      </c>
      <c r="D415" s="57" t="s">
        <v>1008</v>
      </c>
      <c r="E415" s="58">
        <v>45040</v>
      </c>
      <c r="F415" s="57">
        <v>128</v>
      </c>
      <c r="G415" s="59">
        <v>3.6</v>
      </c>
      <c r="H415" s="57">
        <f>IF(MONTH(Call_Centre_Data[[#This Row],[Date of Call]])&lt;=6,YEAR(Call_Centre_Data[[#This Row],[Date of Call]]),YEAR(Call_Centre_Data[[#This Row],[Date of Call]])+1)</f>
        <v>2023</v>
      </c>
      <c r="I415" s="39" t="str">
        <f>TEXT(Call_Centre_Data[[#This Row],[Date of Call]],"DDDD")</f>
        <v>Monday</v>
      </c>
      <c r="J415" s="39" t="str" cm="1">
        <f t="array" ref="J415">_xlfn.IFS(Call_Centre_Data[[#This Row],[Duration]]&lt;=10,"Under 10 Mins", Call_Centre_Data[[#This Row],[Duration]]&lt;=30,"10-30 Mins",Call_Centre_Data[[#This Row],[Duration]]&lt;=60,"30-60 Mins",Call_Centre_Data[[#This Row],[Duration]]&lt;=120,"1-2 Hours",TRUE,"More than 2 Hours")</f>
        <v>More than 2 Hours</v>
      </c>
      <c r="K415" s="91">
        <f>ROUND(Call_Centre_Data[[#This Row],[Satisfaction Rating]],0)</f>
        <v>4</v>
      </c>
    </row>
    <row r="416" spans="1:11" x14ac:dyDescent="0.35">
      <c r="A416" s="56" t="s">
        <v>1421</v>
      </c>
      <c r="B416" s="57" t="s">
        <v>988</v>
      </c>
      <c r="C416" s="87">
        <v>129</v>
      </c>
      <c r="D416" s="57" t="s">
        <v>1008</v>
      </c>
      <c r="E416" s="58">
        <v>45041</v>
      </c>
      <c r="F416" s="57">
        <v>144</v>
      </c>
      <c r="G416" s="59">
        <v>4.0999999999999996</v>
      </c>
      <c r="H416" s="57">
        <f>IF(MONTH(Call_Centre_Data[[#This Row],[Date of Call]])&lt;=6,YEAR(Call_Centre_Data[[#This Row],[Date of Call]]),YEAR(Call_Centre_Data[[#This Row],[Date of Call]])+1)</f>
        <v>2023</v>
      </c>
      <c r="I416" s="39" t="str">
        <f>TEXT(Call_Centre_Data[[#This Row],[Date of Call]],"DDDD")</f>
        <v>Tuesday</v>
      </c>
      <c r="J416" s="39" t="str" cm="1">
        <f t="array" ref="J416">_xlfn.IFS(Call_Centre_Data[[#This Row],[Duration]]&lt;=10,"Under 10 Mins", Call_Centre_Data[[#This Row],[Duration]]&lt;=30,"10-30 Mins",Call_Centre_Data[[#This Row],[Duration]]&lt;=60,"30-60 Mins",Call_Centre_Data[[#This Row],[Duration]]&lt;=120,"1-2 Hours",TRUE,"More than 2 Hours")</f>
        <v>More than 2 Hours</v>
      </c>
      <c r="K416" s="91">
        <f>ROUND(Call_Centre_Data[[#This Row],[Satisfaction Rating]],0)</f>
        <v>4</v>
      </c>
    </row>
    <row r="417" spans="1:11" x14ac:dyDescent="0.35">
      <c r="A417" s="56" t="s">
        <v>1422</v>
      </c>
      <c r="B417" s="57" t="s">
        <v>1030</v>
      </c>
      <c r="C417" s="87">
        <v>124</v>
      </c>
      <c r="D417" s="57" t="s">
        <v>994</v>
      </c>
      <c r="E417" s="58">
        <v>45041</v>
      </c>
      <c r="F417" s="57">
        <v>132</v>
      </c>
      <c r="G417" s="59">
        <v>4.9000000000000004</v>
      </c>
      <c r="H417" s="57">
        <f>IF(MONTH(Call_Centre_Data[[#This Row],[Date of Call]])&lt;=6,YEAR(Call_Centre_Data[[#This Row],[Date of Call]]),YEAR(Call_Centre_Data[[#This Row],[Date of Call]])+1)</f>
        <v>2023</v>
      </c>
      <c r="I417" s="39" t="str">
        <f>TEXT(Call_Centre_Data[[#This Row],[Date of Call]],"DDDD")</f>
        <v>Tuesday</v>
      </c>
      <c r="J417" s="39" t="str" cm="1">
        <f t="array" ref="J417">_xlfn.IFS(Call_Centre_Data[[#This Row],[Duration]]&lt;=10,"Under 10 Mins", Call_Centre_Data[[#This Row],[Duration]]&lt;=30,"10-30 Mins",Call_Centre_Data[[#This Row],[Duration]]&lt;=60,"30-60 Mins",Call_Centre_Data[[#This Row],[Duration]]&lt;=120,"1-2 Hours",TRUE,"More than 2 Hours")</f>
        <v>More than 2 Hours</v>
      </c>
      <c r="K417" s="91">
        <f>ROUND(Call_Centre_Data[[#This Row],[Satisfaction Rating]],0)</f>
        <v>5</v>
      </c>
    </row>
    <row r="418" spans="1:11" x14ac:dyDescent="0.35">
      <c r="A418" s="56" t="s">
        <v>1423</v>
      </c>
      <c r="B418" s="57" t="s">
        <v>993</v>
      </c>
      <c r="C418" s="87">
        <v>108</v>
      </c>
      <c r="D418" s="57" t="s">
        <v>994</v>
      </c>
      <c r="E418" s="58">
        <v>45041</v>
      </c>
      <c r="F418" s="57">
        <v>180</v>
      </c>
      <c r="G418" s="59">
        <v>3.9</v>
      </c>
      <c r="H418" s="57">
        <f>IF(MONTH(Call_Centre_Data[[#This Row],[Date of Call]])&lt;=6,YEAR(Call_Centre_Data[[#This Row],[Date of Call]]),YEAR(Call_Centre_Data[[#This Row],[Date of Call]])+1)</f>
        <v>2023</v>
      </c>
      <c r="I418" s="39" t="str">
        <f>TEXT(Call_Centre_Data[[#This Row],[Date of Call]],"DDDD")</f>
        <v>Tuesday</v>
      </c>
      <c r="J418" s="39" t="str" cm="1">
        <f t="array" ref="J418">_xlfn.IFS(Call_Centre_Data[[#This Row],[Duration]]&lt;=10,"Under 10 Mins", Call_Centre_Data[[#This Row],[Duration]]&lt;=30,"10-30 Mins",Call_Centre_Data[[#This Row],[Duration]]&lt;=60,"30-60 Mins",Call_Centre_Data[[#This Row],[Duration]]&lt;=120,"1-2 Hours",TRUE,"More than 2 Hours")</f>
        <v>1-2 Hours</v>
      </c>
      <c r="K418" s="91">
        <f>ROUND(Call_Centre_Data[[#This Row],[Satisfaction Rating]],0)</f>
        <v>4</v>
      </c>
    </row>
    <row r="419" spans="1:11" x14ac:dyDescent="0.35">
      <c r="A419" s="56" t="s">
        <v>1424</v>
      </c>
      <c r="B419" s="57" t="s">
        <v>998</v>
      </c>
      <c r="C419" s="87">
        <v>15</v>
      </c>
      <c r="D419" s="57" t="s">
        <v>994</v>
      </c>
      <c r="E419" s="58">
        <v>45041</v>
      </c>
      <c r="F419" s="57">
        <v>31</v>
      </c>
      <c r="G419" s="59">
        <v>4.0999999999999996</v>
      </c>
      <c r="H419" s="57">
        <f>IF(MONTH(Call_Centre_Data[[#This Row],[Date of Call]])&lt;=6,YEAR(Call_Centre_Data[[#This Row],[Date of Call]]),YEAR(Call_Centre_Data[[#This Row],[Date of Call]])+1)</f>
        <v>2023</v>
      </c>
      <c r="I419" s="39" t="str">
        <f>TEXT(Call_Centre_Data[[#This Row],[Date of Call]],"DDDD")</f>
        <v>Tuesday</v>
      </c>
      <c r="J419" s="39" t="str" cm="1">
        <f t="array" ref="J419">_xlfn.IFS(Call_Centre_Data[[#This Row],[Duration]]&lt;=10,"Under 10 Mins", Call_Centre_Data[[#This Row],[Duration]]&lt;=30,"10-30 Mins",Call_Centre_Data[[#This Row],[Duration]]&lt;=60,"30-60 Mins",Call_Centre_Data[[#This Row],[Duration]]&lt;=120,"1-2 Hours",TRUE,"More than 2 Hours")</f>
        <v>10-30 Mins</v>
      </c>
      <c r="K419" s="91">
        <f>ROUND(Call_Centre_Data[[#This Row],[Satisfaction Rating]],0)</f>
        <v>4</v>
      </c>
    </row>
    <row r="420" spans="1:11" x14ac:dyDescent="0.35">
      <c r="A420" s="56" t="s">
        <v>1425</v>
      </c>
      <c r="B420" s="57" t="s">
        <v>993</v>
      </c>
      <c r="C420" s="87">
        <v>66</v>
      </c>
      <c r="D420" s="57" t="s">
        <v>994</v>
      </c>
      <c r="E420" s="58">
        <v>45041</v>
      </c>
      <c r="F420" s="57">
        <v>102</v>
      </c>
      <c r="G420" s="59">
        <v>3.8</v>
      </c>
      <c r="H420" s="57">
        <f>IF(MONTH(Call_Centre_Data[[#This Row],[Date of Call]])&lt;=6,YEAR(Call_Centre_Data[[#This Row],[Date of Call]]),YEAR(Call_Centre_Data[[#This Row],[Date of Call]])+1)</f>
        <v>2023</v>
      </c>
      <c r="I420" s="39" t="str">
        <f>TEXT(Call_Centre_Data[[#This Row],[Date of Call]],"DDDD")</f>
        <v>Tuesday</v>
      </c>
      <c r="J420" s="39" t="str" cm="1">
        <f t="array" ref="J420">_xlfn.IFS(Call_Centre_Data[[#This Row],[Duration]]&lt;=10,"Under 10 Mins", Call_Centre_Data[[#This Row],[Duration]]&lt;=30,"10-30 Mins",Call_Centre_Data[[#This Row],[Duration]]&lt;=60,"30-60 Mins",Call_Centre_Data[[#This Row],[Duration]]&lt;=120,"1-2 Hours",TRUE,"More than 2 Hours")</f>
        <v>1-2 Hours</v>
      </c>
      <c r="K420" s="91">
        <f>ROUND(Call_Centre_Data[[#This Row],[Satisfaction Rating]],0)</f>
        <v>4</v>
      </c>
    </row>
    <row r="421" spans="1:11" x14ac:dyDescent="0.35">
      <c r="A421" s="56" t="s">
        <v>1426</v>
      </c>
      <c r="B421" s="57" t="s">
        <v>1002</v>
      </c>
      <c r="C421" s="87">
        <v>126</v>
      </c>
      <c r="D421" s="57" t="s">
        <v>999</v>
      </c>
      <c r="E421" s="58">
        <v>45042</v>
      </c>
      <c r="F421" s="57">
        <v>175</v>
      </c>
      <c r="G421" s="59">
        <v>4.8</v>
      </c>
      <c r="H421" s="57">
        <f>IF(MONTH(Call_Centre_Data[[#This Row],[Date of Call]])&lt;=6,YEAR(Call_Centre_Data[[#This Row],[Date of Call]]),YEAR(Call_Centre_Data[[#This Row],[Date of Call]])+1)</f>
        <v>2023</v>
      </c>
      <c r="I421" s="39" t="str">
        <f>TEXT(Call_Centre_Data[[#This Row],[Date of Call]],"DDDD")</f>
        <v>Wednesday</v>
      </c>
      <c r="J421" s="39" t="str" cm="1">
        <f t="array" ref="J421">_xlfn.IFS(Call_Centre_Data[[#This Row],[Duration]]&lt;=10,"Under 10 Mins", Call_Centre_Data[[#This Row],[Duration]]&lt;=30,"10-30 Mins",Call_Centre_Data[[#This Row],[Duration]]&lt;=60,"30-60 Mins",Call_Centre_Data[[#This Row],[Duration]]&lt;=120,"1-2 Hours",TRUE,"More than 2 Hours")</f>
        <v>More than 2 Hours</v>
      </c>
      <c r="K421" s="91">
        <f>ROUND(Call_Centre_Data[[#This Row],[Satisfaction Rating]],0)</f>
        <v>5</v>
      </c>
    </row>
    <row r="422" spans="1:11" x14ac:dyDescent="0.35">
      <c r="A422" s="56" t="s">
        <v>1427</v>
      </c>
      <c r="B422" s="57" t="s">
        <v>1030</v>
      </c>
      <c r="C422" s="87">
        <v>26</v>
      </c>
      <c r="D422" s="57" t="s">
        <v>989</v>
      </c>
      <c r="E422" s="58">
        <v>45042</v>
      </c>
      <c r="F422" s="57">
        <v>87</v>
      </c>
      <c r="G422" s="59">
        <v>4.7</v>
      </c>
      <c r="H422" s="57">
        <f>IF(MONTH(Call_Centre_Data[[#This Row],[Date of Call]])&lt;=6,YEAR(Call_Centre_Data[[#This Row],[Date of Call]]),YEAR(Call_Centre_Data[[#This Row],[Date of Call]])+1)</f>
        <v>2023</v>
      </c>
      <c r="I422" s="39" t="str">
        <f>TEXT(Call_Centre_Data[[#This Row],[Date of Call]],"DDDD")</f>
        <v>Wednesday</v>
      </c>
      <c r="J422" s="39" t="str" cm="1">
        <f t="array" ref="J422">_xlfn.IFS(Call_Centre_Data[[#This Row],[Duration]]&lt;=10,"Under 10 Mins", Call_Centre_Data[[#This Row],[Duration]]&lt;=30,"10-30 Mins",Call_Centre_Data[[#This Row],[Duration]]&lt;=60,"30-60 Mins",Call_Centre_Data[[#This Row],[Duration]]&lt;=120,"1-2 Hours",TRUE,"More than 2 Hours")</f>
        <v>10-30 Mins</v>
      </c>
      <c r="K422" s="91">
        <f>ROUND(Call_Centre_Data[[#This Row],[Satisfaction Rating]],0)</f>
        <v>5</v>
      </c>
    </row>
    <row r="423" spans="1:11" x14ac:dyDescent="0.35">
      <c r="A423" s="56" t="s">
        <v>1428</v>
      </c>
      <c r="B423" s="57" t="s">
        <v>1013</v>
      </c>
      <c r="C423" s="87">
        <v>105</v>
      </c>
      <c r="D423" s="57" t="s">
        <v>999</v>
      </c>
      <c r="E423" s="58">
        <v>45042</v>
      </c>
      <c r="F423" s="57">
        <v>66</v>
      </c>
      <c r="G423" s="59">
        <v>4.2</v>
      </c>
      <c r="H423" s="57">
        <f>IF(MONTH(Call_Centre_Data[[#This Row],[Date of Call]])&lt;=6,YEAR(Call_Centre_Data[[#This Row],[Date of Call]]),YEAR(Call_Centre_Data[[#This Row],[Date of Call]])+1)</f>
        <v>2023</v>
      </c>
      <c r="I423" s="39" t="str">
        <f>TEXT(Call_Centre_Data[[#This Row],[Date of Call]],"DDDD")</f>
        <v>Wednesday</v>
      </c>
      <c r="J423" s="39" t="str" cm="1">
        <f t="array" ref="J423">_xlfn.IFS(Call_Centre_Data[[#This Row],[Duration]]&lt;=10,"Under 10 Mins", Call_Centre_Data[[#This Row],[Duration]]&lt;=30,"10-30 Mins",Call_Centre_Data[[#This Row],[Duration]]&lt;=60,"30-60 Mins",Call_Centre_Data[[#This Row],[Duration]]&lt;=120,"1-2 Hours",TRUE,"More than 2 Hours")</f>
        <v>1-2 Hours</v>
      </c>
      <c r="K423" s="91">
        <f>ROUND(Call_Centre_Data[[#This Row],[Satisfaction Rating]],0)</f>
        <v>4</v>
      </c>
    </row>
    <row r="424" spans="1:11" x14ac:dyDescent="0.35">
      <c r="A424" s="56" t="s">
        <v>1429</v>
      </c>
      <c r="B424" s="57" t="s">
        <v>1013</v>
      </c>
      <c r="C424" s="87">
        <v>31</v>
      </c>
      <c r="D424" s="57" t="s">
        <v>999</v>
      </c>
      <c r="E424" s="58">
        <v>45042</v>
      </c>
      <c r="F424" s="57">
        <v>25</v>
      </c>
      <c r="G424" s="59">
        <v>3.2</v>
      </c>
      <c r="H424" s="57">
        <f>IF(MONTH(Call_Centre_Data[[#This Row],[Date of Call]])&lt;=6,YEAR(Call_Centre_Data[[#This Row],[Date of Call]]),YEAR(Call_Centre_Data[[#This Row],[Date of Call]])+1)</f>
        <v>2023</v>
      </c>
      <c r="I424" s="39" t="str">
        <f>TEXT(Call_Centre_Data[[#This Row],[Date of Call]],"DDDD")</f>
        <v>Wednesday</v>
      </c>
      <c r="J424" s="39" t="str" cm="1">
        <f t="array" ref="J424">_xlfn.IFS(Call_Centre_Data[[#This Row],[Duration]]&lt;=10,"Under 10 Mins", Call_Centre_Data[[#This Row],[Duration]]&lt;=30,"10-30 Mins",Call_Centre_Data[[#This Row],[Duration]]&lt;=60,"30-60 Mins",Call_Centre_Data[[#This Row],[Duration]]&lt;=120,"1-2 Hours",TRUE,"More than 2 Hours")</f>
        <v>30-60 Mins</v>
      </c>
      <c r="K424" s="91">
        <f>ROUND(Call_Centre_Data[[#This Row],[Satisfaction Rating]],0)</f>
        <v>3</v>
      </c>
    </row>
    <row r="425" spans="1:11" x14ac:dyDescent="0.35">
      <c r="A425" s="56" t="s">
        <v>1430</v>
      </c>
      <c r="B425" s="57" t="s">
        <v>993</v>
      </c>
      <c r="C425" s="87">
        <v>109</v>
      </c>
      <c r="D425" s="57" t="s">
        <v>994</v>
      </c>
      <c r="E425" s="58">
        <v>45042</v>
      </c>
      <c r="F425" s="57">
        <v>126</v>
      </c>
      <c r="G425" s="59">
        <v>3.4</v>
      </c>
      <c r="H425" s="57">
        <f>IF(MONTH(Call_Centre_Data[[#This Row],[Date of Call]])&lt;=6,YEAR(Call_Centre_Data[[#This Row],[Date of Call]]),YEAR(Call_Centre_Data[[#This Row],[Date of Call]])+1)</f>
        <v>2023</v>
      </c>
      <c r="I425" s="39" t="str">
        <f>TEXT(Call_Centre_Data[[#This Row],[Date of Call]],"DDDD")</f>
        <v>Wednesday</v>
      </c>
      <c r="J425" s="39" t="str" cm="1">
        <f t="array" ref="J425">_xlfn.IFS(Call_Centre_Data[[#This Row],[Duration]]&lt;=10,"Under 10 Mins", Call_Centre_Data[[#This Row],[Duration]]&lt;=30,"10-30 Mins",Call_Centre_Data[[#This Row],[Duration]]&lt;=60,"30-60 Mins",Call_Centre_Data[[#This Row],[Duration]]&lt;=120,"1-2 Hours",TRUE,"More than 2 Hours")</f>
        <v>1-2 Hours</v>
      </c>
      <c r="K425" s="91">
        <f>ROUND(Call_Centre_Data[[#This Row],[Satisfaction Rating]],0)</f>
        <v>3</v>
      </c>
    </row>
    <row r="426" spans="1:11" x14ac:dyDescent="0.35">
      <c r="A426" s="56" t="s">
        <v>1431</v>
      </c>
      <c r="B426" s="57" t="s">
        <v>988</v>
      </c>
      <c r="C426" s="87">
        <v>113</v>
      </c>
      <c r="D426" s="57" t="s">
        <v>1004</v>
      </c>
      <c r="E426" s="58">
        <v>45043</v>
      </c>
      <c r="F426" s="57">
        <v>42</v>
      </c>
      <c r="G426" s="59">
        <v>4.5999999999999996</v>
      </c>
      <c r="H426" s="57">
        <f>IF(MONTH(Call_Centre_Data[[#This Row],[Date of Call]])&lt;=6,YEAR(Call_Centre_Data[[#This Row],[Date of Call]]),YEAR(Call_Centre_Data[[#This Row],[Date of Call]])+1)</f>
        <v>2023</v>
      </c>
      <c r="I426" s="39" t="str">
        <f>TEXT(Call_Centre_Data[[#This Row],[Date of Call]],"DDDD")</f>
        <v>Thursday</v>
      </c>
      <c r="J426" s="39" t="str" cm="1">
        <f t="array" ref="J426">_xlfn.IFS(Call_Centre_Data[[#This Row],[Duration]]&lt;=10,"Under 10 Mins", Call_Centre_Data[[#This Row],[Duration]]&lt;=30,"10-30 Mins",Call_Centre_Data[[#This Row],[Duration]]&lt;=60,"30-60 Mins",Call_Centre_Data[[#This Row],[Duration]]&lt;=120,"1-2 Hours",TRUE,"More than 2 Hours")</f>
        <v>1-2 Hours</v>
      </c>
      <c r="K426" s="91">
        <f>ROUND(Call_Centre_Data[[#This Row],[Satisfaction Rating]],0)</f>
        <v>5</v>
      </c>
    </row>
    <row r="427" spans="1:11" x14ac:dyDescent="0.35">
      <c r="A427" s="56" t="s">
        <v>1432</v>
      </c>
      <c r="B427" s="57" t="s">
        <v>1002</v>
      </c>
      <c r="C427" s="87">
        <v>101</v>
      </c>
      <c r="D427" s="57" t="s">
        <v>989</v>
      </c>
      <c r="E427" s="58">
        <v>45043</v>
      </c>
      <c r="F427" s="57">
        <v>225</v>
      </c>
      <c r="G427" s="59">
        <v>1.9</v>
      </c>
      <c r="H427" s="57">
        <f>IF(MONTH(Call_Centre_Data[[#This Row],[Date of Call]])&lt;=6,YEAR(Call_Centre_Data[[#This Row],[Date of Call]]),YEAR(Call_Centre_Data[[#This Row],[Date of Call]])+1)</f>
        <v>2023</v>
      </c>
      <c r="I427" s="39" t="str">
        <f>TEXT(Call_Centre_Data[[#This Row],[Date of Call]],"DDDD")</f>
        <v>Thursday</v>
      </c>
      <c r="J427" s="39" t="str" cm="1">
        <f t="array" ref="J427">_xlfn.IFS(Call_Centre_Data[[#This Row],[Duration]]&lt;=10,"Under 10 Mins", Call_Centre_Data[[#This Row],[Duration]]&lt;=30,"10-30 Mins",Call_Centre_Data[[#This Row],[Duration]]&lt;=60,"30-60 Mins",Call_Centre_Data[[#This Row],[Duration]]&lt;=120,"1-2 Hours",TRUE,"More than 2 Hours")</f>
        <v>1-2 Hours</v>
      </c>
      <c r="K427" s="91">
        <f>ROUND(Call_Centre_Data[[#This Row],[Satisfaction Rating]],0)</f>
        <v>2</v>
      </c>
    </row>
    <row r="428" spans="1:11" x14ac:dyDescent="0.35">
      <c r="A428" s="56" t="s">
        <v>1433</v>
      </c>
      <c r="B428" s="57" t="s">
        <v>996</v>
      </c>
      <c r="C428" s="87">
        <v>156</v>
      </c>
      <c r="D428" s="57" t="s">
        <v>989</v>
      </c>
      <c r="E428" s="58">
        <v>45043</v>
      </c>
      <c r="F428" s="57">
        <v>42</v>
      </c>
      <c r="G428" s="59">
        <v>3.3</v>
      </c>
      <c r="H428" s="57">
        <f>IF(MONTH(Call_Centre_Data[[#This Row],[Date of Call]])&lt;=6,YEAR(Call_Centre_Data[[#This Row],[Date of Call]]),YEAR(Call_Centre_Data[[#This Row],[Date of Call]])+1)</f>
        <v>2023</v>
      </c>
      <c r="I428" s="39" t="str">
        <f>TEXT(Call_Centre_Data[[#This Row],[Date of Call]],"DDDD")</f>
        <v>Thursday</v>
      </c>
      <c r="J428" s="39" t="str" cm="1">
        <f t="array" ref="J428">_xlfn.IFS(Call_Centre_Data[[#This Row],[Duration]]&lt;=10,"Under 10 Mins", Call_Centre_Data[[#This Row],[Duration]]&lt;=30,"10-30 Mins",Call_Centre_Data[[#This Row],[Duration]]&lt;=60,"30-60 Mins",Call_Centre_Data[[#This Row],[Duration]]&lt;=120,"1-2 Hours",TRUE,"More than 2 Hours")</f>
        <v>More than 2 Hours</v>
      </c>
      <c r="K428" s="91">
        <f>ROUND(Call_Centre_Data[[#This Row],[Satisfaction Rating]],0)</f>
        <v>3</v>
      </c>
    </row>
    <row r="429" spans="1:11" x14ac:dyDescent="0.35">
      <c r="A429" s="56" t="s">
        <v>1434</v>
      </c>
      <c r="B429" s="57" t="s">
        <v>993</v>
      </c>
      <c r="C429" s="87">
        <v>145</v>
      </c>
      <c r="D429" s="57" t="s">
        <v>1004</v>
      </c>
      <c r="E429" s="58">
        <v>45044</v>
      </c>
      <c r="F429" s="57">
        <v>110</v>
      </c>
      <c r="G429" s="59">
        <v>3.1</v>
      </c>
      <c r="H429" s="57">
        <f>IF(MONTH(Call_Centre_Data[[#This Row],[Date of Call]])&lt;=6,YEAR(Call_Centre_Data[[#This Row],[Date of Call]]),YEAR(Call_Centre_Data[[#This Row],[Date of Call]])+1)</f>
        <v>2023</v>
      </c>
      <c r="I429" s="39" t="str">
        <f>TEXT(Call_Centre_Data[[#This Row],[Date of Call]],"DDDD")</f>
        <v>Friday</v>
      </c>
      <c r="J429" s="39" t="str" cm="1">
        <f t="array" ref="J429">_xlfn.IFS(Call_Centre_Data[[#This Row],[Duration]]&lt;=10,"Under 10 Mins", Call_Centre_Data[[#This Row],[Duration]]&lt;=30,"10-30 Mins",Call_Centre_Data[[#This Row],[Duration]]&lt;=60,"30-60 Mins",Call_Centre_Data[[#This Row],[Duration]]&lt;=120,"1-2 Hours",TRUE,"More than 2 Hours")</f>
        <v>More than 2 Hours</v>
      </c>
      <c r="K429" s="91">
        <f>ROUND(Call_Centre_Data[[#This Row],[Satisfaction Rating]],0)</f>
        <v>3</v>
      </c>
    </row>
    <row r="430" spans="1:11" x14ac:dyDescent="0.35">
      <c r="A430" s="56" t="s">
        <v>1435</v>
      </c>
      <c r="B430" s="57" t="s">
        <v>1022</v>
      </c>
      <c r="C430" s="87">
        <v>36</v>
      </c>
      <c r="D430" s="57" t="s">
        <v>994</v>
      </c>
      <c r="E430" s="58">
        <v>45044</v>
      </c>
      <c r="F430" s="57">
        <v>225</v>
      </c>
      <c r="G430" s="59">
        <v>4.8</v>
      </c>
      <c r="H430" s="57">
        <f>IF(MONTH(Call_Centre_Data[[#This Row],[Date of Call]])&lt;=6,YEAR(Call_Centre_Data[[#This Row],[Date of Call]]),YEAR(Call_Centre_Data[[#This Row],[Date of Call]])+1)</f>
        <v>2023</v>
      </c>
      <c r="I430" s="39" t="str">
        <f>TEXT(Call_Centre_Data[[#This Row],[Date of Call]],"DDDD")</f>
        <v>Friday</v>
      </c>
      <c r="J430" s="39" t="str" cm="1">
        <f t="array" ref="J430">_xlfn.IFS(Call_Centre_Data[[#This Row],[Duration]]&lt;=10,"Under 10 Mins", Call_Centre_Data[[#This Row],[Duration]]&lt;=30,"10-30 Mins",Call_Centre_Data[[#This Row],[Duration]]&lt;=60,"30-60 Mins",Call_Centre_Data[[#This Row],[Duration]]&lt;=120,"1-2 Hours",TRUE,"More than 2 Hours")</f>
        <v>30-60 Mins</v>
      </c>
      <c r="K430" s="91">
        <f>ROUND(Call_Centre_Data[[#This Row],[Satisfaction Rating]],0)</f>
        <v>5</v>
      </c>
    </row>
    <row r="431" spans="1:11" x14ac:dyDescent="0.35">
      <c r="A431" s="56" t="s">
        <v>1436</v>
      </c>
      <c r="B431" s="57" t="s">
        <v>1013</v>
      </c>
      <c r="C431" s="87">
        <v>135</v>
      </c>
      <c r="D431" s="57" t="s">
        <v>1008</v>
      </c>
      <c r="E431" s="58">
        <v>45045</v>
      </c>
      <c r="F431" s="57">
        <v>125</v>
      </c>
      <c r="G431" s="59">
        <v>3.3</v>
      </c>
      <c r="H431" s="57">
        <f>IF(MONTH(Call_Centre_Data[[#This Row],[Date of Call]])&lt;=6,YEAR(Call_Centre_Data[[#This Row],[Date of Call]]),YEAR(Call_Centre_Data[[#This Row],[Date of Call]])+1)</f>
        <v>2023</v>
      </c>
      <c r="I431" s="39" t="str">
        <f>TEXT(Call_Centre_Data[[#This Row],[Date of Call]],"DDDD")</f>
        <v>Saturday</v>
      </c>
      <c r="J431" s="39" t="str" cm="1">
        <f t="array" ref="J431">_xlfn.IFS(Call_Centre_Data[[#This Row],[Duration]]&lt;=10,"Under 10 Mins", Call_Centre_Data[[#This Row],[Duration]]&lt;=30,"10-30 Mins",Call_Centre_Data[[#This Row],[Duration]]&lt;=60,"30-60 Mins",Call_Centre_Data[[#This Row],[Duration]]&lt;=120,"1-2 Hours",TRUE,"More than 2 Hours")</f>
        <v>More than 2 Hours</v>
      </c>
      <c r="K431" s="91">
        <f>ROUND(Call_Centre_Data[[#This Row],[Satisfaction Rating]],0)</f>
        <v>3</v>
      </c>
    </row>
    <row r="432" spans="1:11" x14ac:dyDescent="0.35">
      <c r="A432" s="56" t="s">
        <v>1437</v>
      </c>
      <c r="B432" s="57" t="s">
        <v>1002</v>
      </c>
      <c r="C432" s="87">
        <v>81</v>
      </c>
      <c r="D432" s="57" t="s">
        <v>994</v>
      </c>
      <c r="E432" s="58">
        <v>45045</v>
      </c>
      <c r="F432" s="57">
        <v>78</v>
      </c>
      <c r="G432" s="59">
        <v>2.9</v>
      </c>
      <c r="H432" s="57">
        <f>IF(MONTH(Call_Centre_Data[[#This Row],[Date of Call]])&lt;=6,YEAR(Call_Centre_Data[[#This Row],[Date of Call]]),YEAR(Call_Centre_Data[[#This Row],[Date of Call]])+1)</f>
        <v>2023</v>
      </c>
      <c r="I432" s="39" t="str">
        <f>TEXT(Call_Centre_Data[[#This Row],[Date of Call]],"DDDD")</f>
        <v>Saturday</v>
      </c>
      <c r="J432" s="39" t="str" cm="1">
        <f t="array" ref="J432">_xlfn.IFS(Call_Centre_Data[[#This Row],[Duration]]&lt;=10,"Under 10 Mins", Call_Centre_Data[[#This Row],[Duration]]&lt;=30,"10-30 Mins",Call_Centre_Data[[#This Row],[Duration]]&lt;=60,"30-60 Mins",Call_Centre_Data[[#This Row],[Duration]]&lt;=120,"1-2 Hours",TRUE,"More than 2 Hours")</f>
        <v>1-2 Hours</v>
      </c>
      <c r="K432" s="91">
        <f>ROUND(Call_Centre_Data[[#This Row],[Satisfaction Rating]],0)</f>
        <v>3</v>
      </c>
    </row>
    <row r="433" spans="1:11" x14ac:dyDescent="0.35">
      <c r="A433" s="56" t="s">
        <v>1438</v>
      </c>
      <c r="B433" s="57" t="s">
        <v>1002</v>
      </c>
      <c r="C433" s="87">
        <v>81</v>
      </c>
      <c r="D433" s="57" t="s">
        <v>1004</v>
      </c>
      <c r="E433" s="58">
        <v>45045</v>
      </c>
      <c r="F433" s="57">
        <v>40</v>
      </c>
      <c r="G433" s="59">
        <v>2.4</v>
      </c>
      <c r="H433" s="57">
        <f>IF(MONTH(Call_Centre_Data[[#This Row],[Date of Call]])&lt;=6,YEAR(Call_Centre_Data[[#This Row],[Date of Call]]),YEAR(Call_Centre_Data[[#This Row],[Date of Call]])+1)</f>
        <v>2023</v>
      </c>
      <c r="I433" s="39" t="str">
        <f>TEXT(Call_Centre_Data[[#This Row],[Date of Call]],"DDDD")</f>
        <v>Saturday</v>
      </c>
      <c r="J433" s="39" t="str" cm="1">
        <f t="array" ref="J433">_xlfn.IFS(Call_Centre_Data[[#This Row],[Duration]]&lt;=10,"Under 10 Mins", Call_Centre_Data[[#This Row],[Duration]]&lt;=30,"10-30 Mins",Call_Centre_Data[[#This Row],[Duration]]&lt;=60,"30-60 Mins",Call_Centre_Data[[#This Row],[Duration]]&lt;=120,"1-2 Hours",TRUE,"More than 2 Hours")</f>
        <v>1-2 Hours</v>
      </c>
      <c r="K433" s="91">
        <f>ROUND(Call_Centre_Data[[#This Row],[Satisfaction Rating]],0)</f>
        <v>2</v>
      </c>
    </row>
    <row r="434" spans="1:11" x14ac:dyDescent="0.35">
      <c r="A434" s="56" t="s">
        <v>1439</v>
      </c>
      <c r="B434" s="57" t="s">
        <v>1019</v>
      </c>
      <c r="C434" s="87">
        <v>93</v>
      </c>
      <c r="D434" s="57" t="s">
        <v>999</v>
      </c>
      <c r="E434" s="58">
        <v>45045</v>
      </c>
      <c r="F434" s="57">
        <v>150</v>
      </c>
      <c r="G434" s="59">
        <v>4.5999999999999996</v>
      </c>
      <c r="H434" s="57">
        <f>IF(MONTH(Call_Centre_Data[[#This Row],[Date of Call]])&lt;=6,YEAR(Call_Centre_Data[[#This Row],[Date of Call]]),YEAR(Call_Centre_Data[[#This Row],[Date of Call]])+1)</f>
        <v>2023</v>
      </c>
      <c r="I434" s="39" t="str">
        <f>TEXT(Call_Centre_Data[[#This Row],[Date of Call]],"DDDD")</f>
        <v>Saturday</v>
      </c>
      <c r="J434" s="39" t="str" cm="1">
        <f t="array" ref="J434">_xlfn.IFS(Call_Centre_Data[[#This Row],[Duration]]&lt;=10,"Under 10 Mins", Call_Centre_Data[[#This Row],[Duration]]&lt;=30,"10-30 Mins",Call_Centre_Data[[#This Row],[Duration]]&lt;=60,"30-60 Mins",Call_Centre_Data[[#This Row],[Duration]]&lt;=120,"1-2 Hours",TRUE,"More than 2 Hours")</f>
        <v>1-2 Hours</v>
      </c>
      <c r="K434" s="91">
        <f>ROUND(Call_Centre_Data[[#This Row],[Satisfaction Rating]],0)</f>
        <v>5</v>
      </c>
    </row>
    <row r="435" spans="1:11" x14ac:dyDescent="0.35">
      <c r="A435" s="56" t="s">
        <v>1440</v>
      </c>
      <c r="B435" s="57" t="s">
        <v>993</v>
      </c>
      <c r="C435" s="87">
        <v>14</v>
      </c>
      <c r="D435" s="57" t="s">
        <v>994</v>
      </c>
      <c r="E435" s="58">
        <v>45045</v>
      </c>
      <c r="F435" s="57">
        <v>96</v>
      </c>
      <c r="G435" s="59">
        <v>4.8</v>
      </c>
      <c r="H435" s="57">
        <f>IF(MONTH(Call_Centre_Data[[#This Row],[Date of Call]])&lt;=6,YEAR(Call_Centre_Data[[#This Row],[Date of Call]]),YEAR(Call_Centre_Data[[#This Row],[Date of Call]])+1)</f>
        <v>2023</v>
      </c>
      <c r="I435" s="39" t="str">
        <f>TEXT(Call_Centre_Data[[#This Row],[Date of Call]],"DDDD")</f>
        <v>Saturday</v>
      </c>
      <c r="J435" s="39" t="str" cm="1">
        <f t="array" ref="J435">_xlfn.IFS(Call_Centre_Data[[#This Row],[Duration]]&lt;=10,"Under 10 Mins", Call_Centre_Data[[#This Row],[Duration]]&lt;=30,"10-30 Mins",Call_Centre_Data[[#This Row],[Duration]]&lt;=60,"30-60 Mins",Call_Centre_Data[[#This Row],[Duration]]&lt;=120,"1-2 Hours",TRUE,"More than 2 Hours")</f>
        <v>10-30 Mins</v>
      </c>
      <c r="K435" s="91">
        <f>ROUND(Call_Centre_Data[[#This Row],[Satisfaction Rating]],0)</f>
        <v>5</v>
      </c>
    </row>
    <row r="436" spans="1:11" x14ac:dyDescent="0.35">
      <c r="A436" s="56" t="s">
        <v>1441</v>
      </c>
      <c r="B436" s="57" t="s">
        <v>1013</v>
      </c>
      <c r="C436" s="87">
        <v>95</v>
      </c>
      <c r="D436" s="57" t="s">
        <v>1004</v>
      </c>
      <c r="E436" s="58">
        <v>45046</v>
      </c>
      <c r="F436" s="57">
        <v>75</v>
      </c>
      <c r="G436" s="59">
        <v>4.8</v>
      </c>
      <c r="H436" s="57">
        <f>IF(MONTH(Call_Centre_Data[[#This Row],[Date of Call]])&lt;=6,YEAR(Call_Centre_Data[[#This Row],[Date of Call]]),YEAR(Call_Centre_Data[[#This Row],[Date of Call]])+1)</f>
        <v>2023</v>
      </c>
      <c r="I436" s="39" t="str">
        <f>TEXT(Call_Centre_Data[[#This Row],[Date of Call]],"DDDD")</f>
        <v>Sunday</v>
      </c>
      <c r="J436" s="39" t="str" cm="1">
        <f t="array" ref="J436">_xlfn.IFS(Call_Centre_Data[[#This Row],[Duration]]&lt;=10,"Under 10 Mins", Call_Centre_Data[[#This Row],[Duration]]&lt;=30,"10-30 Mins",Call_Centre_Data[[#This Row],[Duration]]&lt;=60,"30-60 Mins",Call_Centre_Data[[#This Row],[Duration]]&lt;=120,"1-2 Hours",TRUE,"More than 2 Hours")</f>
        <v>1-2 Hours</v>
      </c>
      <c r="K436" s="91">
        <f>ROUND(Call_Centre_Data[[#This Row],[Satisfaction Rating]],0)</f>
        <v>5</v>
      </c>
    </row>
    <row r="437" spans="1:11" x14ac:dyDescent="0.35">
      <c r="A437" s="56" t="s">
        <v>1442</v>
      </c>
      <c r="B437" s="57" t="s">
        <v>1019</v>
      </c>
      <c r="C437" s="87">
        <v>81</v>
      </c>
      <c r="D437" s="57" t="s">
        <v>1004</v>
      </c>
      <c r="E437" s="58">
        <v>45046</v>
      </c>
      <c r="F437" s="57">
        <v>60</v>
      </c>
      <c r="G437" s="59">
        <v>3.6</v>
      </c>
      <c r="H437" s="57">
        <f>IF(MONTH(Call_Centre_Data[[#This Row],[Date of Call]])&lt;=6,YEAR(Call_Centre_Data[[#This Row],[Date of Call]]),YEAR(Call_Centre_Data[[#This Row],[Date of Call]])+1)</f>
        <v>2023</v>
      </c>
      <c r="I437" s="39" t="str">
        <f>TEXT(Call_Centre_Data[[#This Row],[Date of Call]],"DDDD")</f>
        <v>Sunday</v>
      </c>
      <c r="J437" s="39" t="str" cm="1">
        <f t="array" ref="J437">_xlfn.IFS(Call_Centre_Data[[#This Row],[Duration]]&lt;=10,"Under 10 Mins", Call_Centre_Data[[#This Row],[Duration]]&lt;=30,"10-30 Mins",Call_Centre_Data[[#This Row],[Duration]]&lt;=60,"30-60 Mins",Call_Centre_Data[[#This Row],[Duration]]&lt;=120,"1-2 Hours",TRUE,"More than 2 Hours")</f>
        <v>1-2 Hours</v>
      </c>
      <c r="K437" s="91">
        <f>ROUND(Call_Centre_Data[[#This Row],[Satisfaction Rating]],0)</f>
        <v>4</v>
      </c>
    </row>
    <row r="438" spans="1:11" x14ac:dyDescent="0.35">
      <c r="A438" s="56" t="s">
        <v>1443</v>
      </c>
      <c r="B438" s="57" t="s">
        <v>1060</v>
      </c>
      <c r="C438" s="87">
        <v>60</v>
      </c>
      <c r="D438" s="57" t="s">
        <v>994</v>
      </c>
      <c r="E438" s="58">
        <v>45047</v>
      </c>
      <c r="F438" s="57">
        <v>41</v>
      </c>
      <c r="G438" s="59">
        <v>4.8</v>
      </c>
      <c r="H438" s="57">
        <f>IF(MONTH(Call_Centre_Data[[#This Row],[Date of Call]])&lt;=6,YEAR(Call_Centre_Data[[#This Row],[Date of Call]]),YEAR(Call_Centre_Data[[#This Row],[Date of Call]])+1)</f>
        <v>2023</v>
      </c>
      <c r="I438" s="39" t="str">
        <f>TEXT(Call_Centre_Data[[#This Row],[Date of Call]],"DDDD")</f>
        <v>Monday</v>
      </c>
      <c r="J438" s="39" t="str" cm="1">
        <f t="array" ref="J438">_xlfn.IFS(Call_Centre_Data[[#This Row],[Duration]]&lt;=10,"Under 10 Mins", Call_Centre_Data[[#This Row],[Duration]]&lt;=30,"10-30 Mins",Call_Centre_Data[[#This Row],[Duration]]&lt;=60,"30-60 Mins",Call_Centre_Data[[#This Row],[Duration]]&lt;=120,"1-2 Hours",TRUE,"More than 2 Hours")</f>
        <v>30-60 Mins</v>
      </c>
      <c r="K438" s="91">
        <f>ROUND(Call_Centre_Data[[#This Row],[Satisfaction Rating]],0)</f>
        <v>5</v>
      </c>
    </row>
    <row r="439" spans="1:11" x14ac:dyDescent="0.35">
      <c r="A439" s="56" t="s">
        <v>1444</v>
      </c>
      <c r="B439" s="57" t="s">
        <v>1011</v>
      </c>
      <c r="C439" s="87">
        <v>137</v>
      </c>
      <c r="D439" s="57" t="s">
        <v>999</v>
      </c>
      <c r="E439" s="58">
        <v>45047</v>
      </c>
      <c r="F439" s="57">
        <v>20</v>
      </c>
      <c r="G439" s="59">
        <v>4.2</v>
      </c>
      <c r="H439" s="57">
        <f>IF(MONTH(Call_Centre_Data[[#This Row],[Date of Call]])&lt;=6,YEAR(Call_Centre_Data[[#This Row],[Date of Call]]),YEAR(Call_Centre_Data[[#This Row],[Date of Call]])+1)</f>
        <v>2023</v>
      </c>
      <c r="I439" s="39" t="str">
        <f>TEXT(Call_Centre_Data[[#This Row],[Date of Call]],"DDDD")</f>
        <v>Monday</v>
      </c>
      <c r="J439" s="39" t="str" cm="1">
        <f t="array" ref="J439">_xlfn.IFS(Call_Centre_Data[[#This Row],[Duration]]&lt;=10,"Under 10 Mins", Call_Centre_Data[[#This Row],[Duration]]&lt;=30,"10-30 Mins",Call_Centre_Data[[#This Row],[Duration]]&lt;=60,"30-60 Mins",Call_Centre_Data[[#This Row],[Duration]]&lt;=120,"1-2 Hours",TRUE,"More than 2 Hours")</f>
        <v>More than 2 Hours</v>
      </c>
      <c r="K439" s="91">
        <f>ROUND(Call_Centre_Data[[#This Row],[Satisfaction Rating]],0)</f>
        <v>4</v>
      </c>
    </row>
    <row r="440" spans="1:11" x14ac:dyDescent="0.35">
      <c r="A440" s="56" t="s">
        <v>1445</v>
      </c>
      <c r="B440" s="57" t="s">
        <v>991</v>
      </c>
      <c r="C440" s="87">
        <v>112</v>
      </c>
      <c r="D440" s="57" t="s">
        <v>1008</v>
      </c>
      <c r="E440" s="58">
        <v>45047</v>
      </c>
      <c r="F440" s="57">
        <v>84</v>
      </c>
      <c r="G440" s="59">
        <v>2.6</v>
      </c>
      <c r="H440" s="57">
        <f>IF(MONTH(Call_Centre_Data[[#This Row],[Date of Call]])&lt;=6,YEAR(Call_Centre_Data[[#This Row],[Date of Call]]),YEAR(Call_Centre_Data[[#This Row],[Date of Call]])+1)</f>
        <v>2023</v>
      </c>
      <c r="I440" s="39" t="str">
        <f>TEXT(Call_Centre_Data[[#This Row],[Date of Call]],"DDDD")</f>
        <v>Monday</v>
      </c>
      <c r="J440" s="39" t="str" cm="1">
        <f t="array" ref="J440">_xlfn.IFS(Call_Centre_Data[[#This Row],[Duration]]&lt;=10,"Under 10 Mins", Call_Centre_Data[[#This Row],[Duration]]&lt;=30,"10-30 Mins",Call_Centre_Data[[#This Row],[Duration]]&lt;=60,"30-60 Mins",Call_Centre_Data[[#This Row],[Duration]]&lt;=120,"1-2 Hours",TRUE,"More than 2 Hours")</f>
        <v>1-2 Hours</v>
      </c>
      <c r="K440" s="91">
        <f>ROUND(Call_Centre_Data[[#This Row],[Satisfaction Rating]],0)</f>
        <v>3</v>
      </c>
    </row>
    <row r="441" spans="1:11" x14ac:dyDescent="0.35">
      <c r="A441" s="56" t="s">
        <v>1446</v>
      </c>
      <c r="B441" s="57" t="s">
        <v>1013</v>
      </c>
      <c r="C441" s="87">
        <v>76</v>
      </c>
      <c r="D441" s="57" t="s">
        <v>989</v>
      </c>
      <c r="E441" s="58">
        <v>45047</v>
      </c>
      <c r="F441" s="57">
        <v>140</v>
      </c>
      <c r="G441" s="59">
        <v>3.7</v>
      </c>
      <c r="H441" s="57">
        <f>IF(MONTH(Call_Centre_Data[[#This Row],[Date of Call]])&lt;=6,YEAR(Call_Centre_Data[[#This Row],[Date of Call]]),YEAR(Call_Centre_Data[[#This Row],[Date of Call]])+1)</f>
        <v>2023</v>
      </c>
      <c r="I441" s="39" t="str">
        <f>TEXT(Call_Centre_Data[[#This Row],[Date of Call]],"DDDD")</f>
        <v>Monday</v>
      </c>
      <c r="J441" s="39" t="str" cm="1">
        <f t="array" ref="J441">_xlfn.IFS(Call_Centre_Data[[#This Row],[Duration]]&lt;=10,"Under 10 Mins", Call_Centre_Data[[#This Row],[Duration]]&lt;=30,"10-30 Mins",Call_Centre_Data[[#This Row],[Duration]]&lt;=60,"30-60 Mins",Call_Centre_Data[[#This Row],[Duration]]&lt;=120,"1-2 Hours",TRUE,"More than 2 Hours")</f>
        <v>1-2 Hours</v>
      </c>
      <c r="K441" s="91">
        <f>ROUND(Call_Centre_Data[[#This Row],[Satisfaction Rating]],0)</f>
        <v>4</v>
      </c>
    </row>
    <row r="442" spans="1:11" x14ac:dyDescent="0.35">
      <c r="A442" s="56" t="s">
        <v>1447</v>
      </c>
      <c r="B442" s="57" t="s">
        <v>1027</v>
      </c>
      <c r="C442" s="87">
        <v>73</v>
      </c>
      <c r="D442" s="57" t="s">
        <v>994</v>
      </c>
      <c r="E442" s="58">
        <v>45047</v>
      </c>
      <c r="F442" s="57">
        <v>66</v>
      </c>
      <c r="G442" s="59">
        <v>4.8</v>
      </c>
      <c r="H442" s="57">
        <f>IF(MONTH(Call_Centre_Data[[#This Row],[Date of Call]])&lt;=6,YEAR(Call_Centre_Data[[#This Row],[Date of Call]]),YEAR(Call_Centre_Data[[#This Row],[Date of Call]])+1)</f>
        <v>2023</v>
      </c>
      <c r="I442" s="39" t="str">
        <f>TEXT(Call_Centre_Data[[#This Row],[Date of Call]],"DDDD")</f>
        <v>Monday</v>
      </c>
      <c r="J442" s="39" t="str" cm="1">
        <f t="array" ref="J442">_xlfn.IFS(Call_Centre_Data[[#This Row],[Duration]]&lt;=10,"Under 10 Mins", Call_Centre_Data[[#This Row],[Duration]]&lt;=30,"10-30 Mins",Call_Centre_Data[[#This Row],[Duration]]&lt;=60,"30-60 Mins",Call_Centre_Data[[#This Row],[Duration]]&lt;=120,"1-2 Hours",TRUE,"More than 2 Hours")</f>
        <v>1-2 Hours</v>
      </c>
      <c r="K442" s="91">
        <f>ROUND(Call_Centre_Data[[#This Row],[Satisfaction Rating]],0)</f>
        <v>5</v>
      </c>
    </row>
    <row r="443" spans="1:11" x14ac:dyDescent="0.35">
      <c r="A443" s="56" t="s">
        <v>1448</v>
      </c>
      <c r="B443" s="57" t="s">
        <v>1007</v>
      </c>
      <c r="C443" s="87">
        <v>119</v>
      </c>
      <c r="D443" s="57" t="s">
        <v>999</v>
      </c>
      <c r="E443" s="58">
        <v>45047</v>
      </c>
      <c r="F443" s="57">
        <v>105</v>
      </c>
      <c r="G443" s="59">
        <v>4.7</v>
      </c>
      <c r="H443" s="57">
        <f>IF(MONTH(Call_Centre_Data[[#This Row],[Date of Call]])&lt;=6,YEAR(Call_Centre_Data[[#This Row],[Date of Call]]),YEAR(Call_Centre_Data[[#This Row],[Date of Call]])+1)</f>
        <v>2023</v>
      </c>
      <c r="I443" s="39" t="str">
        <f>TEXT(Call_Centre_Data[[#This Row],[Date of Call]],"DDDD")</f>
        <v>Monday</v>
      </c>
      <c r="J443" s="39" t="str" cm="1">
        <f t="array" ref="J443">_xlfn.IFS(Call_Centre_Data[[#This Row],[Duration]]&lt;=10,"Under 10 Mins", Call_Centre_Data[[#This Row],[Duration]]&lt;=30,"10-30 Mins",Call_Centre_Data[[#This Row],[Duration]]&lt;=60,"30-60 Mins",Call_Centre_Data[[#This Row],[Duration]]&lt;=120,"1-2 Hours",TRUE,"More than 2 Hours")</f>
        <v>1-2 Hours</v>
      </c>
      <c r="K443" s="91">
        <f>ROUND(Call_Centre_Data[[#This Row],[Satisfaction Rating]],0)</f>
        <v>5</v>
      </c>
    </row>
    <row r="444" spans="1:11" x14ac:dyDescent="0.35">
      <c r="A444" s="56" t="s">
        <v>1449</v>
      </c>
      <c r="B444" s="57" t="s">
        <v>988</v>
      </c>
      <c r="C444" s="87">
        <v>135</v>
      </c>
      <c r="D444" s="57" t="s">
        <v>1004</v>
      </c>
      <c r="E444" s="58">
        <v>45048</v>
      </c>
      <c r="F444" s="57">
        <v>104</v>
      </c>
      <c r="G444" s="59">
        <v>4.0999999999999996</v>
      </c>
      <c r="H444" s="57">
        <f>IF(MONTH(Call_Centre_Data[[#This Row],[Date of Call]])&lt;=6,YEAR(Call_Centre_Data[[#This Row],[Date of Call]]),YEAR(Call_Centre_Data[[#This Row],[Date of Call]])+1)</f>
        <v>2023</v>
      </c>
      <c r="I444" s="39" t="str">
        <f>TEXT(Call_Centre_Data[[#This Row],[Date of Call]],"DDDD")</f>
        <v>Tuesday</v>
      </c>
      <c r="J444" s="39" t="str" cm="1">
        <f t="array" ref="J444">_xlfn.IFS(Call_Centre_Data[[#This Row],[Duration]]&lt;=10,"Under 10 Mins", Call_Centre_Data[[#This Row],[Duration]]&lt;=30,"10-30 Mins",Call_Centre_Data[[#This Row],[Duration]]&lt;=60,"30-60 Mins",Call_Centre_Data[[#This Row],[Duration]]&lt;=120,"1-2 Hours",TRUE,"More than 2 Hours")</f>
        <v>More than 2 Hours</v>
      </c>
      <c r="K444" s="91">
        <f>ROUND(Call_Centre_Data[[#This Row],[Satisfaction Rating]],0)</f>
        <v>4</v>
      </c>
    </row>
    <row r="445" spans="1:11" x14ac:dyDescent="0.35">
      <c r="A445" s="56" t="s">
        <v>1450</v>
      </c>
      <c r="B445" s="57" t="s">
        <v>1011</v>
      </c>
      <c r="C445" s="87">
        <v>41</v>
      </c>
      <c r="D445" s="57" t="s">
        <v>1008</v>
      </c>
      <c r="E445" s="58">
        <v>45048</v>
      </c>
      <c r="F445" s="57">
        <v>123</v>
      </c>
      <c r="G445" s="59">
        <v>3.2</v>
      </c>
      <c r="H445" s="57">
        <f>IF(MONTH(Call_Centre_Data[[#This Row],[Date of Call]])&lt;=6,YEAR(Call_Centre_Data[[#This Row],[Date of Call]]),YEAR(Call_Centre_Data[[#This Row],[Date of Call]])+1)</f>
        <v>2023</v>
      </c>
      <c r="I445" s="39" t="str">
        <f>TEXT(Call_Centre_Data[[#This Row],[Date of Call]],"DDDD")</f>
        <v>Tuesday</v>
      </c>
      <c r="J445" s="39" t="str" cm="1">
        <f t="array" ref="J445">_xlfn.IFS(Call_Centre_Data[[#This Row],[Duration]]&lt;=10,"Under 10 Mins", Call_Centre_Data[[#This Row],[Duration]]&lt;=30,"10-30 Mins",Call_Centre_Data[[#This Row],[Duration]]&lt;=60,"30-60 Mins",Call_Centre_Data[[#This Row],[Duration]]&lt;=120,"1-2 Hours",TRUE,"More than 2 Hours")</f>
        <v>30-60 Mins</v>
      </c>
      <c r="K445" s="91">
        <f>ROUND(Call_Centre_Data[[#This Row],[Satisfaction Rating]],0)</f>
        <v>3</v>
      </c>
    </row>
    <row r="446" spans="1:11" x14ac:dyDescent="0.35">
      <c r="A446" s="56" t="s">
        <v>1451</v>
      </c>
      <c r="B446" s="57" t="s">
        <v>993</v>
      </c>
      <c r="C446" s="87">
        <v>35</v>
      </c>
      <c r="D446" s="57" t="s">
        <v>1004</v>
      </c>
      <c r="E446" s="58">
        <v>45049</v>
      </c>
      <c r="F446" s="57">
        <v>215</v>
      </c>
      <c r="G446" s="59">
        <v>4.3</v>
      </c>
      <c r="H446" s="57">
        <f>IF(MONTH(Call_Centre_Data[[#This Row],[Date of Call]])&lt;=6,YEAR(Call_Centre_Data[[#This Row],[Date of Call]]),YEAR(Call_Centre_Data[[#This Row],[Date of Call]])+1)</f>
        <v>2023</v>
      </c>
      <c r="I446" s="39" t="str">
        <f>TEXT(Call_Centre_Data[[#This Row],[Date of Call]],"DDDD")</f>
        <v>Wednesday</v>
      </c>
      <c r="J446" s="39" t="str" cm="1">
        <f t="array" ref="J446">_xlfn.IFS(Call_Centre_Data[[#This Row],[Duration]]&lt;=10,"Under 10 Mins", Call_Centre_Data[[#This Row],[Duration]]&lt;=30,"10-30 Mins",Call_Centre_Data[[#This Row],[Duration]]&lt;=60,"30-60 Mins",Call_Centre_Data[[#This Row],[Duration]]&lt;=120,"1-2 Hours",TRUE,"More than 2 Hours")</f>
        <v>30-60 Mins</v>
      </c>
      <c r="K446" s="91">
        <f>ROUND(Call_Centre_Data[[#This Row],[Satisfaction Rating]],0)</f>
        <v>4</v>
      </c>
    </row>
    <row r="447" spans="1:11" x14ac:dyDescent="0.35">
      <c r="A447" s="56" t="s">
        <v>1452</v>
      </c>
      <c r="B447" s="57" t="s">
        <v>988</v>
      </c>
      <c r="C447" s="87">
        <v>96</v>
      </c>
      <c r="D447" s="57" t="s">
        <v>994</v>
      </c>
      <c r="E447" s="58">
        <v>45049</v>
      </c>
      <c r="F447" s="57">
        <v>46</v>
      </c>
      <c r="G447" s="59">
        <v>0.7</v>
      </c>
      <c r="H447" s="57">
        <f>IF(MONTH(Call_Centre_Data[[#This Row],[Date of Call]])&lt;=6,YEAR(Call_Centre_Data[[#This Row],[Date of Call]]),YEAR(Call_Centre_Data[[#This Row],[Date of Call]])+1)</f>
        <v>2023</v>
      </c>
      <c r="I447" s="39" t="str">
        <f>TEXT(Call_Centre_Data[[#This Row],[Date of Call]],"DDDD")</f>
        <v>Wednesday</v>
      </c>
      <c r="J447" s="39" t="str" cm="1">
        <f t="array" ref="J447">_xlfn.IFS(Call_Centre_Data[[#This Row],[Duration]]&lt;=10,"Under 10 Mins", Call_Centre_Data[[#This Row],[Duration]]&lt;=30,"10-30 Mins",Call_Centre_Data[[#This Row],[Duration]]&lt;=60,"30-60 Mins",Call_Centre_Data[[#This Row],[Duration]]&lt;=120,"1-2 Hours",TRUE,"More than 2 Hours")</f>
        <v>1-2 Hours</v>
      </c>
      <c r="K447" s="91">
        <f>ROUND(Call_Centre_Data[[#This Row],[Satisfaction Rating]],0)</f>
        <v>1</v>
      </c>
    </row>
    <row r="448" spans="1:11" x14ac:dyDescent="0.35">
      <c r="A448" s="56" t="s">
        <v>1453</v>
      </c>
      <c r="B448" s="57" t="s">
        <v>1019</v>
      </c>
      <c r="C448" s="87">
        <v>61</v>
      </c>
      <c r="D448" s="57" t="s">
        <v>1008</v>
      </c>
      <c r="E448" s="58">
        <v>45049</v>
      </c>
      <c r="F448" s="57">
        <v>115</v>
      </c>
      <c r="G448" s="59">
        <v>3.7</v>
      </c>
      <c r="H448" s="57">
        <f>IF(MONTH(Call_Centre_Data[[#This Row],[Date of Call]])&lt;=6,YEAR(Call_Centre_Data[[#This Row],[Date of Call]]),YEAR(Call_Centre_Data[[#This Row],[Date of Call]])+1)</f>
        <v>2023</v>
      </c>
      <c r="I448" s="39" t="str">
        <f>TEXT(Call_Centre_Data[[#This Row],[Date of Call]],"DDDD")</f>
        <v>Wednesday</v>
      </c>
      <c r="J448" s="39" t="str" cm="1">
        <f t="array" ref="J448">_xlfn.IFS(Call_Centre_Data[[#This Row],[Duration]]&lt;=10,"Under 10 Mins", Call_Centre_Data[[#This Row],[Duration]]&lt;=30,"10-30 Mins",Call_Centre_Data[[#This Row],[Duration]]&lt;=60,"30-60 Mins",Call_Centre_Data[[#This Row],[Duration]]&lt;=120,"1-2 Hours",TRUE,"More than 2 Hours")</f>
        <v>1-2 Hours</v>
      </c>
      <c r="K448" s="91">
        <f>ROUND(Call_Centre_Data[[#This Row],[Satisfaction Rating]],0)</f>
        <v>4</v>
      </c>
    </row>
    <row r="449" spans="1:11" x14ac:dyDescent="0.35">
      <c r="A449" s="56" t="s">
        <v>1454</v>
      </c>
      <c r="B449" s="57" t="s">
        <v>988</v>
      </c>
      <c r="C449" s="87">
        <v>91</v>
      </c>
      <c r="D449" s="57" t="s">
        <v>1008</v>
      </c>
      <c r="E449" s="58">
        <v>45049</v>
      </c>
      <c r="F449" s="57">
        <v>124</v>
      </c>
      <c r="G449" s="59">
        <v>3.9</v>
      </c>
      <c r="H449" s="57">
        <f>IF(MONTH(Call_Centre_Data[[#This Row],[Date of Call]])&lt;=6,YEAR(Call_Centre_Data[[#This Row],[Date of Call]]),YEAR(Call_Centre_Data[[#This Row],[Date of Call]])+1)</f>
        <v>2023</v>
      </c>
      <c r="I449" s="39" t="str">
        <f>TEXT(Call_Centre_Data[[#This Row],[Date of Call]],"DDDD")</f>
        <v>Wednesday</v>
      </c>
      <c r="J449" s="39" t="str" cm="1">
        <f t="array" ref="J449">_xlfn.IFS(Call_Centre_Data[[#This Row],[Duration]]&lt;=10,"Under 10 Mins", Call_Centre_Data[[#This Row],[Duration]]&lt;=30,"10-30 Mins",Call_Centre_Data[[#This Row],[Duration]]&lt;=60,"30-60 Mins",Call_Centre_Data[[#This Row],[Duration]]&lt;=120,"1-2 Hours",TRUE,"More than 2 Hours")</f>
        <v>1-2 Hours</v>
      </c>
      <c r="K449" s="91">
        <f>ROUND(Call_Centre_Data[[#This Row],[Satisfaction Rating]],0)</f>
        <v>4</v>
      </c>
    </row>
    <row r="450" spans="1:11" x14ac:dyDescent="0.35">
      <c r="A450" s="56" t="s">
        <v>1455</v>
      </c>
      <c r="B450" s="57" t="s">
        <v>1040</v>
      </c>
      <c r="C450" s="87">
        <v>30</v>
      </c>
      <c r="D450" s="57" t="s">
        <v>1008</v>
      </c>
      <c r="E450" s="58">
        <v>45050</v>
      </c>
      <c r="F450" s="57">
        <v>205</v>
      </c>
      <c r="G450" s="59">
        <v>4.5</v>
      </c>
      <c r="H450" s="57">
        <f>IF(MONTH(Call_Centre_Data[[#This Row],[Date of Call]])&lt;=6,YEAR(Call_Centre_Data[[#This Row],[Date of Call]]),YEAR(Call_Centre_Data[[#This Row],[Date of Call]])+1)</f>
        <v>2023</v>
      </c>
      <c r="I450" s="39" t="str">
        <f>TEXT(Call_Centre_Data[[#This Row],[Date of Call]],"DDDD")</f>
        <v>Thursday</v>
      </c>
      <c r="J450" s="39" t="str" cm="1">
        <f t="array" ref="J450">_xlfn.IFS(Call_Centre_Data[[#This Row],[Duration]]&lt;=10,"Under 10 Mins", Call_Centre_Data[[#This Row],[Duration]]&lt;=30,"10-30 Mins",Call_Centre_Data[[#This Row],[Duration]]&lt;=60,"30-60 Mins",Call_Centre_Data[[#This Row],[Duration]]&lt;=120,"1-2 Hours",TRUE,"More than 2 Hours")</f>
        <v>10-30 Mins</v>
      </c>
      <c r="K450" s="91">
        <f>ROUND(Call_Centre_Data[[#This Row],[Satisfaction Rating]],0)</f>
        <v>5</v>
      </c>
    </row>
    <row r="451" spans="1:11" x14ac:dyDescent="0.35">
      <c r="A451" s="56" t="s">
        <v>1456</v>
      </c>
      <c r="B451" s="57" t="s">
        <v>1060</v>
      </c>
      <c r="C451" s="87">
        <v>111</v>
      </c>
      <c r="D451" s="57" t="s">
        <v>999</v>
      </c>
      <c r="E451" s="58">
        <v>45050</v>
      </c>
      <c r="F451" s="57">
        <v>90</v>
      </c>
      <c r="G451" s="59">
        <v>2.8</v>
      </c>
      <c r="H451" s="57">
        <f>IF(MONTH(Call_Centre_Data[[#This Row],[Date of Call]])&lt;=6,YEAR(Call_Centre_Data[[#This Row],[Date of Call]]),YEAR(Call_Centre_Data[[#This Row],[Date of Call]])+1)</f>
        <v>2023</v>
      </c>
      <c r="I451" s="39" t="str">
        <f>TEXT(Call_Centre_Data[[#This Row],[Date of Call]],"DDDD")</f>
        <v>Thursday</v>
      </c>
      <c r="J451" s="39" t="str" cm="1">
        <f t="array" ref="J451">_xlfn.IFS(Call_Centre_Data[[#This Row],[Duration]]&lt;=10,"Under 10 Mins", Call_Centre_Data[[#This Row],[Duration]]&lt;=30,"10-30 Mins",Call_Centre_Data[[#This Row],[Duration]]&lt;=60,"30-60 Mins",Call_Centre_Data[[#This Row],[Duration]]&lt;=120,"1-2 Hours",TRUE,"More than 2 Hours")</f>
        <v>1-2 Hours</v>
      </c>
      <c r="K451" s="91">
        <f>ROUND(Call_Centre_Data[[#This Row],[Satisfaction Rating]],0)</f>
        <v>3</v>
      </c>
    </row>
    <row r="452" spans="1:11" x14ac:dyDescent="0.35">
      <c r="A452" s="56" t="s">
        <v>1457</v>
      </c>
      <c r="B452" s="57" t="s">
        <v>1019</v>
      </c>
      <c r="C452" s="87">
        <v>81</v>
      </c>
      <c r="D452" s="57" t="s">
        <v>994</v>
      </c>
      <c r="E452" s="58">
        <v>45050</v>
      </c>
      <c r="F452" s="57">
        <v>92</v>
      </c>
      <c r="G452" s="59">
        <v>4.9000000000000004</v>
      </c>
      <c r="H452" s="57">
        <f>IF(MONTH(Call_Centre_Data[[#This Row],[Date of Call]])&lt;=6,YEAR(Call_Centre_Data[[#This Row],[Date of Call]]),YEAR(Call_Centre_Data[[#This Row],[Date of Call]])+1)</f>
        <v>2023</v>
      </c>
      <c r="I452" s="39" t="str">
        <f>TEXT(Call_Centre_Data[[#This Row],[Date of Call]],"DDDD")</f>
        <v>Thursday</v>
      </c>
      <c r="J452" s="39" t="str" cm="1">
        <f t="array" ref="J452">_xlfn.IFS(Call_Centre_Data[[#This Row],[Duration]]&lt;=10,"Under 10 Mins", Call_Centre_Data[[#This Row],[Duration]]&lt;=30,"10-30 Mins",Call_Centre_Data[[#This Row],[Duration]]&lt;=60,"30-60 Mins",Call_Centre_Data[[#This Row],[Duration]]&lt;=120,"1-2 Hours",TRUE,"More than 2 Hours")</f>
        <v>1-2 Hours</v>
      </c>
      <c r="K452" s="91">
        <f>ROUND(Call_Centre_Data[[#This Row],[Satisfaction Rating]],0)</f>
        <v>5</v>
      </c>
    </row>
    <row r="453" spans="1:11" x14ac:dyDescent="0.35">
      <c r="A453" s="56" t="s">
        <v>1458</v>
      </c>
      <c r="B453" s="57" t="s">
        <v>1013</v>
      </c>
      <c r="C453" s="87">
        <v>40</v>
      </c>
      <c r="D453" s="57" t="s">
        <v>1004</v>
      </c>
      <c r="E453" s="58">
        <v>45052</v>
      </c>
      <c r="F453" s="57">
        <v>108</v>
      </c>
      <c r="G453" s="59">
        <v>4.2</v>
      </c>
      <c r="H453" s="57">
        <f>IF(MONTH(Call_Centre_Data[[#This Row],[Date of Call]])&lt;=6,YEAR(Call_Centre_Data[[#This Row],[Date of Call]]),YEAR(Call_Centre_Data[[#This Row],[Date of Call]])+1)</f>
        <v>2023</v>
      </c>
      <c r="I453" s="39" t="str">
        <f>TEXT(Call_Centre_Data[[#This Row],[Date of Call]],"DDDD")</f>
        <v>Saturday</v>
      </c>
      <c r="J453" s="39" t="str" cm="1">
        <f t="array" ref="J453">_xlfn.IFS(Call_Centre_Data[[#This Row],[Duration]]&lt;=10,"Under 10 Mins", Call_Centre_Data[[#This Row],[Duration]]&lt;=30,"10-30 Mins",Call_Centre_Data[[#This Row],[Duration]]&lt;=60,"30-60 Mins",Call_Centre_Data[[#This Row],[Duration]]&lt;=120,"1-2 Hours",TRUE,"More than 2 Hours")</f>
        <v>30-60 Mins</v>
      </c>
      <c r="K453" s="91">
        <f>ROUND(Call_Centre_Data[[#This Row],[Satisfaction Rating]],0)</f>
        <v>4</v>
      </c>
    </row>
    <row r="454" spans="1:11" x14ac:dyDescent="0.35">
      <c r="A454" s="56" t="s">
        <v>1459</v>
      </c>
      <c r="B454" s="57" t="s">
        <v>1060</v>
      </c>
      <c r="C454" s="87">
        <v>143</v>
      </c>
      <c r="D454" s="57" t="s">
        <v>1004</v>
      </c>
      <c r="E454" s="58">
        <v>45052</v>
      </c>
      <c r="F454" s="57">
        <v>54</v>
      </c>
      <c r="G454" s="59">
        <v>4.4000000000000004</v>
      </c>
      <c r="H454" s="57">
        <f>IF(MONTH(Call_Centre_Data[[#This Row],[Date of Call]])&lt;=6,YEAR(Call_Centre_Data[[#This Row],[Date of Call]]),YEAR(Call_Centre_Data[[#This Row],[Date of Call]])+1)</f>
        <v>2023</v>
      </c>
      <c r="I454" s="39" t="str">
        <f>TEXT(Call_Centre_Data[[#This Row],[Date of Call]],"DDDD")</f>
        <v>Saturday</v>
      </c>
      <c r="J454" s="39" t="str" cm="1">
        <f t="array" ref="J454">_xlfn.IFS(Call_Centre_Data[[#This Row],[Duration]]&lt;=10,"Under 10 Mins", Call_Centre_Data[[#This Row],[Duration]]&lt;=30,"10-30 Mins",Call_Centre_Data[[#This Row],[Duration]]&lt;=60,"30-60 Mins",Call_Centre_Data[[#This Row],[Duration]]&lt;=120,"1-2 Hours",TRUE,"More than 2 Hours")</f>
        <v>More than 2 Hours</v>
      </c>
      <c r="K454" s="91">
        <f>ROUND(Call_Centre_Data[[#This Row],[Satisfaction Rating]],0)</f>
        <v>4</v>
      </c>
    </row>
    <row r="455" spans="1:11" x14ac:dyDescent="0.35">
      <c r="A455" s="56" t="s">
        <v>1460</v>
      </c>
      <c r="B455" s="57" t="s">
        <v>1013</v>
      </c>
      <c r="C455" s="87">
        <v>70</v>
      </c>
      <c r="D455" s="57" t="s">
        <v>1004</v>
      </c>
      <c r="E455" s="58">
        <v>45053</v>
      </c>
      <c r="F455" s="57">
        <v>44</v>
      </c>
      <c r="G455" s="59">
        <v>3.5</v>
      </c>
      <c r="H455" s="57">
        <f>IF(MONTH(Call_Centre_Data[[#This Row],[Date of Call]])&lt;=6,YEAR(Call_Centre_Data[[#This Row],[Date of Call]]),YEAR(Call_Centre_Data[[#This Row],[Date of Call]])+1)</f>
        <v>2023</v>
      </c>
      <c r="I455" s="39" t="str">
        <f>TEXT(Call_Centre_Data[[#This Row],[Date of Call]],"DDDD")</f>
        <v>Sunday</v>
      </c>
      <c r="J455" s="39" t="str" cm="1">
        <f t="array" ref="J455">_xlfn.IFS(Call_Centre_Data[[#This Row],[Duration]]&lt;=10,"Under 10 Mins", Call_Centre_Data[[#This Row],[Duration]]&lt;=30,"10-30 Mins",Call_Centre_Data[[#This Row],[Duration]]&lt;=60,"30-60 Mins",Call_Centre_Data[[#This Row],[Duration]]&lt;=120,"1-2 Hours",TRUE,"More than 2 Hours")</f>
        <v>1-2 Hours</v>
      </c>
      <c r="K455" s="91">
        <f>ROUND(Call_Centre_Data[[#This Row],[Satisfaction Rating]],0)</f>
        <v>4</v>
      </c>
    </row>
    <row r="456" spans="1:11" x14ac:dyDescent="0.35">
      <c r="A456" s="56" t="s">
        <v>1461</v>
      </c>
      <c r="B456" s="57" t="s">
        <v>1027</v>
      </c>
      <c r="C456" s="87">
        <v>137</v>
      </c>
      <c r="D456" s="57" t="s">
        <v>1004</v>
      </c>
      <c r="E456" s="58">
        <v>45053</v>
      </c>
      <c r="F456" s="57">
        <v>44</v>
      </c>
      <c r="G456" s="59">
        <v>4.7</v>
      </c>
      <c r="H456" s="57">
        <f>IF(MONTH(Call_Centre_Data[[#This Row],[Date of Call]])&lt;=6,YEAR(Call_Centre_Data[[#This Row],[Date of Call]]),YEAR(Call_Centre_Data[[#This Row],[Date of Call]])+1)</f>
        <v>2023</v>
      </c>
      <c r="I456" s="39" t="str">
        <f>TEXT(Call_Centre_Data[[#This Row],[Date of Call]],"DDDD")</f>
        <v>Sunday</v>
      </c>
      <c r="J456" s="39" t="str" cm="1">
        <f t="array" ref="J456">_xlfn.IFS(Call_Centre_Data[[#This Row],[Duration]]&lt;=10,"Under 10 Mins", Call_Centre_Data[[#This Row],[Duration]]&lt;=30,"10-30 Mins",Call_Centre_Data[[#This Row],[Duration]]&lt;=60,"30-60 Mins",Call_Centre_Data[[#This Row],[Duration]]&lt;=120,"1-2 Hours",TRUE,"More than 2 Hours")</f>
        <v>More than 2 Hours</v>
      </c>
      <c r="K456" s="91">
        <f>ROUND(Call_Centre_Data[[#This Row],[Satisfaction Rating]],0)</f>
        <v>5</v>
      </c>
    </row>
    <row r="457" spans="1:11" x14ac:dyDescent="0.35">
      <c r="A457" s="56" t="s">
        <v>1462</v>
      </c>
      <c r="B457" s="57" t="s">
        <v>988</v>
      </c>
      <c r="C457" s="87">
        <v>52</v>
      </c>
      <c r="D457" s="57" t="s">
        <v>994</v>
      </c>
      <c r="E457" s="58">
        <v>45054</v>
      </c>
      <c r="F457" s="57">
        <v>37</v>
      </c>
      <c r="G457" s="59">
        <v>4.9000000000000004</v>
      </c>
      <c r="H457" s="57">
        <f>IF(MONTH(Call_Centre_Data[[#This Row],[Date of Call]])&lt;=6,YEAR(Call_Centre_Data[[#This Row],[Date of Call]]),YEAR(Call_Centre_Data[[#This Row],[Date of Call]])+1)</f>
        <v>2023</v>
      </c>
      <c r="I457" s="39" t="str">
        <f>TEXT(Call_Centre_Data[[#This Row],[Date of Call]],"DDDD")</f>
        <v>Monday</v>
      </c>
      <c r="J457" s="39" t="str" cm="1">
        <f t="array" ref="J457">_xlfn.IFS(Call_Centre_Data[[#This Row],[Duration]]&lt;=10,"Under 10 Mins", Call_Centre_Data[[#This Row],[Duration]]&lt;=30,"10-30 Mins",Call_Centre_Data[[#This Row],[Duration]]&lt;=60,"30-60 Mins",Call_Centre_Data[[#This Row],[Duration]]&lt;=120,"1-2 Hours",TRUE,"More than 2 Hours")</f>
        <v>30-60 Mins</v>
      </c>
      <c r="K457" s="91">
        <f>ROUND(Call_Centre_Data[[#This Row],[Satisfaction Rating]],0)</f>
        <v>5</v>
      </c>
    </row>
    <row r="458" spans="1:11" x14ac:dyDescent="0.35">
      <c r="A458" s="56" t="s">
        <v>1463</v>
      </c>
      <c r="B458" s="57" t="s">
        <v>991</v>
      </c>
      <c r="C458" s="87">
        <v>31</v>
      </c>
      <c r="D458" s="57" t="s">
        <v>999</v>
      </c>
      <c r="E458" s="58">
        <v>45054</v>
      </c>
      <c r="F458" s="57">
        <v>180</v>
      </c>
      <c r="G458" s="59">
        <v>4.5</v>
      </c>
      <c r="H458" s="57">
        <f>IF(MONTH(Call_Centre_Data[[#This Row],[Date of Call]])&lt;=6,YEAR(Call_Centre_Data[[#This Row],[Date of Call]]),YEAR(Call_Centre_Data[[#This Row],[Date of Call]])+1)</f>
        <v>2023</v>
      </c>
      <c r="I458" s="39" t="str">
        <f>TEXT(Call_Centre_Data[[#This Row],[Date of Call]],"DDDD")</f>
        <v>Monday</v>
      </c>
      <c r="J458" s="39" t="str" cm="1">
        <f t="array" ref="J458">_xlfn.IFS(Call_Centre_Data[[#This Row],[Duration]]&lt;=10,"Under 10 Mins", Call_Centre_Data[[#This Row],[Duration]]&lt;=30,"10-30 Mins",Call_Centre_Data[[#This Row],[Duration]]&lt;=60,"30-60 Mins",Call_Centre_Data[[#This Row],[Duration]]&lt;=120,"1-2 Hours",TRUE,"More than 2 Hours")</f>
        <v>30-60 Mins</v>
      </c>
      <c r="K458" s="91">
        <f>ROUND(Call_Centre_Data[[#This Row],[Satisfaction Rating]],0)</f>
        <v>5</v>
      </c>
    </row>
    <row r="459" spans="1:11" x14ac:dyDescent="0.35">
      <c r="A459" s="56" t="s">
        <v>1464</v>
      </c>
      <c r="B459" s="57" t="s">
        <v>988</v>
      </c>
      <c r="C459" s="87">
        <v>114</v>
      </c>
      <c r="D459" s="57" t="s">
        <v>1008</v>
      </c>
      <c r="E459" s="58">
        <v>45054</v>
      </c>
      <c r="F459" s="57">
        <v>105</v>
      </c>
      <c r="G459" s="59">
        <v>4.9000000000000004</v>
      </c>
      <c r="H459" s="57">
        <f>IF(MONTH(Call_Centre_Data[[#This Row],[Date of Call]])&lt;=6,YEAR(Call_Centre_Data[[#This Row],[Date of Call]]),YEAR(Call_Centre_Data[[#This Row],[Date of Call]])+1)</f>
        <v>2023</v>
      </c>
      <c r="I459" s="39" t="str">
        <f>TEXT(Call_Centre_Data[[#This Row],[Date of Call]],"DDDD")</f>
        <v>Monday</v>
      </c>
      <c r="J459" s="39" t="str" cm="1">
        <f t="array" ref="J459">_xlfn.IFS(Call_Centre_Data[[#This Row],[Duration]]&lt;=10,"Under 10 Mins", Call_Centre_Data[[#This Row],[Duration]]&lt;=30,"10-30 Mins",Call_Centre_Data[[#This Row],[Duration]]&lt;=60,"30-60 Mins",Call_Centre_Data[[#This Row],[Duration]]&lt;=120,"1-2 Hours",TRUE,"More than 2 Hours")</f>
        <v>1-2 Hours</v>
      </c>
      <c r="K459" s="91">
        <f>ROUND(Call_Centre_Data[[#This Row],[Satisfaction Rating]],0)</f>
        <v>5</v>
      </c>
    </row>
    <row r="460" spans="1:11" x14ac:dyDescent="0.35">
      <c r="A460" s="56" t="s">
        <v>1465</v>
      </c>
      <c r="B460" s="57" t="s">
        <v>1027</v>
      </c>
      <c r="C460" s="87">
        <v>73</v>
      </c>
      <c r="D460" s="57" t="s">
        <v>989</v>
      </c>
      <c r="E460" s="58">
        <v>45054</v>
      </c>
      <c r="F460" s="57">
        <v>87</v>
      </c>
      <c r="G460" s="59">
        <v>3.6</v>
      </c>
      <c r="H460" s="57">
        <f>IF(MONTH(Call_Centre_Data[[#This Row],[Date of Call]])&lt;=6,YEAR(Call_Centre_Data[[#This Row],[Date of Call]]),YEAR(Call_Centre_Data[[#This Row],[Date of Call]])+1)</f>
        <v>2023</v>
      </c>
      <c r="I460" s="39" t="str">
        <f>TEXT(Call_Centre_Data[[#This Row],[Date of Call]],"DDDD")</f>
        <v>Monday</v>
      </c>
      <c r="J460" s="39" t="str" cm="1">
        <f t="array" ref="J460">_xlfn.IFS(Call_Centre_Data[[#This Row],[Duration]]&lt;=10,"Under 10 Mins", Call_Centre_Data[[#This Row],[Duration]]&lt;=30,"10-30 Mins",Call_Centre_Data[[#This Row],[Duration]]&lt;=60,"30-60 Mins",Call_Centre_Data[[#This Row],[Duration]]&lt;=120,"1-2 Hours",TRUE,"More than 2 Hours")</f>
        <v>1-2 Hours</v>
      </c>
      <c r="K460" s="91">
        <f>ROUND(Call_Centre_Data[[#This Row],[Satisfaction Rating]],0)</f>
        <v>4</v>
      </c>
    </row>
    <row r="461" spans="1:11" x14ac:dyDescent="0.35">
      <c r="A461" s="56" t="s">
        <v>1466</v>
      </c>
      <c r="B461" s="57" t="s">
        <v>1019</v>
      </c>
      <c r="C461" s="87">
        <v>25</v>
      </c>
      <c r="D461" s="57" t="s">
        <v>999</v>
      </c>
      <c r="E461" s="58">
        <v>45054</v>
      </c>
      <c r="F461" s="57">
        <v>52</v>
      </c>
      <c r="G461" s="59">
        <v>3.8</v>
      </c>
      <c r="H461" s="57">
        <f>IF(MONTH(Call_Centre_Data[[#This Row],[Date of Call]])&lt;=6,YEAR(Call_Centre_Data[[#This Row],[Date of Call]]),YEAR(Call_Centre_Data[[#This Row],[Date of Call]])+1)</f>
        <v>2023</v>
      </c>
      <c r="I461" s="39" t="str">
        <f>TEXT(Call_Centre_Data[[#This Row],[Date of Call]],"DDDD")</f>
        <v>Monday</v>
      </c>
      <c r="J461" s="39" t="str" cm="1">
        <f t="array" ref="J461">_xlfn.IFS(Call_Centre_Data[[#This Row],[Duration]]&lt;=10,"Under 10 Mins", Call_Centre_Data[[#This Row],[Duration]]&lt;=30,"10-30 Mins",Call_Centre_Data[[#This Row],[Duration]]&lt;=60,"30-60 Mins",Call_Centre_Data[[#This Row],[Duration]]&lt;=120,"1-2 Hours",TRUE,"More than 2 Hours")</f>
        <v>10-30 Mins</v>
      </c>
      <c r="K461" s="91">
        <f>ROUND(Call_Centre_Data[[#This Row],[Satisfaction Rating]],0)</f>
        <v>4</v>
      </c>
    </row>
    <row r="462" spans="1:11" x14ac:dyDescent="0.35">
      <c r="A462" s="56" t="s">
        <v>1467</v>
      </c>
      <c r="B462" s="57" t="s">
        <v>998</v>
      </c>
      <c r="C462" s="87">
        <v>44</v>
      </c>
      <c r="D462" s="57" t="s">
        <v>1008</v>
      </c>
      <c r="E462" s="58">
        <v>45054</v>
      </c>
      <c r="F462" s="57">
        <v>63</v>
      </c>
      <c r="G462" s="59">
        <v>3.5</v>
      </c>
      <c r="H462" s="57">
        <f>IF(MONTH(Call_Centre_Data[[#This Row],[Date of Call]])&lt;=6,YEAR(Call_Centre_Data[[#This Row],[Date of Call]]),YEAR(Call_Centre_Data[[#This Row],[Date of Call]])+1)</f>
        <v>2023</v>
      </c>
      <c r="I462" s="39" t="str">
        <f>TEXT(Call_Centre_Data[[#This Row],[Date of Call]],"DDDD")</f>
        <v>Monday</v>
      </c>
      <c r="J462" s="39" t="str" cm="1">
        <f t="array" ref="J462">_xlfn.IFS(Call_Centre_Data[[#This Row],[Duration]]&lt;=10,"Under 10 Mins", Call_Centre_Data[[#This Row],[Duration]]&lt;=30,"10-30 Mins",Call_Centre_Data[[#This Row],[Duration]]&lt;=60,"30-60 Mins",Call_Centre_Data[[#This Row],[Duration]]&lt;=120,"1-2 Hours",TRUE,"More than 2 Hours")</f>
        <v>30-60 Mins</v>
      </c>
      <c r="K462" s="91">
        <f>ROUND(Call_Centre_Data[[#This Row],[Satisfaction Rating]],0)</f>
        <v>4</v>
      </c>
    </row>
    <row r="463" spans="1:11" x14ac:dyDescent="0.35">
      <c r="A463" s="56" t="s">
        <v>1468</v>
      </c>
      <c r="B463" s="57" t="s">
        <v>1022</v>
      </c>
      <c r="C463" s="87">
        <v>34</v>
      </c>
      <c r="D463" s="57" t="s">
        <v>994</v>
      </c>
      <c r="E463" s="58">
        <v>45055</v>
      </c>
      <c r="F463" s="57">
        <v>195</v>
      </c>
      <c r="G463" s="59">
        <v>4.8</v>
      </c>
      <c r="H463" s="57">
        <f>IF(MONTH(Call_Centre_Data[[#This Row],[Date of Call]])&lt;=6,YEAR(Call_Centre_Data[[#This Row],[Date of Call]]),YEAR(Call_Centre_Data[[#This Row],[Date of Call]])+1)</f>
        <v>2023</v>
      </c>
      <c r="I463" s="39" t="str">
        <f>TEXT(Call_Centre_Data[[#This Row],[Date of Call]],"DDDD")</f>
        <v>Tuesday</v>
      </c>
      <c r="J463" s="39" t="str" cm="1">
        <f t="array" ref="J463">_xlfn.IFS(Call_Centre_Data[[#This Row],[Duration]]&lt;=10,"Under 10 Mins", Call_Centre_Data[[#This Row],[Duration]]&lt;=30,"10-30 Mins",Call_Centre_Data[[#This Row],[Duration]]&lt;=60,"30-60 Mins",Call_Centre_Data[[#This Row],[Duration]]&lt;=120,"1-2 Hours",TRUE,"More than 2 Hours")</f>
        <v>30-60 Mins</v>
      </c>
      <c r="K463" s="91">
        <f>ROUND(Call_Centre_Data[[#This Row],[Satisfaction Rating]],0)</f>
        <v>5</v>
      </c>
    </row>
    <row r="464" spans="1:11" x14ac:dyDescent="0.35">
      <c r="A464" s="56" t="s">
        <v>1469</v>
      </c>
      <c r="B464" s="57" t="s">
        <v>1060</v>
      </c>
      <c r="C464" s="87">
        <v>89</v>
      </c>
      <c r="D464" s="57" t="s">
        <v>1004</v>
      </c>
      <c r="E464" s="58">
        <v>45056</v>
      </c>
      <c r="F464" s="57">
        <v>176</v>
      </c>
      <c r="G464" s="59">
        <v>4.5</v>
      </c>
      <c r="H464" s="57">
        <f>IF(MONTH(Call_Centre_Data[[#This Row],[Date of Call]])&lt;=6,YEAR(Call_Centre_Data[[#This Row],[Date of Call]]),YEAR(Call_Centre_Data[[#This Row],[Date of Call]])+1)</f>
        <v>2023</v>
      </c>
      <c r="I464" s="39" t="str">
        <f>TEXT(Call_Centre_Data[[#This Row],[Date of Call]],"DDDD")</f>
        <v>Wednesday</v>
      </c>
      <c r="J464" s="39" t="str" cm="1">
        <f t="array" ref="J464">_xlfn.IFS(Call_Centre_Data[[#This Row],[Duration]]&lt;=10,"Under 10 Mins", Call_Centre_Data[[#This Row],[Duration]]&lt;=30,"10-30 Mins",Call_Centre_Data[[#This Row],[Duration]]&lt;=60,"30-60 Mins",Call_Centre_Data[[#This Row],[Duration]]&lt;=120,"1-2 Hours",TRUE,"More than 2 Hours")</f>
        <v>1-2 Hours</v>
      </c>
      <c r="K464" s="91">
        <f>ROUND(Call_Centre_Data[[#This Row],[Satisfaction Rating]],0)</f>
        <v>5</v>
      </c>
    </row>
    <row r="465" spans="1:11" x14ac:dyDescent="0.35">
      <c r="A465" s="56" t="s">
        <v>1470</v>
      </c>
      <c r="B465" s="57" t="s">
        <v>1007</v>
      </c>
      <c r="C465" s="87">
        <v>54</v>
      </c>
      <c r="D465" s="57" t="s">
        <v>999</v>
      </c>
      <c r="E465" s="58">
        <v>45057</v>
      </c>
      <c r="F465" s="57">
        <v>31</v>
      </c>
      <c r="G465" s="59">
        <v>3.3</v>
      </c>
      <c r="H465" s="57">
        <f>IF(MONTH(Call_Centre_Data[[#This Row],[Date of Call]])&lt;=6,YEAR(Call_Centre_Data[[#This Row],[Date of Call]]),YEAR(Call_Centre_Data[[#This Row],[Date of Call]])+1)</f>
        <v>2023</v>
      </c>
      <c r="I465" s="39" t="str">
        <f>TEXT(Call_Centre_Data[[#This Row],[Date of Call]],"DDDD")</f>
        <v>Thursday</v>
      </c>
      <c r="J465" s="39" t="str" cm="1">
        <f t="array" ref="J465">_xlfn.IFS(Call_Centre_Data[[#This Row],[Duration]]&lt;=10,"Under 10 Mins", Call_Centre_Data[[#This Row],[Duration]]&lt;=30,"10-30 Mins",Call_Centre_Data[[#This Row],[Duration]]&lt;=60,"30-60 Mins",Call_Centre_Data[[#This Row],[Duration]]&lt;=120,"1-2 Hours",TRUE,"More than 2 Hours")</f>
        <v>30-60 Mins</v>
      </c>
      <c r="K465" s="91">
        <f>ROUND(Call_Centre_Data[[#This Row],[Satisfaction Rating]],0)</f>
        <v>3</v>
      </c>
    </row>
    <row r="466" spans="1:11" x14ac:dyDescent="0.35">
      <c r="A466" s="56" t="s">
        <v>1471</v>
      </c>
      <c r="B466" s="57" t="s">
        <v>993</v>
      </c>
      <c r="C466" s="87">
        <v>25</v>
      </c>
      <c r="D466" s="57" t="s">
        <v>999</v>
      </c>
      <c r="E466" s="58">
        <v>45058</v>
      </c>
      <c r="F466" s="57">
        <v>27</v>
      </c>
      <c r="G466" s="59">
        <v>3.2</v>
      </c>
      <c r="H466" s="57">
        <f>IF(MONTH(Call_Centre_Data[[#This Row],[Date of Call]])&lt;=6,YEAR(Call_Centre_Data[[#This Row],[Date of Call]]),YEAR(Call_Centre_Data[[#This Row],[Date of Call]])+1)</f>
        <v>2023</v>
      </c>
      <c r="I466" s="39" t="str">
        <f>TEXT(Call_Centre_Data[[#This Row],[Date of Call]],"DDDD")</f>
        <v>Friday</v>
      </c>
      <c r="J466" s="39" t="str" cm="1">
        <f t="array" ref="J466">_xlfn.IFS(Call_Centre_Data[[#This Row],[Duration]]&lt;=10,"Under 10 Mins", Call_Centre_Data[[#This Row],[Duration]]&lt;=30,"10-30 Mins",Call_Centre_Data[[#This Row],[Duration]]&lt;=60,"30-60 Mins",Call_Centre_Data[[#This Row],[Duration]]&lt;=120,"1-2 Hours",TRUE,"More than 2 Hours")</f>
        <v>10-30 Mins</v>
      </c>
      <c r="K466" s="91">
        <f>ROUND(Call_Centre_Data[[#This Row],[Satisfaction Rating]],0)</f>
        <v>3</v>
      </c>
    </row>
    <row r="467" spans="1:11" x14ac:dyDescent="0.35">
      <c r="A467" s="56" t="s">
        <v>1472</v>
      </c>
      <c r="B467" s="57" t="s">
        <v>1011</v>
      </c>
      <c r="C467" s="87">
        <v>91</v>
      </c>
      <c r="D467" s="57" t="s">
        <v>1004</v>
      </c>
      <c r="E467" s="58">
        <v>45058</v>
      </c>
      <c r="F467" s="57">
        <v>76</v>
      </c>
      <c r="G467" s="59">
        <v>4.9000000000000004</v>
      </c>
      <c r="H467" s="57">
        <f>IF(MONTH(Call_Centre_Data[[#This Row],[Date of Call]])&lt;=6,YEAR(Call_Centre_Data[[#This Row],[Date of Call]]),YEAR(Call_Centre_Data[[#This Row],[Date of Call]])+1)</f>
        <v>2023</v>
      </c>
      <c r="I467" s="39" t="str">
        <f>TEXT(Call_Centre_Data[[#This Row],[Date of Call]],"DDDD")</f>
        <v>Friday</v>
      </c>
      <c r="J467" s="39" t="str" cm="1">
        <f t="array" ref="J467">_xlfn.IFS(Call_Centre_Data[[#This Row],[Duration]]&lt;=10,"Under 10 Mins", Call_Centre_Data[[#This Row],[Duration]]&lt;=30,"10-30 Mins",Call_Centre_Data[[#This Row],[Duration]]&lt;=60,"30-60 Mins",Call_Centre_Data[[#This Row],[Duration]]&lt;=120,"1-2 Hours",TRUE,"More than 2 Hours")</f>
        <v>1-2 Hours</v>
      </c>
      <c r="K467" s="91">
        <f>ROUND(Call_Centre_Data[[#This Row],[Satisfaction Rating]],0)</f>
        <v>5</v>
      </c>
    </row>
    <row r="468" spans="1:11" x14ac:dyDescent="0.35">
      <c r="A468" s="56" t="s">
        <v>1473</v>
      </c>
      <c r="B468" s="57" t="s">
        <v>998</v>
      </c>
      <c r="C468" s="87">
        <v>144</v>
      </c>
      <c r="D468" s="57" t="s">
        <v>1008</v>
      </c>
      <c r="E468" s="58">
        <v>45058</v>
      </c>
      <c r="F468" s="57">
        <v>62</v>
      </c>
      <c r="G468" s="59">
        <v>4.8</v>
      </c>
      <c r="H468" s="57">
        <f>IF(MONTH(Call_Centre_Data[[#This Row],[Date of Call]])&lt;=6,YEAR(Call_Centre_Data[[#This Row],[Date of Call]]),YEAR(Call_Centre_Data[[#This Row],[Date of Call]])+1)</f>
        <v>2023</v>
      </c>
      <c r="I468" s="39" t="str">
        <f>TEXT(Call_Centre_Data[[#This Row],[Date of Call]],"DDDD")</f>
        <v>Friday</v>
      </c>
      <c r="J468" s="39" t="str" cm="1">
        <f t="array" ref="J468">_xlfn.IFS(Call_Centre_Data[[#This Row],[Duration]]&lt;=10,"Under 10 Mins", Call_Centre_Data[[#This Row],[Duration]]&lt;=30,"10-30 Mins",Call_Centre_Data[[#This Row],[Duration]]&lt;=60,"30-60 Mins",Call_Centre_Data[[#This Row],[Duration]]&lt;=120,"1-2 Hours",TRUE,"More than 2 Hours")</f>
        <v>More than 2 Hours</v>
      </c>
      <c r="K468" s="91">
        <f>ROUND(Call_Centre_Data[[#This Row],[Satisfaction Rating]],0)</f>
        <v>5</v>
      </c>
    </row>
    <row r="469" spans="1:11" x14ac:dyDescent="0.35">
      <c r="A469" s="56" t="s">
        <v>1474</v>
      </c>
      <c r="B469" s="57" t="s">
        <v>1011</v>
      </c>
      <c r="C469" s="87">
        <v>81</v>
      </c>
      <c r="D469" s="57" t="s">
        <v>994</v>
      </c>
      <c r="E469" s="58">
        <v>45060</v>
      </c>
      <c r="F469" s="57">
        <v>100</v>
      </c>
      <c r="G469" s="59">
        <v>1.3</v>
      </c>
      <c r="H469" s="57">
        <f>IF(MONTH(Call_Centre_Data[[#This Row],[Date of Call]])&lt;=6,YEAR(Call_Centre_Data[[#This Row],[Date of Call]]),YEAR(Call_Centre_Data[[#This Row],[Date of Call]])+1)</f>
        <v>2023</v>
      </c>
      <c r="I469" s="39" t="str">
        <f>TEXT(Call_Centre_Data[[#This Row],[Date of Call]],"DDDD")</f>
        <v>Sunday</v>
      </c>
      <c r="J469" s="39" t="str" cm="1">
        <f t="array" ref="J469">_xlfn.IFS(Call_Centre_Data[[#This Row],[Duration]]&lt;=10,"Under 10 Mins", Call_Centre_Data[[#This Row],[Duration]]&lt;=30,"10-30 Mins",Call_Centre_Data[[#This Row],[Duration]]&lt;=60,"30-60 Mins",Call_Centre_Data[[#This Row],[Duration]]&lt;=120,"1-2 Hours",TRUE,"More than 2 Hours")</f>
        <v>1-2 Hours</v>
      </c>
      <c r="K469" s="91">
        <f>ROUND(Call_Centre_Data[[#This Row],[Satisfaction Rating]],0)</f>
        <v>1</v>
      </c>
    </row>
    <row r="470" spans="1:11" x14ac:dyDescent="0.35">
      <c r="A470" s="56" t="s">
        <v>1475</v>
      </c>
      <c r="B470" s="57" t="s">
        <v>1040</v>
      </c>
      <c r="C470" s="87">
        <v>92</v>
      </c>
      <c r="D470" s="57" t="s">
        <v>999</v>
      </c>
      <c r="E470" s="58">
        <v>45060</v>
      </c>
      <c r="F470" s="57">
        <v>44</v>
      </c>
      <c r="G470" s="59">
        <v>3.1</v>
      </c>
      <c r="H470" s="57">
        <f>IF(MONTH(Call_Centre_Data[[#This Row],[Date of Call]])&lt;=6,YEAR(Call_Centre_Data[[#This Row],[Date of Call]]),YEAR(Call_Centre_Data[[#This Row],[Date of Call]])+1)</f>
        <v>2023</v>
      </c>
      <c r="I470" s="39" t="str">
        <f>TEXT(Call_Centre_Data[[#This Row],[Date of Call]],"DDDD")</f>
        <v>Sunday</v>
      </c>
      <c r="J470" s="39" t="str" cm="1">
        <f t="array" ref="J470">_xlfn.IFS(Call_Centre_Data[[#This Row],[Duration]]&lt;=10,"Under 10 Mins", Call_Centre_Data[[#This Row],[Duration]]&lt;=30,"10-30 Mins",Call_Centre_Data[[#This Row],[Duration]]&lt;=60,"30-60 Mins",Call_Centre_Data[[#This Row],[Duration]]&lt;=120,"1-2 Hours",TRUE,"More than 2 Hours")</f>
        <v>1-2 Hours</v>
      </c>
      <c r="K470" s="91">
        <f>ROUND(Call_Centre_Data[[#This Row],[Satisfaction Rating]],0)</f>
        <v>3</v>
      </c>
    </row>
    <row r="471" spans="1:11" x14ac:dyDescent="0.35">
      <c r="A471" s="56" t="s">
        <v>1476</v>
      </c>
      <c r="B471" s="57" t="s">
        <v>993</v>
      </c>
      <c r="C471" s="87">
        <v>115</v>
      </c>
      <c r="D471" s="57" t="s">
        <v>1004</v>
      </c>
      <c r="E471" s="58">
        <v>45060</v>
      </c>
      <c r="F471" s="57">
        <v>168</v>
      </c>
      <c r="G471" s="59">
        <v>3.4</v>
      </c>
      <c r="H471" s="57">
        <f>IF(MONTH(Call_Centre_Data[[#This Row],[Date of Call]])&lt;=6,YEAR(Call_Centre_Data[[#This Row],[Date of Call]]),YEAR(Call_Centre_Data[[#This Row],[Date of Call]])+1)</f>
        <v>2023</v>
      </c>
      <c r="I471" s="39" t="str">
        <f>TEXT(Call_Centre_Data[[#This Row],[Date of Call]],"DDDD")</f>
        <v>Sunday</v>
      </c>
      <c r="J471" s="39" t="str" cm="1">
        <f t="array" ref="J471">_xlfn.IFS(Call_Centre_Data[[#This Row],[Duration]]&lt;=10,"Under 10 Mins", Call_Centre_Data[[#This Row],[Duration]]&lt;=30,"10-30 Mins",Call_Centre_Data[[#This Row],[Duration]]&lt;=60,"30-60 Mins",Call_Centre_Data[[#This Row],[Duration]]&lt;=120,"1-2 Hours",TRUE,"More than 2 Hours")</f>
        <v>1-2 Hours</v>
      </c>
      <c r="K471" s="91">
        <f>ROUND(Call_Centre_Data[[#This Row],[Satisfaction Rating]],0)</f>
        <v>3</v>
      </c>
    </row>
    <row r="472" spans="1:11" x14ac:dyDescent="0.35">
      <c r="A472" s="56" t="s">
        <v>1477</v>
      </c>
      <c r="B472" s="57" t="s">
        <v>1002</v>
      </c>
      <c r="C472" s="87">
        <v>56</v>
      </c>
      <c r="D472" s="57" t="s">
        <v>1004</v>
      </c>
      <c r="E472" s="58">
        <v>45061</v>
      </c>
      <c r="F472" s="57">
        <v>200</v>
      </c>
      <c r="G472" s="59">
        <v>4.5999999999999996</v>
      </c>
      <c r="H472" s="57">
        <f>IF(MONTH(Call_Centre_Data[[#This Row],[Date of Call]])&lt;=6,YEAR(Call_Centre_Data[[#This Row],[Date of Call]]),YEAR(Call_Centre_Data[[#This Row],[Date of Call]])+1)</f>
        <v>2023</v>
      </c>
      <c r="I472" s="39" t="str">
        <f>TEXT(Call_Centre_Data[[#This Row],[Date of Call]],"DDDD")</f>
        <v>Monday</v>
      </c>
      <c r="J472" s="39" t="str" cm="1">
        <f t="array" ref="J472">_xlfn.IFS(Call_Centre_Data[[#This Row],[Duration]]&lt;=10,"Under 10 Mins", Call_Centre_Data[[#This Row],[Duration]]&lt;=30,"10-30 Mins",Call_Centre_Data[[#This Row],[Duration]]&lt;=60,"30-60 Mins",Call_Centre_Data[[#This Row],[Duration]]&lt;=120,"1-2 Hours",TRUE,"More than 2 Hours")</f>
        <v>30-60 Mins</v>
      </c>
      <c r="K472" s="91">
        <f>ROUND(Call_Centre_Data[[#This Row],[Satisfaction Rating]],0)</f>
        <v>5</v>
      </c>
    </row>
    <row r="473" spans="1:11" x14ac:dyDescent="0.35">
      <c r="A473" s="56" t="s">
        <v>1478</v>
      </c>
      <c r="B473" s="57" t="s">
        <v>991</v>
      </c>
      <c r="C473" s="87">
        <v>154</v>
      </c>
      <c r="D473" s="57" t="s">
        <v>999</v>
      </c>
      <c r="E473" s="58">
        <v>45061</v>
      </c>
      <c r="F473" s="57">
        <v>84</v>
      </c>
      <c r="G473" s="59">
        <v>4.3</v>
      </c>
      <c r="H473" s="57">
        <f>IF(MONTH(Call_Centre_Data[[#This Row],[Date of Call]])&lt;=6,YEAR(Call_Centre_Data[[#This Row],[Date of Call]]),YEAR(Call_Centre_Data[[#This Row],[Date of Call]])+1)</f>
        <v>2023</v>
      </c>
      <c r="I473" s="39" t="str">
        <f>TEXT(Call_Centre_Data[[#This Row],[Date of Call]],"DDDD")</f>
        <v>Monday</v>
      </c>
      <c r="J473" s="39" t="str" cm="1">
        <f t="array" ref="J473">_xlfn.IFS(Call_Centre_Data[[#This Row],[Duration]]&lt;=10,"Under 10 Mins", Call_Centre_Data[[#This Row],[Duration]]&lt;=30,"10-30 Mins",Call_Centre_Data[[#This Row],[Duration]]&lt;=60,"30-60 Mins",Call_Centre_Data[[#This Row],[Duration]]&lt;=120,"1-2 Hours",TRUE,"More than 2 Hours")</f>
        <v>More than 2 Hours</v>
      </c>
      <c r="K473" s="91">
        <f>ROUND(Call_Centre_Data[[#This Row],[Satisfaction Rating]],0)</f>
        <v>4</v>
      </c>
    </row>
    <row r="474" spans="1:11" x14ac:dyDescent="0.35">
      <c r="A474" s="56" t="s">
        <v>1479</v>
      </c>
      <c r="B474" s="57" t="s">
        <v>1060</v>
      </c>
      <c r="C474" s="87">
        <v>51</v>
      </c>
      <c r="D474" s="57" t="s">
        <v>1004</v>
      </c>
      <c r="E474" s="58">
        <v>45062</v>
      </c>
      <c r="F474" s="57">
        <v>117</v>
      </c>
      <c r="G474" s="59">
        <v>2.7</v>
      </c>
      <c r="H474" s="57">
        <f>IF(MONTH(Call_Centre_Data[[#This Row],[Date of Call]])&lt;=6,YEAR(Call_Centre_Data[[#This Row],[Date of Call]]),YEAR(Call_Centre_Data[[#This Row],[Date of Call]])+1)</f>
        <v>2023</v>
      </c>
      <c r="I474" s="39" t="str">
        <f>TEXT(Call_Centre_Data[[#This Row],[Date of Call]],"DDDD")</f>
        <v>Tuesday</v>
      </c>
      <c r="J474" s="39" t="str" cm="1">
        <f t="array" ref="J474">_xlfn.IFS(Call_Centre_Data[[#This Row],[Duration]]&lt;=10,"Under 10 Mins", Call_Centre_Data[[#This Row],[Duration]]&lt;=30,"10-30 Mins",Call_Centre_Data[[#This Row],[Duration]]&lt;=60,"30-60 Mins",Call_Centre_Data[[#This Row],[Duration]]&lt;=120,"1-2 Hours",TRUE,"More than 2 Hours")</f>
        <v>30-60 Mins</v>
      </c>
      <c r="K474" s="91">
        <f>ROUND(Call_Centre_Data[[#This Row],[Satisfaction Rating]],0)</f>
        <v>3</v>
      </c>
    </row>
    <row r="475" spans="1:11" x14ac:dyDescent="0.35">
      <c r="A475" s="56" t="s">
        <v>1480</v>
      </c>
      <c r="B475" s="57" t="s">
        <v>1022</v>
      </c>
      <c r="C475" s="87">
        <v>21</v>
      </c>
      <c r="D475" s="57" t="s">
        <v>994</v>
      </c>
      <c r="E475" s="58">
        <v>45062</v>
      </c>
      <c r="F475" s="57">
        <v>63</v>
      </c>
      <c r="G475" s="59">
        <v>4.2</v>
      </c>
      <c r="H475" s="57">
        <f>IF(MONTH(Call_Centre_Data[[#This Row],[Date of Call]])&lt;=6,YEAR(Call_Centre_Data[[#This Row],[Date of Call]]),YEAR(Call_Centre_Data[[#This Row],[Date of Call]])+1)</f>
        <v>2023</v>
      </c>
      <c r="I475" s="39" t="str">
        <f>TEXT(Call_Centre_Data[[#This Row],[Date of Call]],"DDDD")</f>
        <v>Tuesday</v>
      </c>
      <c r="J475" s="39" t="str" cm="1">
        <f t="array" ref="J475">_xlfn.IFS(Call_Centre_Data[[#This Row],[Duration]]&lt;=10,"Under 10 Mins", Call_Centre_Data[[#This Row],[Duration]]&lt;=30,"10-30 Mins",Call_Centre_Data[[#This Row],[Duration]]&lt;=60,"30-60 Mins",Call_Centre_Data[[#This Row],[Duration]]&lt;=120,"1-2 Hours",TRUE,"More than 2 Hours")</f>
        <v>10-30 Mins</v>
      </c>
      <c r="K475" s="91">
        <f>ROUND(Call_Centre_Data[[#This Row],[Satisfaction Rating]],0)</f>
        <v>4</v>
      </c>
    </row>
    <row r="476" spans="1:11" x14ac:dyDescent="0.35">
      <c r="A476" s="56" t="s">
        <v>1481</v>
      </c>
      <c r="B476" s="57" t="s">
        <v>993</v>
      </c>
      <c r="C476" s="87">
        <v>80</v>
      </c>
      <c r="D476" s="57" t="s">
        <v>1004</v>
      </c>
      <c r="E476" s="58">
        <v>45063</v>
      </c>
      <c r="F476" s="57">
        <v>145</v>
      </c>
      <c r="G476" s="59">
        <v>4.9000000000000004</v>
      </c>
      <c r="H476" s="57">
        <f>IF(MONTH(Call_Centre_Data[[#This Row],[Date of Call]])&lt;=6,YEAR(Call_Centre_Data[[#This Row],[Date of Call]]),YEAR(Call_Centre_Data[[#This Row],[Date of Call]])+1)</f>
        <v>2023</v>
      </c>
      <c r="I476" s="39" t="str">
        <f>TEXT(Call_Centre_Data[[#This Row],[Date of Call]],"DDDD")</f>
        <v>Wednesday</v>
      </c>
      <c r="J476" s="39" t="str" cm="1">
        <f t="array" ref="J476">_xlfn.IFS(Call_Centre_Data[[#This Row],[Duration]]&lt;=10,"Under 10 Mins", Call_Centre_Data[[#This Row],[Duration]]&lt;=30,"10-30 Mins",Call_Centre_Data[[#This Row],[Duration]]&lt;=60,"30-60 Mins",Call_Centre_Data[[#This Row],[Duration]]&lt;=120,"1-2 Hours",TRUE,"More than 2 Hours")</f>
        <v>1-2 Hours</v>
      </c>
      <c r="K476" s="91">
        <f>ROUND(Call_Centre_Data[[#This Row],[Satisfaction Rating]],0)</f>
        <v>5</v>
      </c>
    </row>
    <row r="477" spans="1:11" x14ac:dyDescent="0.35">
      <c r="A477" s="56" t="s">
        <v>1482</v>
      </c>
      <c r="B477" s="57" t="s">
        <v>1060</v>
      </c>
      <c r="C477" s="87">
        <v>139</v>
      </c>
      <c r="D477" s="57" t="s">
        <v>999</v>
      </c>
      <c r="E477" s="58">
        <v>45063</v>
      </c>
      <c r="F477" s="57">
        <v>220</v>
      </c>
      <c r="G477" s="59">
        <v>3.2</v>
      </c>
      <c r="H477" s="57">
        <f>IF(MONTH(Call_Centre_Data[[#This Row],[Date of Call]])&lt;=6,YEAR(Call_Centre_Data[[#This Row],[Date of Call]]),YEAR(Call_Centre_Data[[#This Row],[Date of Call]])+1)</f>
        <v>2023</v>
      </c>
      <c r="I477" s="39" t="str">
        <f>TEXT(Call_Centre_Data[[#This Row],[Date of Call]],"DDDD")</f>
        <v>Wednesday</v>
      </c>
      <c r="J477" s="39" t="str" cm="1">
        <f t="array" ref="J477">_xlfn.IFS(Call_Centre_Data[[#This Row],[Duration]]&lt;=10,"Under 10 Mins", Call_Centre_Data[[#This Row],[Duration]]&lt;=30,"10-30 Mins",Call_Centre_Data[[#This Row],[Duration]]&lt;=60,"30-60 Mins",Call_Centre_Data[[#This Row],[Duration]]&lt;=120,"1-2 Hours",TRUE,"More than 2 Hours")</f>
        <v>More than 2 Hours</v>
      </c>
      <c r="K477" s="91">
        <f>ROUND(Call_Centre_Data[[#This Row],[Satisfaction Rating]],0)</f>
        <v>3</v>
      </c>
    </row>
    <row r="478" spans="1:11" x14ac:dyDescent="0.35">
      <c r="A478" s="56" t="s">
        <v>1483</v>
      </c>
      <c r="B478" s="57" t="s">
        <v>1013</v>
      </c>
      <c r="C478" s="87">
        <v>50</v>
      </c>
      <c r="D478" s="57" t="s">
        <v>994</v>
      </c>
      <c r="E478" s="58">
        <v>45063</v>
      </c>
      <c r="F478" s="57">
        <v>26</v>
      </c>
      <c r="G478" s="59">
        <v>4.7</v>
      </c>
      <c r="H478" s="57">
        <f>IF(MONTH(Call_Centre_Data[[#This Row],[Date of Call]])&lt;=6,YEAR(Call_Centre_Data[[#This Row],[Date of Call]]),YEAR(Call_Centre_Data[[#This Row],[Date of Call]])+1)</f>
        <v>2023</v>
      </c>
      <c r="I478" s="39" t="str">
        <f>TEXT(Call_Centre_Data[[#This Row],[Date of Call]],"DDDD")</f>
        <v>Wednesday</v>
      </c>
      <c r="J478" s="39" t="str" cm="1">
        <f t="array" ref="J478">_xlfn.IFS(Call_Centre_Data[[#This Row],[Duration]]&lt;=10,"Under 10 Mins", Call_Centre_Data[[#This Row],[Duration]]&lt;=30,"10-30 Mins",Call_Centre_Data[[#This Row],[Duration]]&lt;=60,"30-60 Mins",Call_Centre_Data[[#This Row],[Duration]]&lt;=120,"1-2 Hours",TRUE,"More than 2 Hours")</f>
        <v>30-60 Mins</v>
      </c>
      <c r="K478" s="91">
        <f>ROUND(Call_Centre_Data[[#This Row],[Satisfaction Rating]],0)</f>
        <v>5</v>
      </c>
    </row>
    <row r="479" spans="1:11" x14ac:dyDescent="0.35">
      <c r="A479" s="56" t="s">
        <v>1484</v>
      </c>
      <c r="B479" s="57" t="s">
        <v>993</v>
      </c>
      <c r="C479" s="87">
        <v>88</v>
      </c>
      <c r="D479" s="57" t="s">
        <v>1004</v>
      </c>
      <c r="E479" s="58">
        <v>45063</v>
      </c>
      <c r="F479" s="57">
        <v>78</v>
      </c>
      <c r="G479" s="59">
        <v>4.3</v>
      </c>
      <c r="H479" s="57">
        <f>IF(MONTH(Call_Centre_Data[[#This Row],[Date of Call]])&lt;=6,YEAR(Call_Centre_Data[[#This Row],[Date of Call]]),YEAR(Call_Centre_Data[[#This Row],[Date of Call]])+1)</f>
        <v>2023</v>
      </c>
      <c r="I479" s="39" t="str">
        <f>TEXT(Call_Centre_Data[[#This Row],[Date of Call]],"DDDD")</f>
        <v>Wednesday</v>
      </c>
      <c r="J479" s="39" t="str" cm="1">
        <f t="array" ref="J479">_xlfn.IFS(Call_Centre_Data[[#This Row],[Duration]]&lt;=10,"Under 10 Mins", Call_Centre_Data[[#This Row],[Duration]]&lt;=30,"10-30 Mins",Call_Centre_Data[[#This Row],[Duration]]&lt;=60,"30-60 Mins",Call_Centre_Data[[#This Row],[Duration]]&lt;=120,"1-2 Hours",TRUE,"More than 2 Hours")</f>
        <v>1-2 Hours</v>
      </c>
      <c r="K479" s="91">
        <f>ROUND(Call_Centre_Data[[#This Row],[Satisfaction Rating]],0)</f>
        <v>4</v>
      </c>
    </row>
    <row r="480" spans="1:11" x14ac:dyDescent="0.35">
      <c r="A480" s="56" t="s">
        <v>1485</v>
      </c>
      <c r="B480" s="57" t="s">
        <v>1007</v>
      </c>
      <c r="C480" s="87">
        <v>19</v>
      </c>
      <c r="D480" s="57" t="s">
        <v>1008</v>
      </c>
      <c r="E480" s="58">
        <v>45064</v>
      </c>
      <c r="F480" s="57">
        <v>132</v>
      </c>
      <c r="G480" s="59">
        <v>4.3</v>
      </c>
      <c r="H480" s="57">
        <f>IF(MONTH(Call_Centre_Data[[#This Row],[Date of Call]])&lt;=6,YEAR(Call_Centre_Data[[#This Row],[Date of Call]]),YEAR(Call_Centre_Data[[#This Row],[Date of Call]])+1)</f>
        <v>2023</v>
      </c>
      <c r="I480" s="39" t="str">
        <f>TEXT(Call_Centre_Data[[#This Row],[Date of Call]],"DDDD")</f>
        <v>Thursday</v>
      </c>
      <c r="J480" s="39" t="str" cm="1">
        <f t="array" ref="J480">_xlfn.IFS(Call_Centre_Data[[#This Row],[Duration]]&lt;=10,"Under 10 Mins", Call_Centre_Data[[#This Row],[Duration]]&lt;=30,"10-30 Mins",Call_Centre_Data[[#This Row],[Duration]]&lt;=60,"30-60 Mins",Call_Centre_Data[[#This Row],[Duration]]&lt;=120,"1-2 Hours",TRUE,"More than 2 Hours")</f>
        <v>10-30 Mins</v>
      </c>
      <c r="K480" s="91">
        <f>ROUND(Call_Centre_Data[[#This Row],[Satisfaction Rating]],0)</f>
        <v>4</v>
      </c>
    </row>
    <row r="481" spans="1:11" x14ac:dyDescent="0.35">
      <c r="A481" s="56" t="s">
        <v>1486</v>
      </c>
      <c r="B481" s="57" t="s">
        <v>1019</v>
      </c>
      <c r="C481" s="87">
        <v>104</v>
      </c>
      <c r="D481" s="57" t="s">
        <v>1008</v>
      </c>
      <c r="E481" s="58">
        <v>45065</v>
      </c>
      <c r="F481" s="57">
        <v>68</v>
      </c>
      <c r="G481" s="59">
        <v>3.7</v>
      </c>
      <c r="H481" s="57">
        <f>IF(MONTH(Call_Centre_Data[[#This Row],[Date of Call]])&lt;=6,YEAR(Call_Centre_Data[[#This Row],[Date of Call]]),YEAR(Call_Centre_Data[[#This Row],[Date of Call]])+1)</f>
        <v>2023</v>
      </c>
      <c r="I481" s="39" t="str">
        <f>TEXT(Call_Centre_Data[[#This Row],[Date of Call]],"DDDD")</f>
        <v>Friday</v>
      </c>
      <c r="J481" s="39" t="str" cm="1">
        <f t="array" ref="J481">_xlfn.IFS(Call_Centre_Data[[#This Row],[Duration]]&lt;=10,"Under 10 Mins", Call_Centre_Data[[#This Row],[Duration]]&lt;=30,"10-30 Mins",Call_Centre_Data[[#This Row],[Duration]]&lt;=60,"30-60 Mins",Call_Centre_Data[[#This Row],[Duration]]&lt;=120,"1-2 Hours",TRUE,"More than 2 Hours")</f>
        <v>1-2 Hours</v>
      </c>
      <c r="K481" s="91">
        <f>ROUND(Call_Centre_Data[[#This Row],[Satisfaction Rating]],0)</f>
        <v>4</v>
      </c>
    </row>
    <row r="482" spans="1:11" x14ac:dyDescent="0.35">
      <c r="A482" s="56" t="s">
        <v>1487</v>
      </c>
      <c r="B482" s="57" t="s">
        <v>991</v>
      </c>
      <c r="C482" s="87">
        <v>67</v>
      </c>
      <c r="D482" s="57" t="s">
        <v>999</v>
      </c>
      <c r="E482" s="58">
        <v>45067</v>
      </c>
      <c r="F482" s="57">
        <v>129</v>
      </c>
      <c r="G482" s="59">
        <v>4.7</v>
      </c>
      <c r="H482" s="57">
        <f>IF(MONTH(Call_Centre_Data[[#This Row],[Date of Call]])&lt;=6,YEAR(Call_Centre_Data[[#This Row],[Date of Call]]),YEAR(Call_Centre_Data[[#This Row],[Date of Call]])+1)</f>
        <v>2023</v>
      </c>
      <c r="I482" s="39" t="str">
        <f>TEXT(Call_Centre_Data[[#This Row],[Date of Call]],"DDDD")</f>
        <v>Sunday</v>
      </c>
      <c r="J482" s="39" t="str" cm="1">
        <f t="array" ref="J482">_xlfn.IFS(Call_Centre_Data[[#This Row],[Duration]]&lt;=10,"Under 10 Mins", Call_Centre_Data[[#This Row],[Duration]]&lt;=30,"10-30 Mins",Call_Centre_Data[[#This Row],[Duration]]&lt;=60,"30-60 Mins",Call_Centre_Data[[#This Row],[Duration]]&lt;=120,"1-2 Hours",TRUE,"More than 2 Hours")</f>
        <v>1-2 Hours</v>
      </c>
      <c r="K482" s="91">
        <f>ROUND(Call_Centre_Data[[#This Row],[Satisfaction Rating]],0)</f>
        <v>5</v>
      </c>
    </row>
    <row r="483" spans="1:11" x14ac:dyDescent="0.35">
      <c r="A483" s="56" t="s">
        <v>1488</v>
      </c>
      <c r="B483" s="57" t="s">
        <v>1030</v>
      </c>
      <c r="C483" s="87">
        <v>107</v>
      </c>
      <c r="D483" s="57" t="s">
        <v>1008</v>
      </c>
      <c r="E483" s="58">
        <v>45067</v>
      </c>
      <c r="F483" s="57">
        <v>115</v>
      </c>
      <c r="G483" s="59">
        <v>4.9000000000000004</v>
      </c>
      <c r="H483" s="57">
        <f>IF(MONTH(Call_Centre_Data[[#This Row],[Date of Call]])&lt;=6,YEAR(Call_Centre_Data[[#This Row],[Date of Call]]),YEAR(Call_Centre_Data[[#This Row],[Date of Call]])+1)</f>
        <v>2023</v>
      </c>
      <c r="I483" s="39" t="str">
        <f>TEXT(Call_Centre_Data[[#This Row],[Date of Call]],"DDDD")</f>
        <v>Sunday</v>
      </c>
      <c r="J483" s="39" t="str" cm="1">
        <f t="array" ref="J483">_xlfn.IFS(Call_Centre_Data[[#This Row],[Duration]]&lt;=10,"Under 10 Mins", Call_Centre_Data[[#This Row],[Duration]]&lt;=30,"10-30 Mins",Call_Centre_Data[[#This Row],[Duration]]&lt;=60,"30-60 Mins",Call_Centre_Data[[#This Row],[Duration]]&lt;=120,"1-2 Hours",TRUE,"More than 2 Hours")</f>
        <v>1-2 Hours</v>
      </c>
      <c r="K483" s="91">
        <f>ROUND(Call_Centre_Data[[#This Row],[Satisfaction Rating]],0)</f>
        <v>5</v>
      </c>
    </row>
    <row r="484" spans="1:11" x14ac:dyDescent="0.35">
      <c r="A484" s="56" t="s">
        <v>1489</v>
      </c>
      <c r="B484" s="57" t="s">
        <v>1030</v>
      </c>
      <c r="C484" s="87">
        <v>93</v>
      </c>
      <c r="D484" s="57" t="s">
        <v>1008</v>
      </c>
      <c r="E484" s="58">
        <v>45067</v>
      </c>
      <c r="F484" s="57">
        <v>128</v>
      </c>
      <c r="G484" s="59">
        <v>3.9</v>
      </c>
      <c r="H484" s="57">
        <f>IF(MONTH(Call_Centre_Data[[#This Row],[Date of Call]])&lt;=6,YEAR(Call_Centre_Data[[#This Row],[Date of Call]]),YEAR(Call_Centre_Data[[#This Row],[Date of Call]])+1)</f>
        <v>2023</v>
      </c>
      <c r="I484" s="39" t="str">
        <f>TEXT(Call_Centre_Data[[#This Row],[Date of Call]],"DDDD")</f>
        <v>Sunday</v>
      </c>
      <c r="J484" s="39" t="str" cm="1">
        <f t="array" ref="J484">_xlfn.IFS(Call_Centre_Data[[#This Row],[Duration]]&lt;=10,"Under 10 Mins", Call_Centre_Data[[#This Row],[Duration]]&lt;=30,"10-30 Mins",Call_Centre_Data[[#This Row],[Duration]]&lt;=60,"30-60 Mins",Call_Centre_Data[[#This Row],[Duration]]&lt;=120,"1-2 Hours",TRUE,"More than 2 Hours")</f>
        <v>1-2 Hours</v>
      </c>
      <c r="K484" s="91">
        <f>ROUND(Call_Centre_Data[[#This Row],[Satisfaction Rating]],0)</f>
        <v>4</v>
      </c>
    </row>
    <row r="485" spans="1:11" x14ac:dyDescent="0.35">
      <c r="A485" s="56" t="s">
        <v>1490</v>
      </c>
      <c r="B485" s="57" t="s">
        <v>1030</v>
      </c>
      <c r="C485" s="87">
        <v>117</v>
      </c>
      <c r="D485" s="57" t="s">
        <v>999</v>
      </c>
      <c r="E485" s="58">
        <v>45067</v>
      </c>
      <c r="F485" s="57">
        <v>90</v>
      </c>
      <c r="G485" s="59">
        <v>4.5</v>
      </c>
      <c r="H485" s="57">
        <f>IF(MONTH(Call_Centre_Data[[#This Row],[Date of Call]])&lt;=6,YEAR(Call_Centre_Data[[#This Row],[Date of Call]]),YEAR(Call_Centre_Data[[#This Row],[Date of Call]])+1)</f>
        <v>2023</v>
      </c>
      <c r="I485" s="39" t="str">
        <f>TEXT(Call_Centre_Data[[#This Row],[Date of Call]],"DDDD")</f>
        <v>Sunday</v>
      </c>
      <c r="J485" s="39" t="str" cm="1">
        <f t="array" ref="J485">_xlfn.IFS(Call_Centre_Data[[#This Row],[Duration]]&lt;=10,"Under 10 Mins", Call_Centre_Data[[#This Row],[Duration]]&lt;=30,"10-30 Mins",Call_Centre_Data[[#This Row],[Duration]]&lt;=60,"30-60 Mins",Call_Centre_Data[[#This Row],[Duration]]&lt;=120,"1-2 Hours",TRUE,"More than 2 Hours")</f>
        <v>1-2 Hours</v>
      </c>
      <c r="K485" s="91">
        <f>ROUND(Call_Centre_Data[[#This Row],[Satisfaction Rating]],0)</f>
        <v>5</v>
      </c>
    </row>
    <row r="486" spans="1:11" x14ac:dyDescent="0.35">
      <c r="A486" s="56" t="s">
        <v>1491</v>
      </c>
      <c r="B486" s="57" t="s">
        <v>1013</v>
      </c>
      <c r="C486" s="87">
        <v>76</v>
      </c>
      <c r="D486" s="57" t="s">
        <v>1004</v>
      </c>
      <c r="E486" s="58">
        <v>45068</v>
      </c>
      <c r="F486" s="57">
        <v>39</v>
      </c>
      <c r="G486" s="59">
        <v>4.5999999999999996</v>
      </c>
      <c r="H486" s="57">
        <f>IF(MONTH(Call_Centre_Data[[#This Row],[Date of Call]])&lt;=6,YEAR(Call_Centre_Data[[#This Row],[Date of Call]]),YEAR(Call_Centre_Data[[#This Row],[Date of Call]])+1)</f>
        <v>2023</v>
      </c>
      <c r="I486" s="39" t="str">
        <f>TEXT(Call_Centre_Data[[#This Row],[Date of Call]],"DDDD")</f>
        <v>Monday</v>
      </c>
      <c r="J486" s="39" t="str" cm="1">
        <f t="array" ref="J486">_xlfn.IFS(Call_Centre_Data[[#This Row],[Duration]]&lt;=10,"Under 10 Mins", Call_Centre_Data[[#This Row],[Duration]]&lt;=30,"10-30 Mins",Call_Centre_Data[[#This Row],[Duration]]&lt;=60,"30-60 Mins",Call_Centre_Data[[#This Row],[Duration]]&lt;=120,"1-2 Hours",TRUE,"More than 2 Hours")</f>
        <v>1-2 Hours</v>
      </c>
      <c r="K486" s="91">
        <f>ROUND(Call_Centre_Data[[#This Row],[Satisfaction Rating]],0)</f>
        <v>5</v>
      </c>
    </row>
    <row r="487" spans="1:11" x14ac:dyDescent="0.35">
      <c r="A487" s="56" t="s">
        <v>1492</v>
      </c>
      <c r="B487" s="57" t="s">
        <v>1007</v>
      </c>
      <c r="C487" s="87">
        <v>64</v>
      </c>
      <c r="D487" s="57" t="s">
        <v>1008</v>
      </c>
      <c r="E487" s="58">
        <v>45068</v>
      </c>
      <c r="F487" s="57">
        <v>132</v>
      </c>
      <c r="G487" s="59">
        <v>3.3</v>
      </c>
      <c r="H487" s="57">
        <f>IF(MONTH(Call_Centre_Data[[#This Row],[Date of Call]])&lt;=6,YEAR(Call_Centre_Data[[#This Row],[Date of Call]]),YEAR(Call_Centre_Data[[#This Row],[Date of Call]])+1)</f>
        <v>2023</v>
      </c>
      <c r="I487" s="39" t="str">
        <f>TEXT(Call_Centre_Data[[#This Row],[Date of Call]],"DDDD")</f>
        <v>Monday</v>
      </c>
      <c r="J487" s="39" t="str" cm="1">
        <f t="array" ref="J487">_xlfn.IFS(Call_Centre_Data[[#This Row],[Duration]]&lt;=10,"Under 10 Mins", Call_Centre_Data[[#This Row],[Duration]]&lt;=30,"10-30 Mins",Call_Centre_Data[[#This Row],[Duration]]&lt;=60,"30-60 Mins",Call_Centre_Data[[#This Row],[Duration]]&lt;=120,"1-2 Hours",TRUE,"More than 2 Hours")</f>
        <v>1-2 Hours</v>
      </c>
      <c r="K487" s="91">
        <f>ROUND(Call_Centre_Data[[#This Row],[Satisfaction Rating]],0)</f>
        <v>3</v>
      </c>
    </row>
    <row r="488" spans="1:11" x14ac:dyDescent="0.35">
      <c r="A488" s="56" t="s">
        <v>1493</v>
      </c>
      <c r="B488" s="57" t="s">
        <v>998</v>
      </c>
      <c r="C488" s="87">
        <v>33</v>
      </c>
      <c r="D488" s="57" t="s">
        <v>1008</v>
      </c>
      <c r="E488" s="58">
        <v>45068</v>
      </c>
      <c r="F488" s="57">
        <v>170</v>
      </c>
      <c r="G488" s="59">
        <v>3.8</v>
      </c>
      <c r="H488" s="57">
        <f>IF(MONTH(Call_Centre_Data[[#This Row],[Date of Call]])&lt;=6,YEAR(Call_Centre_Data[[#This Row],[Date of Call]]),YEAR(Call_Centre_Data[[#This Row],[Date of Call]])+1)</f>
        <v>2023</v>
      </c>
      <c r="I488" s="39" t="str">
        <f>TEXT(Call_Centre_Data[[#This Row],[Date of Call]],"DDDD")</f>
        <v>Monday</v>
      </c>
      <c r="J488" s="39" t="str" cm="1">
        <f t="array" ref="J488">_xlfn.IFS(Call_Centre_Data[[#This Row],[Duration]]&lt;=10,"Under 10 Mins", Call_Centre_Data[[#This Row],[Duration]]&lt;=30,"10-30 Mins",Call_Centre_Data[[#This Row],[Duration]]&lt;=60,"30-60 Mins",Call_Centre_Data[[#This Row],[Duration]]&lt;=120,"1-2 Hours",TRUE,"More than 2 Hours")</f>
        <v>30-60 Mins</v>
      </c>
      <c r="K488" s="91">
        <f>ROUND(Call_Centre_Data[[#This Row],[Satisfaction Rating]],0)</f>
        <v>4</v>
      </c>
    </row>
    <row r="489" spans="1:11" x14ac:dyDescent="0.35">
      <c r="A489" s="56" t="s">
        <v>1494</v>
      </c>
      <c r="B489" s="57" t="s">
        <v>1030</v>
      </c>
      <c r="C489" s="87">
        <v>115</v>
      </c>
      <c r="D489" s="57" t="s">
        <v>999</v>
      </c>
      <c r="E489" s="58">
        <v>45068</v>
      </c>
      <c r="F489" s="57">
        <v>42</v>
      </c>
      <c r="G489" s="59">
        <v>4.7</v>
      </c>
      <c r="H489" s="57">
        <f>IF(MONTH(Call_Centre_Data[[#This Row],[Date of Call]])&lt;=6,YEAR(Call_Centre_Data[[#This Row],[Date of Call]]),YEAR(Call_Centre_Data[[#This Row],[Date of Call]])+1)</f>
        <v>2023</v>
      </c>
      <c r="I489" s="39" t="str">
        <f>TEXT(Call_Centre_Data[[#This Row],[Date of Call]],"DDDD")</f>
        <v>Monday</v>
      </c>
      <c r="J489" s="39" t="str" cm="1">
        <f t="array" ref="J489">_xlfn.IFS(Call_Centre_Data[[#This Row],[Duration]]&lt;=10,"Under 10 Mins", Call_Centre_Data[[#This Row],[Duration]]&lt;=30,"10-30 Mins",Call_Centre_Data[[#This Row],[Duration]]&lt;=60,"30-60 Mins",Call_Centre_Data[[#This Row],[Duration]]&lt;=120,"1-2 Hours",TRUE,"More than 2 Hours")</f>
        <v>1-2 Hours</v>
      </c>
      <c r="K489" s="91">
        <f>ROUND(Call_Centre_Data[[#This Row],[Satisfaction Rating]],0)</f>
        <v>5</v>
      </c>
    </row>
    <row r="490" spans="1:11" x14ac:dyDescent="0.35">
      <c r="A490" s="56" t="s">
        <v>1495</v>
      </c>
      <c r="B490" s="57" t="s">
        <v>996</v>
      </c>
      <c r="C490" s="87">
        <v>155</v>
      </c>
      <c r="D490" s="57" t="s">
        <v>1004</v>
      </c>
      <c r="E490" s="58">
        <v>45069</v>
      </c>
      <c r="F490" s="57">
        <v>37</v>
      </c>
      <c r="G490" s="59">
        <v>4</v>
      </c>
      <c r="H490" s="57">
        <f>IF(MONTH(Call_Centre_Data[[#This Row],[Date of Call]])&lt;=6,YEAR(Call_Centre_Data[[#This Row],[Date of Call]]),YEAR(Call_Centre_Data[[#This Row],[Date of Call]])+1)</f>
        <v>2023</v>
      </c>
      <c r="I490" s="39" t="str">
        <f>TEXT(Call_Centre_Data[[#This Row],[Date of Call]],"DDDD")</f>
        <v>Tuesday</v>
      </c>
      <c r="J490" s="39" t="str" cm="1">
        <f t="array" ref="J490">_xlfn.IFS(Call_Centre_Data[[#This Row],[Duration]]&lt;=10,"Under 10 Mins", Call_Centre_Data[[#This Row],[Duration]]&lt;=30,"10-30 Mins",Call_Centre_Data[[#This Row],[Duration]]&lt;=60,"30-60 Mins",Call_Centre_Data[[#This Row],[Duration]]&lt;=120,"1-2 Hours",TRUE,"More than 2 Hours")</f>
        <v>More than 2 Hours</v>
      </c>
      <c r="K490" s="91">
        <f>ROUND(Call_Centre_Data[[#This Row],[Satisfaction Rating]],0)</f>
        <v>4</v>
      </c>
    </row>
    <row r="491" spans="1:11" x14ac:dyDescent="0.35">
      <c r="A491" s="56" t="s">
        <v>1496</v>
      </c>
      <c r="B491" s="57" t="s">
        <v>991</v>
      </c>
      <c r="C491" s="87">
        <v>117</v>
      </c>
      <c r="D491" s="57" t="s">
        <v>1004</v>
      </c>
      <c r="E491" s="58">
        <v>45069</v>
      </c>
      <c r="F491" s="57">
        <v>88</v>
      </c>
      <c r="G491" s="59">
        <v>4.7</v>
      </c>
      <c r="H491" s="57">
        <f>IF(MONTH(Call_Centre_Data[[#This Row],[Date of Call]])&lt;=6,YEAR(Call_Centre_Data[[#This Row],[Date of Call]]),YEAR(Call_Centre_Data[[#This Row],[Date of Call]])+1)</f>
        <v>2023</v>
      </c>
      <c r="I491" s="39" t="str">
        <f>TEXT(Call_Centre_Data[[#This Row],[Date of Call]],"DDDD")</f>
        <v>Tuesday</v>
      </c>
      <c r="J491" s="39" t="str" cm="1">
        <f t="array" ref="J491">_xlfn.IFS(Call_Centre_Data[[#This Row],[Duration]]&lt;=10,"Under 10 Mins", Call_Centre_Data[[#This Row],[Duration]]&lt;=30,"10-30 Mins",Call_Centre_Data[[#This Row],[Duration]]&lt;=60,"30-60 Mins",Call_Centre_Data[[#This Row],[Duration]]&lt;=120,"1-2 Hours",TRUE,"More than 2 Hours")</f>
        <v>1-2 Hours</v>
      </c>
      <c r="K491" s="91">
        <f>ROUND(Call_Centre_Data[[#This Row],[Satisfaction Rating]],0)</f>
        <v>5</v>
      </c>
    </row>
    <row r="492" spans="1:11" x14ac:dyDescent="0.35">
      <c r="A492" s="56" t="s">
        <v>1497</v>
      </c>
      <c r="B492" s="57" t="s">
        <v>1060</v>
      </c>
      <c r="C492" s="87">
        <v>63</v>
      </c>
      <c r="D492" s="57" t="s">
        <v>1004</v>
      </c>
      <c r="E492" s="58">
        <v>45069</v>
      </c>
      <c r="F492" s="57">
        <v>80</v>
      </c>
      <c r="G492" s="59">
        <v>2.5</v>
      </c>
      <c r="H492" s="57">
        <f>IF(MONTH(Call_Centre_Data[[#This Row],[Date of Call]])&lt;=6,YEAR(Call_Centre_Data[[#This Row],[Date of Call]]),YEAR(Call_Centre_Data[[#This Row],[Date of Call]])+1)</f>
        <v>2023</v>
      </c>
      <c r="I492" s="39" t="str">
        <f>TEXT(Call_Centre_Data[[#This Row],[Date of Call]],"DDDD")</f>
        <v>Tuesday</v>
      </c>
      <c r="J492" s="39" t="str" cm="1">
        <f t="array" ref="J492">_xlfn.IFS(Call_Centre_Data[[#This Row],[Duration]]&lt;=10,"Under 10 Mins", Call_Centre_Data[[#This Row],[Duration]]&lt;=30,"10-30 Mins",Call_Centre_Data[[#This Row],[Duration]]&lt;=60,"30-60 Mins",Call_Centre_Data[[#This Row],[Duration]]&lt;=120,"1-2 Hours",TRUE,"More than 2 Hours")</f>
        <v>1-2 Hours</v>
      </c>
      <c r="K492" s="91">
        <f>ROUND(Call_Centre_Data[[#This Row],[Satisfaction Rating]],0)</f>
        <v>3</v>
      </c>
    </row>
    <row r="493" spans="1:11" x14ac:dyDescent="0.35">
      <c r="A493" s="56" t="s">
        <v>1498</v>
      </c>
      <c r="B493" s="57" t="s">
        <v>1007</v>
      </c>
      <c r="C493" s="87">
        <v>59</v>
      </c>
      <c r="D493" s="57" t="s">
        <v>989</v>
      </c>
      <c r="E493" s="58">
        <v>45070</v>
      </c>
      <c r="F493" s="57">
        <v>123</v>
      </c>
      <c r="G493" s="59">
        <v>3.6</v>
      </c>
      <c r="H493" s="57">
        <f>IF(MONTH(Call_Centre_Data[[#This Row],[Date of Call]])&lt;=6,YEAR(Call_Centre_Data[[#This Row],[Date of Call]]),YEAR(Call_Centre_Data[[#This Row],[Date of Call]])+1)</f>
        <v>2023</v>
      </c>
      <c r="I493" s="39" t="str">
        <f>TEXT(Call_Centre_Data[[#This Row],[Date of Call]],"DDDD")</f>
        <v>Wednesday</v>
      </c>
      <c r="J493" s="39" t="str" cm="1">
        <f t="array" ref="J493">_xlfn.IFS(Call_Centre_Data[[#This Row],[Duration]]&lt;=10,"Under 10 Mins", Call_Centre_Data[[#This Row],[Duration]]&lt;=30,"10-30 Mins",Call_Centre_Data[[#This Row],[Duration]]&lt;=60,"30-60 Mins",Call_Centre_Data[[#This Row],[Duration]]&lt;=120,"1-2 Hours",TRUE,"More than 2 Hours")</f>
        <v>30-60 Mins</v>
      </c>
      <c r="K493" s="91">
        <f>ROUND(Call_Centre_Data[[#This Row],[Satisfaction Rating]],0)</f>
        <v>4</v>
      </c>
    </row>
    <row r="494" spans="1:11" x14ac:dyDescent="0.35">
      <c r="A494" s="56" t="s">
        <v>1499</v>
      </c>
      <c r="B494" s="57" t="s">
        <v>1022</v>
      </c>
      <c r="C494" s="87">
        <v>133</v>
      </c>
      <c r="D494" s="57" t="s">
        <v>1008</v>
      </c>
      <c r="E494" s="58">
        <v>45070</v>
      </c>
      <c r="F494" s="57">
        <v>31</v>
      </c>
      <c r="G494" s="59">
        <v>3.7</v>
      </c>
      <c r="H494" s="57">
        <f>IF(MONTH(Call_Centre_Data[[#This Row],[Date of Call]])&lt;=6,YEAR(Call_Centre_Data[[#This Row],[Date of Call]]),YEAR(Call_Centre_Data[[#This Row],[Date of Call]])+1)</f>
        <v>2023</v>
      </c>
      <c r="I494" s="39" t="str">
        <f>TEXT(Call_Centre_Data[[#This Row],[Date of Call]],"DDDD")</f>
        <v>Wednesday</v>
      </c>
      <c r="J494" s="39" t="str" cm="1">
        <f t="array" ref="J494">_xlfn.IFS(Call_Centre_Data[[#This Row],[Duration]]&lt;=10,"Under 10 Mins", Call_Centre_Data[[#This Row],[Duration]]&lt;=30,"10-30 Mins",Call_Centre_Data[[#This Row],[Duration]]&lt;=60,"30-60 Mins",Call_Centre_Data[[#This Row],[Duration]]&lt;=120,"1-2 Hours",TRUE,"More than 2 Hours")</f>
        <v>More than 2 Hours</v>
      </c>
      <c r="K494" s="91">
        <f>ROUND(Call_Centre_Data[[#This Row],[Satisfaction Rating]],0)</f>
        <v>4</v>
      </c>
    </row>
    <row r="495" spans="1:11" x14ac:dyDescent="0.35">
      <c r="A495" s="56" t="s">
        <v>1500</v>
      </c>
      <c r="B495" s="57" t="s">
        <v>1040</v>
      </c>
      <c r="C495" s="87">
        <v>101</v>
      </c>
      <c r="D495" s="57" t="s">
        <v>994</v>
      </c>
      <c r="E495" s="58">
        <v>45070</v>
      </c>
      <c r="F495" s="57">
        <v>205</v>
      </c>
      <c r="G495" s="59">
        <v>3.9</v>
      </c>
      <c r="H495" s="57">
        <f>IF(MONTH(Call_Centre_Data[[#This Row],[Date of Call]])&lt;=6,YEAR(Call_Centre_Data[[#This Row],[Date of Call]]),YEAR(Call_Centre_Data[[#This Row],[Date of Call]])+1)</f>
        <v>2023</v>
      </c>
      <c r="I495" s="39" t="str">
        <f>TEXT(Call_Centre_Data[[#This Row],[Date of Call]],"DDDD")</f>
        <v>Wednesday</v>
      </c>
      <c r="J495" s="39" t="str" cm="1">
        <f t="array" ref="J495">_xlfn.IFS(Call_Centre_Data[[#This Row],[Duration]]&lt;=10,"Under 10 Mins", Call_Centre_Data[[#This Row],[Duration]]&lt;=30,"10-30 Mins",Call_Centre_Data[[#This Row],[Duration]]&lt;=60,"30-60 Mins",Call_Centre_Data[[#This Row],[Duration]]&lt;=120,"1-2 Hours",TRUE,"More than 2 Hours")</f>
        <v>1-2 Hours</v>
      </c>
      <c r="K495" s="91">
        <f>ROUND(Call_Centre_Data[[#This Row],[Satisfaction Rating]],0)</f>
        <v>4</v>
      </c>
    </row>
    <row r="496" spans="1:11" x14ac:dyDescent="0.35">
      <c r="A496" s="56" t="s">
        <v>1501</v>
      </c>
      <c r="B496" s="57" t="s">
        <v>1011</v>
      </c>
      <c r="C496" s="87">
        <v>151</v>
      </c>
      <c r="D496" s="57" t="s">
        <v>1004</v>
      </c>
      <c r="E496" s="58">
        <v>45071</v>
      </c>
      <c r="F496" s="57">
        <v>123</v>
      </c>
      <c r="G496" s="59">
        <v>3.7</v>
      </c>
      <c r="H496" s="57">
        <f>IF(MONTH(Call_Centre_Data[[#This Row],[Date of Call]])&lt;=6,YEAR(Call_Centre_Data[[#This Row],[Date of Call]]),YEAR(Call_Centre_Data[[#This Row],[Date of Call]])+1)</f>
        <v>2023</v>
      </c>
      <c r="I496" s="39" t="str">
        <f>TEXT(Call_Centre_Data[[#This Row],[Date of Call]],"DDDD")</f>
        <v>Thursday</v>
      </c>
      <c r="J496" s="39" t="str" cm="1">
        <f t="array" ref="J496">_xlfn.IFS(Call_Centre_Data[[#This Row],[Duration]]&lt;=10,"Under 10 Mins", Call_Centre_Data[[#This Row],[Duration]]&lt;=30,"10-30 Mins",Call_Centre_Data[[#This Row],[Duration]]&lt;=60,"30-60 Mins",Call_Centre_Data[[#This Row],[Duration]]&lt;=120,"1-2 Hours",TRUE,"More than 2 Hours")</f>
        <v>More than 2 Hours</v>
      </c>
      <c r="K496" s="91">
        <f>ROUND(Call_Centre_Data[[#This Row],[Satisfaction Rating]],0)</f>
        <v>4</v>
      </c>
    </row>
    <row r="497" spans="1:11" x14ac:dyDescent="0.35">
      <c r="A497" s="56" t="s">
        <v>1502</v>
      </c>
      <c r="B497" s="57" t="s">
        <v>998</v>
      </c>
      <c r="C497" s="87">
        <v>146</v>
      </c>
      <c r="D497" s="57" t="s">
        <v>1008</v>
      </c>
      <c r="E497" s="58">
        <v>45071</v>
      </c>
      <c r="F497" s="57">
        <v>123</v>
      </c>
      <c r="G497" s="59">
        <v>4.3</v>
      </c>
      <c r="H497" s="57">
        <f>IF(MONTH(Call_Centre_Data[[#This Row],[Date of Call]])&lt;=6,YEAR(Call_Centre_Data[[#This Row],[Date of Call]]),YEAR(Call_Centre_Data[[#This Row],[Date of Call]])+1)</f>
        <v>2023</v>
      </c>
      <c r="I497" s="39" t="str">
        <f>TEXT(Call_Centre_Data[[#This Row],[Date of Call]],"DDDD")</f>
        <v>Thursday</v>
      </c>
      <c r="J497" s="39" t="str" cm="1">
        <f t="array" ref="J497">_xlfn.IFS(Call_Centre_Data[[#This Row],[Duration]]&lt;=10,"Under 10 Mins", Call_Centre_Data[[#This Row],[Duration]]&lt;=30,"10-30 Mins",Call_Centre_Data[[#This Row],[Duration]]&lt;=60,"30-60 Mins",Call_Centre_Data[[#This Row],[Duration]]&lt;=120,"1-2 Hours",TRUE,"More than 2 Hours")</f>
        <v>More than 2 Hours</v>
      </c>
      <c r="K497" s="91">
        <f>ROUND(Call_Centre_Data[[#This Row],[Satisfaction Rating]],0)</f>
        <v>4</v>
      </c>
    </row>
    <row r="498" spans="1:11" x14ac:dyDescent="0.35">
      <c r="A498" s="56" t="s">
        <v>1503</v>
      </c>
      <c r="B498" s="57" t="s">
        <v>1060</v>
      </c>
      <c r="C498" s="87">
        <v>148</v>
      </c>
      <c r="D498" s="57" t="s">
        <v>1008</v>
      </c>
      <c r="E498" s="58">
        <v>45071</v>
      </c>
      <c r="F498" s="57">
        <v>36</v>
      </c>
      <c r="G498" s="59">
        <v>2.9</v>
      </c>
      <c r="H498" s="57">
        <f>IF(MONTH(Call_Centre_Data[[#This Row],[Date of Call]])&lt;=6,YEAR(Call_Centre_Data[[#This Row],[Date of Call]]),YEAR(Call_Centre_Data[[#This Row],[Date of Call]])+1)</f>
        <v>2023</v>
      </c>
      <c r="I498" s="39" t="str">
        <f>TEXT(Call_Centre_Data[[#This Row],[Date of Call]],"DDDD")</f>
        <v>Thursday</v>
      </c>
      <c r="J498" s="39" t="str" cm="1">
        <f t="array" ref="J498">_xlfn.IFS(Call_Centre_Data[[#This Row],[Duration]]&lt;=10,"Under 10 Mins", Call_Centre_Data[[#This Row],[Duration]]&lt;=30,"10-30 Mins",Call_Centre_Data[[#This Row],[Duration]]&lt;=60,"30-60 Mins",Call_Centre_Data[[#This Row],[Duration]]&lt;=120,"1-2 Hours",TRUE,"More than 2 Hours")</f>
        <v>More than 2 Hours</v>
      </c>
      <c r="K498" s="91">
        <f>ROUND(Call_Centre_Data[[#This Row],[Satisfaction Rating]],0)</f>
        <v>3</v>
      </c>
    </row>
    <row r="499" spans="1:11" x14ac:dyDescent="0.35">
      <c r="A499" s="56" t="s">
        <v>1504</v>
      </c>
      <c r="B499" s="57" t="s">
        <v>1011</v>
      </c>
      <c r="C499" s="87">
        <v>81</v>
      </c>
      <c r="D499" s="57" t="s">
        <v>1008</v>
      </c>
      <c r="E499" s="58">
        <v>45071</v>
      </c>
      <c r="F499" s="57">
        <v>116</v>
      </c>
      <c r="G499" s="59">
        <v>4.3</v>
      </c>
      <c r="H499" s="57">
        <f>IF(MONTH(Call_Centre_Data[[#This Row],[Date of Call]])&lt;=6,YEAR(Call_Centre_Data[[#This Row],[Date of Call]]),YEAR(Call_Centre_Data[[#This Row],[Date of Call]])+1)</f>
        <v>2023</v>
      </c>
      <c r="I499" s="39" t="str">
        <f>TEXT(Call_Centre_Data[[#This Row],[Date of Call]],"DDDD")</f>
        <v>Thursday</v>
      </c>
      <c r="J499" s="39" t="str" cm="1">
        <f t="array" ref="J499">_xlfn.IFS(Call_Centre_Data[[#This Row],[Duration]]&lt;=10,"Under 10 Mins", Call_Centre_Data[[#This Row],[Duration]]&lt;=30,"10-30 Mins",Call_Centre_Data[[#This Row],[Duration]]&lt;=60,"30-60 Mins",Call_Centre_Data[[#This Row],[Duration]]&lt;=120,"1-2 Hours",TRUE,"More than 2 Hours")</f>
        <v>1-2 Hours</v>
      </c>
      <c r="K499" s="91">
        <f>ROUND(Call_Centre_Data[[#This Row],[Satisfaction Rating]],0)</f>
        <v>4</v>
      </c>
    </row>
    <row r="500" spans="1:11" x14ac:dyDescent="0.35">
      <c r="A500" s="56" t="s">
        <v>1505</v>
      </c>
      <c r="B500" s="57" t="s">
        <v>1019</v>
      </c>
      <c r="C500" s="87">
        <v>115</v>
      </c>
      <c r="D500" s="57" t="s">
        <v>1008</v>
      </c>
      <c r="E500" s="58">
        <v>45071</v>
      </c>
      <c r="F500" s="57">
        <v>40</v>
      </c>
      <c r="G500" s="59">
        <v>4.9000000000000004</v>
      </c>
      <c r="H500" s="57">
        <f>IF(MONTH(Call_Centre_Data[[#This Row],[Date of Call]])&lt;=6,YEAR(Call_Centre_Data[[#This Row],[Date of Call]]),YEAR(Call_Centre_Data[[#This Row],[Date of Call]])+1)</f>
        <v>2023</v>
      </c>
      <c r="I500" s="39" t="str">
        <f>TEXT(Call_Centre_Data[[#This Row],[Date of Call]],"DDDD")</f>
        <v>Thursday</v>
      </c>
      <c r="J500" s="39" t="str" cm="1">
        <f t="array" ref="J500">_xlfn.IFS(Call_Centre_Data[[#This Row],[Duration]]&lt;=10,"Under 10 Mins", Call_Centre_Data[[#This Row],[Duration]]&lt;=30,"10-30 Mins",Call_Centre_Data[[#This Row],[Duration]]&lt;=60,"30-60 Mins",Call_Centre_Data[[#This Row],[Duration]]&lt;=120,"1-2 Hours",TRUE,"More than 2 Hours")</f>
        <v>1-2 Hours</v>
      </c>
      <c r="K500" s="91">
        <f>ROUND(Call_Centre_Data[[#This Row],[Satisfaction Rating]],0)</f>
        <v>5</v>
      </c>
    </row>
    <row r="501" spans="1:11" x14ac:dyDescent="0.35">
      <c r="A501" s="56" t="s">
        <v>1506</v>
      </c>
      <c r="B501" s="57" t="s">
        <v>1019</v>
      </c>
      <c r="C501" s="87">
        <v>117</v>
      </c>
      <c r="D501" s="57" t="s">
        <v>1004</v>
      </c>
      <c r="E501" s="58">
        <v>45071</v>
      </c>
      <c r="F501" s="57">
        <v>40</v>
      </c>
      <c r="G501" s="59">
        <v>4</v>
      </c>
      <c r="H501" s="57">
        <f>IF(MONTH(Call_Centre_Data[[#This Row],[Date of Call]])&lt;=6,YEAR(Call_Centre_Data[[#This Row],[Date of Call]]),YEAR(Call_Centre_Data[[#This Row],[Date of Call]])+1)</f>
        <v>2023</v>
      </c>
      <c r="I501" s="39" t="str">
        <f>TEXT(Call_Centre_Data[[#This Row],[Date of Call]],"DDDD")</f>
        <v>Thursday</v>
      </c>
      <c r="J501" s="39" t="str" cm="1">
        <f t="array" ref="J501">_xlfn.IFS(Call_Centre_Data[[#This Row],[Duration]]&lt;=10,"Under 10 Mins", Call_Centre_Data[[#This Row],[Duration]]&lt;=30,"10-30 Mins",Call_Centre_Data[[#This Row],[Duration]]&lt;=60,"30-60 Mins",Call_Centre_Data[[#This Row],[Duration]]&lt;=120,"1-2 Hours",TRUE,"More than 2 Hours")</f>
        <v>1-2 Hours</v>
      </c>
      <c r="K501" s="91">
        <f>ROUND(Call_Centre_Data[[#This Row],[Satisfaction Rating]],0)</f>
        <v>4</v>
      </c>
    </row>
    <row r="502" spans="1:11" x14ac:dyDescent="0.35">
      <c r="A502" s="56" t="s">
        <v>1507</v>
      </c>
      <c r="B502" s="57" t="s">
        <v>1040</v>
      </c>
      <c r="C502" s="87">
        <v>110</v>
      </c>
      <c r="D502" s="57" t="s">
        <v>999</v>
      </c>
      <c r="E502" s="58">
        <v>45072</v>
      </c>
      <c r="F502" s="57">
        <v>82</v>
      </c>
      <c r="G502" s="59">
        <v>4</v>
      </c>
      <c r="H502" s="57">
        <f>IF(MONTH(Call_Centre_Data[[#This Row],[Date of Call]])&lt;=6,YEAR(Call_Centre_Data[[#This Row],[Date of Call]]),YEAR(Call_Centre_Data[[#This Row],[Date of Call]])+1)</f>
        <v>2023</v>
      </c>
      <c r="I502" s="39" t="str">
        <f>TEXT(Call_Centre_Data[[#This Row],[Date of Call]],"DDDD")</f>
        <v>Friday</v>
      </c>
      <c r="J502" s="39" t="str" cm="1">
        <f t="array" ref="J502">_xlfn.IFS(Call_Centre_Data[[#This Row],[Duration]]&lt;=10,"Under 10 Mins", Call_Centre_Data[[#This Row],[Duration]]&lt;=30,"10-30 Mins",Call_Centre_Data[[#This Row],[Duration]]&lt;=60,"30-60 Mins",Call_Centre_Data[[#This Row],[Duration]]&lt;=120,"1-2 Hours",TRUE,"More than 2 Hours")</f>
        <v>1-2 Hours</v>
      </c>
      <c r="K502" s="91">
        <f>ROUND(Call_Centre_Data[[#This Row],[Satisfaction Rating]],0)</f>
        <v>4</v>
      </c>
    </row>
    <row r="503" spans="1:11" x14ac:dyDescent="0.35">
      <c r="A503" s="56" t="s">
        <v>1508</v>
      </c>
      <c r="B503" s="57" t="s">
        <v>1013</v>
      </c>
      <c r="C503" s="87">
        <v>103</v>
      </c>
      <c r="D503" s="57" t="s">
        <v>989</v>
      </c>
      <c r="E503" s="58">
        <v>45072</v>
      </c>
      <c r="F503" s="57">
        <v>62</v>
      </c>
      <c r="G503" s="59">
        <v>3.4</v>
      </c>
      <c r="H503" s="57">
        <f>IF(MONTH(Call_Centre_Data[[#This Row],[Date of Call]])&lt;=6,YEAR(Call_Centre_Data[[#This Row],[Date of Call]]),YEAR(Call_Centre_Data[[#This Row],[Date of Call]])+1)</f>
        <v>2023</v>
      </c>
      <c r="I503" s="39" t="str">
        <f>TEXT(Call_Centre_Data[[#This Row],[Date of Call]],"DDDD")</f>
        <v>Friday</v>
      </c>
      <c r="J503" s="39" t="str" cm="1">
        <f t="array" ref="J503">_xlfn.IFS(Call_Centre_Data[[#This Row],[Duration]]&lt;=10,"Under 10 Mins", Call_Centre_Data[[#This Row],[Duration]]&lt;=30,"10-30 Mins",Call_Centre_Data[[#This Row],[Duration]]&lt;=60,"30-60 Mins",Call_Centre_Data[[#This Row],[Duration]]&lt;=120,"1-2 Hours",TRUE,"More than 2 Hours")</f>
        <v>1-2 Hours</v>
      </c>
      <c r="K503" s="91">
        <f>ROUND(Call_Centre_Data[[#This Row],[Satisfaction Rating]],0)</f>
        <v>3</v>
      </c>
    </row>
    <row r="504" spans="1:11" x14ac:dyDescent="0.35">
      <c r="A504" s="56" t="s">
        <v>1509</v>
      </c>
      <c r="B504" s="57" t="s">
        <v>996</v>
      </c>
      <c r="C504" s="87">
        <v>45</v>
      </c>
      <c r="D504" s="57" t="s">
        <v>989</v>
      </c>
      <c r="E504" s="58">
        <v>45072</v>
      </c>
      <c r="F504" s="57">
        <v>135</v>
      </c>
      <c r="G504" s="59">
        <v>3.9</v>
      </c>
      <c r="H504" s="57">
        <f>IF(MONTH(Call_Centre_Data[[#This Row],[Date of Call]])&lt;=6,YEAR(Call_Centre_Data[[#This Row],[Date of Call]]),YEAR(Call_Centre_Data[[#This Row],[Date of Call]])+1)</f>
        <v>2023</v>
      </c>
      <c r="I504" s="39" t="str">
        <f>TEXT(Call_Centre_Data[[#This Row],[Date of Call]],"DDDD")</f>
        <v>Friday</v>
      </c>
      <c r="J504" s="39" t="str" cm="1">
        <f t="array" ref="J504">_xlfn.IFS(Call_Centre_Data[[#This Row],[Duration]]&lt;=10,"Under 10 Mins", Call_Centre_Data[[#This Row],[Duration]]&lt;=30,"10-30 Mins",Call_Centre_Data[[#This Row],[Duration]]&lt;=60,"30-60 Mins",Call_Centre_Data[[#This Row],[Duration]]&lt;=120,"1-2 Hours",TRUE,"More than 2 Hours")</f>
        <v>30-60 Mins</v>
      </c>
      <c r="K504" s="91">
        <f>ROUND(Call_Centre_Data[[#This Row],[Satisfaction Rating]],0)</f>
        <v>4</v>
      </c>
    </row>
    <row r="505" spans="1:11" x14ac:dyDescent="0.35">
      <c r="A505" s="56" t="s">
        <v>1510</v>
      </c>
      <c r="B505" s="57" t="s">
        <v>1040</v>
      </c>
      <c r="C505" s="87">
        <v>110</v>
      </c>
      <c r="D505" s="57" t="s">
        <v>994</v>
      </c>
      <c r="E505" s="58">
        <v>45072</v>
      </c>
      <c r="F505" s="57">
        <v>155</v>
      </c>
      <c r="G505" s="59">
        <v>2.1</v>
      </c>
      <c r="H505" s="57">
        <f>IF(MONTH(Call_Centre_Data[[#This Row],[Date of Call]])&lt;=6,YEAR(Call_Centre_Data[[#This Row],[Date of Call]]),YEAR(Call_Centre_Data[[#This Row],[Date of Call]])+1)</f>
        <v>2023</v>
      </c>
      <c r="I505" s="39" t="str">
        <f>TEXT(Call_Centre_Data[[#This Row],[Date of Call]],"DDDD")</f>
        <v>Friday</v>
      </c>
      <c r="J505" s="39" t="str" cm="1">
        <f t="array" ref="J505">_xlfn.IFS(Call_Centre_Data[[#This Row],[Duration]]&lt;=10,"Under 10 Mins", Call_Centre_Data[[#This Row],[Duration]]&lt;=30,"10-30 Mins",Call_Centre_Data[[#This Row],[Duration]]&lt;=60,"30-60 Mins",Call_Centre_Data[[#This Row],[Duration]]&lt;=120,"1-2 Hours",TRUE,"More than 2 Hours")</f>
        <v>1-2 Hours</v>
      </c>
      <c r="K505" s="91">
        <f>ROUND(Call_Centre_Data[[#This Row],[Satisfaction Rating]],0)</f>
        <v>2</v>
      </c>
    </row>
    <row r="506" spans="1:11" x14ac:dyDescent="0.35">
      <c r="A506" s="56" t="s">
        <v>1511</v>
      </c>
      <c r="B506" s="57" t="s">
        <v>1007</v>
      </c>
      <c r="C506" s="87">
        <v>43</v>
      </c>
      <c r="D506" s="57" t="s">
        <v>999</v>
      </c>
      <c r="E506" s="58">
        <v>45072</v>
      </c>
      <c r="F506" s="57">
        <v>37</v>
      </c>
      <c r="G506" s="59">
        <v>4.9000000000000004</v>
      </c>
      <c r="H506" s="57">
        <f>IF(MONTH(Call_Centre_Data[[#This Row],[Date of Call]])&lt;=6,YEAR(Call_Centre_Data[[#This Row],[Date of Call]]),YEAR(Call_Centre_Data[[#This Row],[Date of Call]])+1)</f>
        <v>2023</v>
      </c>
      <c r="I506" s="39" t="str">
        <f>TEXT(Call_Centre_Data[[#This Row],[Date of Call]],"DDDD")</f>
        <v>Friday</v>
      </c>
      <c r="J506" s="39" t="str" cm="1">
        <f t="array" ref="J506">_xlfn.IFS(Call_Centre_Data[[#This Row],[Duration]]&lt;=10,"Under 10 Mins", Call_Centre_Data[[#This Row],[Duration]]&lt;=30,"10-30 Mins",Call_Centre_Data[[#This Row],[Duration]]&lt;=60,"30-60 Mins",Call_Centre_Data[[#This Row],[Duration]]&lt;=120,"1-2 Hours",TRUE,"More than 2 Hours")</f>
        <v>30-60 Mins</v>
      </c>
      <c r="K506" s="91">
        <f>ROUND(Call_Centre_Data[[#This Row],[Satisfaction Rating]],0)</f>
        <v>5</v>
      </c>
    </row>
    <row r="507" spans="1:11" x14ac:dyDescent="0.35">
      <c r="A507" s="56" t="s">
        <v>1512</v>
      </c>
      <c r="B507" s="57" t="s">
        <v>1040</v>
      </c>
      <c r="C507" s="87">
        <v>104</v>
      </c>
      <c r="D507" s="57" t="s">
        <v>1004</v>
      </c>
      <c r="E507" s="58">
        <v>45073</v>
      </c>
      <c r="F507" s="57">
        <v>56</v>
      </c>
      <c r="G507" s="59">
        <v>3.4</v>
      </c>
      <c r="H507" s="57">
        <f>IF(MONTH(Call_Centre_Data[[#This Row],[Date of Call]])&lt;=6,YEAR(Call_Centre_Data[[#This Row],[Date of Call]]),YEAR(Call_Centre_Data[[#This Row],[Date of Call]])+1)</f>
        <v>2023</v>
      </c>
      <c r="I507" s="39" t="str">
        <f>TEXT(Call_Centre_Data[[#This Row],[Date of Call]],"DDDD")</f>
        <v>Saturday</v>
      </c>
      <c r="J507" s="39" t="str" cm="1">
        <f t="array" ref="J507">_xlfn.IFS(Call_Centre_Data[[#This Row],[Duration]]&lt;=10,"Under 10 Mins", Call_Centre_Data[[#This Row],[Duration]]&lt;=30,"10-30 Mins",Call_Centre_Data[[#This Row],[Duration]]&lt;=60,"30-60 Mins",Call_Centre_Data[[#This Row],[Duration]]&lt;=120,"1-2 Hours",TRUE,"More than 2 Hours")</f>
        <v>1-2 Hours</v>
      </c>
      <c r="K507" s="91">
        <f>ROUND(Call_Centre_Data[[#This Row],[Satisfaction Rating]],0)</f>
        <v>3</v>
      </c>
    </row>
    <row r="508" spans="1:11" x14ac:dyDescent="0.35">
      <c r="A508" s="56" t="s">
        <v>1513</v>
      </c>
      <c r="B508" s="57" t="s">
        <v>1040</v>
      </c>
      <c r="C508" s="87">
        <v>101</v>
      </c>
      <c r="D508" s="57" t="s">
        <v>1004</v>
      </c>
      <c r="E508" s="58">
        <v>45073</v>
      </c>
      <c r="F508" s="57">
        <v>185</v>
      </c>
      <c r="G508" s="59">
        <v>5</v>
      </c>
      <c r="H508" s="57">
        <f>IF(MONTH(Call_Centre_Data[[#This Row],[Date of Call]])&lt;=6,YEAR(Call_Centre_Data[[#This Row],[Date of Call]]),YEAR(Call_Centre_Data[[#This Row],[Date of Call]])+1)</f>
        <v>2023</v>
      </c>
      <c r="I508" s="39" t="str">
        <f>TEXT(Call_Centre_Data[[#This Row],[Date of Call]],"DDDD")</f>
        <v>Saturday</v>
      </c>
      <c r="J508" s="39" t="str" cm="1">
        <f t="array" ref="J508">_xlfn.IFS(Call_Centre_Data[[#This Row],[Duration]]&lt;=10,"Under 10 Mins", Call_Centre_Data[[#This Row],[Duration]]&lt;=30,"10-30 Mins",Call_Centre_Data[[#This Row],[Duration]]&lt;=60,"30-60 Mins",Call_Centre_Data[[#This Row],[Duration]]&lt;=120,"1-2 Hours",TRUE,"More than 2 Hours")</f>
        <v>1-2 Hours</v>
      </c>
      <c r="K508" s="91">
        <f>ROUND(Call_Centre_Data[[#This Row],[Satisfaction Rating]],0)</f>
        <v>5</v>
      </c>
    </row>
    <row r="509" spans="1:11" x14ac:dyDescent="0.35">
      <c r="A509" s="56" t="s">
        <v>1514</v>
      </c>
      <c r="B509" s="57" t="s">
        <v>988</v>
      </c>
      <c r="C509" s="87">
        <v>55</v>
      </c>
      <c r="D509" s="57" t="s">
        <v>999</v>
      </c>
      <c r="E509" s="58">
        <v>45074</v>
      </c>
      <c r="F509" s="57">
        <v>145</v>
      </c>
      <c r="G509" s="59">
        <v>4.5</v>
      </c>
      <c r="H509" s="57">
        <f>IF(MONTH(Call_Centre_Data[[#This Row],[Date of Call]])&lt;=6,YEAR(Call_Centre_Data[[#This Row],[Date of Call]]),YEAR(Call_Centre_Data[[#This Row],[Date of Call]])+1)</f>
        <v>2023</v>
      </c>
      <c r="I509" s="39" t="str">
        <f>TEXT(Call_Centre_Data[[#This Row],[Date of Call]],"DDDD")</f>
        <v>Sunday</v>
      </c>
      <c r="J509" s="39" t="str" cm="1">
        <f t="array" ref="J509">_xlfn.IFS(Call_Centre_Data[[#This Row],[Duration]]&lt;=10,"Under 10 Mins", Call_Centre_Data[[#This Row],[Duration]]&lt;=30,"10-30 Mins",Call_Centre_Data[[#This Row],[Duration]]&lt;=60,"30-60 Mins",Call_Centre_Data[[#This Row],[Duration]]&lt;=120,"1-2 Hours",TRUE,"More than 2 Hours")</f>
        <v>30-60 Mins</v>
      </c>
      <c r="K509" s="91">
        <f>ROUND(Call_Centre_Data[[#This Row],[Satisfaction Rating]],0)</f>
        <v>5</v>
      </c>
    </row>
    <row r="510" spans="1:11" x14ac:dyDescent="0.35">
      <c r="A510" s="56" t="s">
        <v>1515</v>
      </c>
      <c r="B510" s="57" t="s">
        <v>1011</v>
      </c>
      <c r="C510" s="87">
        <v>40</v>
      </c>
      <c r="D510" s="57" t="s">
        <v>989</v>
      </c>
      <c r="E510" s="58">
        <v>45074</v>
      </c>
      <c r="F510" s="57">
        <v>116</v>
      </c>
      <c r="G510" s="59">
        <v>2.6</v>
      </c>
      <c r="H510" s="57">
        <f>IF(MONTH(Call_Centre_Data[[#This Row],[Date of Call]])&lt;=6,YEAR(Call_Centre_Data[[#This Row],[Date of Call]]),YEAR(Call_Centre_Data[[#This Row],[Date of Call]])+1)</f>
        <v>2023</v>
      </c>
      <c r="I510" s="39" t="str">
        <f>TEXT(Call_Centre_Data[[#This Row],[Date of Call]],"DDDD")</f>
        <v>Sunday</v>
      </c>
      <c r="J510" s="39" t="str" cm="1">
        <f t="array" ref="J510">_xlfn.IFS(Call_Centre_Data[[#This Row],[Duration]]&lt;=10,"Under 10 Mins", Call_Centre_Data[[#This Row],[Duration]]&lt;=30,"10-30 Mins",Call_Centre_Data[[#This Row],[Duration]]&lt;=60,"30-60 Mins",Call_Centre_Data[[#This Row],[Duration]]&lt;=120,"1-2 Hours",TRUE,"More than 2 Hours")</f>
        <v>30-60 Mins</v>
      </c>
      <c r="K510" s="91">
        <f>ROUND(Call_Centre_Data[[#This Row],[Satisfaction Rating]],0)</f>
        <v>3</v>
      </c>
    </row>
    <row r="511" spans="1:11" x14ac:dyDescent="0.35">
      <c r="A511" s="56" t="s">
        <v>1516</v>
      </c>
      <c r="B511" s="57" t="s">
        <v>1007</v>
      </c>
      <c r="C511" s="87">
        <v>122</v>
      </c>
      <c r="D511" s="57" t="s">
        <v>1008</v>
      </c>
      <c r="E511" s="58">
        <v>45074</v>
      </c>
      <c r="F511" s="57">
        <v>45</v>
      </c>
      <c r="G511" s="59">
        <v>4.2</v>
      </c>
      <c r="H511" s="57">
        <f>IF(MONTH(Call_Centre_Data[[#This Row],[Date of Call]])&lt;=6,YEAR(Call_Centre_Data[[#This Row],[Date of Call]]),YEAR(Call_Centre_Data[[#This Row],[Date of Call]])+1)</f>
        <v>2023</v>
      </c>
      <c r="I511" s="39" t="str">
        <f>TEXT(Call_Centre_Data[[#This Row],[Date of Call]],"DDDD")</f>
        <v>Sunday</v>
      </c>
      <c r="J511" s="39" t="str" cm="1">
        <f t="array" ref="J511">_xlfn.IFS(Call_Centre_Data[[#This Row],[Duration]]&lt;=10,"Under 10 Mins", Call_Centre_Data[[#This Row],[Duration]]&lt;=30,"10-30 Mins",Call_Centre_Data[[#This Row],[Duration]]&lt;=60,"30-60 Mins",Call_Centre_Data[[#This Row],[Duration]]&lt;=120,"1-2 Hours",TRUE,"More than 2 Hours")</f>
        <v>More than 2 Hours</v>
      </c>
      <c r="K511" s="91">
        <f>ROUND(Call_Centre_Data[[#This Row],[Satisfaction Rating]],0)</f>
        <v>4</v>
      </c>
    </row>
    <row r="512" spans="1:11" x14ac:dyDescent="0.35">
      <c r="A512" s="56" t="s">
        <v>1517</v>
      </c>
      <c r="B512" s="57" t="s">
        <v>998</v>
      </c>
      <c r="C512" s="87">
        <v>98</v>
      </c>
      <c r="D512" s="57" t="s">
        <v>1004</v>
      </c>
      <c r="E512" s="58">
        <v>45075</v>
      </c>
      <c r="F512" s="57">
        <v>35</v>
      </c>
      <c r="G512" s="59">
        <v>4.5</v>
      </c>
      <c r="H512" s="57">
        <f>IF(MONTH(Call_Centre_Data[[#This Row],[Date of Call]])&lt;=6,YEAR(Call_Centre_Data[[#This Row],[Date of Call]]),YEAR(Call_Centre_Data[[#This Row],[Date of Call]])+1)</f>
        <v>2023</v>
      </c>
      <c r="I512" s="39" t="str">
        <f>TEXT(Call_Centre_Data[[#This Row],[Date of Call]],"DDDD")</f>
        <v>Monday</v>
      </c>
      <c r="J512" s="39" t="str" cm="1">
        <f t="array" ref="J512">_xlfn.IFS(Call_Centre_Data[[#This Row],[Duration]]&lt;=10,"Under 10 Mins", Call_Centre_Data[[#This Row],[Duration]]&lt;=30,"10-30 Mins",Call_Centre_Data[[#This Row],[Duration]]&lt;=60,"30-60 Mins",Call_Centre_Data[[#This Row],[Duration]]&lt;=120,"1-2 Hours",TRUE,"More than 2 Hours")</f>
        <v>1-2 Hours</v>
      </c>
      <c r="K512" s="91">
        <f>ROUND(Call_Centre_Data[[#This Row],[Satisfaction Rating]],0)</f>
        <v>5</v>
      </c>
    </row>
    <row r="513" spans="1:11" x14ac:dyDescent="0.35">
      <c r="A513" s="56" t="s">
        <v>1518</v>
      </c>
      <c r="B513" s="57" t="s">
        <v>1019</v>
      </c>
      <c r="C513" s="87">
        <v>110</v>
      </c>
      <c r="D513" s="57" t="s">
        <v>989</v>
      </c>
      <c r="E513" s="58">
        <v>45075</v>
      </c>
      <c r="F513" s="57">
        <v>100</v>
      </c>
      <c r="G513" s="59">
        <v>4.4000000000000004</v>
      </c>
      <c r="H513" s="57">
        <f>IF(MONTH(Call_Centre_Data[[#This Row],[Date of Call]])&lt;=6,YEAR(Call_Centre_Data[[#This Row],[Date of Call]]),YEAR(Call_Centre_Data[[#This Row],[Date of Call]])+1)</f>
        <v>2023</v>
      </c>
      <c r="I513" s="39" t="str">
        <f>TEXT(Call_Centre_Data[[#This Row],[Date of Call]],"DDDD")</f>
        <v>Monday</v>
      </c>
      <c r="J513" s="39" t="str" cm="1">
        <f t="array" ref="J513">_xlfn.IFS(Call_Centre_Data[[#This Row],[Duration]]&lt;=10,"Under 10 Mins", Call_Centre_Data[[#This Row],[Duration]]&lt;=30,"10-30 Mins",Call_Centre_Data[[#This Row],[Duration]]&lt;=60,"30-60 Mins",Call_Centre_Data[[#This Row],[Duration]]&lt;=120,"1-2 Hours",TRUE,"More than 2 Hours")</f>
        <v>1-2 Hours</v>
      </c>
      <c r="K513" s="91">
        <f>ROUND(Call_Centre_Data[[#This Row],[Satisfaction Rating]],0)</f>
        <v>4</v>
      </c>
    </row>
    <row r="514" spans="1:11" x14ac:dyDescent="0.35">
      <c r="A514" s="56" t="s">
        <v>1519</v>
      </c>
      <c r="B514" s="57" t="s">
        <v>1019</v>
      </c>
      <c r="C514" s="87">
        <v>62</v>
      </c>
      <c r="D514" s="57" t="s">
        <v>999</v>
      </c>
      <c r="E514" s="58">
        <v>45076</v>
      </c>
      <c r="F514" s="57">
        <v>125</v>
      </c>
      <c r="G514" s="59">
        <v>3.5</v>
      </c>
      <c r="H514" s="57">
        <f>IF(MONTH(Call_Centre_Data[[#This Row],[Date of Call]])&lt;=6,YEAR(Call_Centre_Data[[#This Row],[Date of Call]]),YEAR(Call_Centre_Data[[#This Row],[Date of Call]])+1)</f>
        <v>2023</v>
      </c>
      <c r="I514" s="39" t="str">
        <f>TEXT(Call_Centre_Data[[#This Row],[Date of Call]],"DDDD")</f>
        <v>Tuesday</v>
      </c>
      <c r="J514" s="39" t="str" cm="1">
        <f t="array" ref="J514">_xlfn.IFS(Call_Centre_Data[[#This Row],[Duration]]&lt;=10,"Under 10 Mins", Call_Centre_Data[[#This Row],[Duration]]&lt;=30,"10-30 Mins",Call_Centre_Data[[#This Row],[Duration]]&lt;=60,"30-60 Mins",Call_Centre_Data[[#This Row],[Duration]]&lt;=120,"1-2 Hours",TRUE,"More than 2 Hours")</f>
        <v>1-2 Hours</v>
      </c>
      <c r="K514" s="91">
        <f>ROUND(Call_Centre_Data[[#This Row],[Satisfaction Rating]],0)</f>
        <v>4</v>
      </c>
    </row>
    <row r="515" spans="1:11" x14ac:dyDescent="0.35">
      <c r="A515" s="56" t="s">
        <v>1520</v>
      </c>
      <c r="B515" s="57" t="s">
        <v>1007</v>
      </c>
      <c r="C515" s="87">
        <v>134</v>
      </c>
      <c r="D515" s="57" t="s">
        <v>1008</v>
      </c>
      <c r="E515" s="58">
        <v>45076</v>
      </c>
      <c r="F515" s="57">
        <v>120</v>
      </c>
      <c r="G515" s="59">
        <v>3</v>
      </c>
      <c r="H515" s="57">
        <f>IF(MONTH(Call_Centre_Data[[#This Row],[Date of Call]])&lt;=6,YEAR(Call_Centre_Data[[#This Row],[Date of Call]]),YEAR(Call_Centre_Data[[#This Row],[Date of Call]])+1)</f>
        <v>2023</v>
      </c>
      <c r="I515" s="39" t="str">
        <f>TEXT(Call_Centre_Data[[#This Row],[Date of Call]],"DDDD")</f>
        <v>Tuesday</v>
      </c>
      <c r="J515" s="39" t="str" cm="1">
        <f t="array" ref="J515">_xlfn.IFS(Call_Centre_Data[[#This Row],[Duration]]&lt;=10,"Under 10 Mins", Call_Centre_Data[[#This Row],[Duration]]&lt;=30,"10-30 Mins",Call_Centre_Data[[#This Row],[Duration]]&lt;=60,"30-60 Mins",Call_Centre_Data[[#This Row],[Duration]]&lt;=120,"1-2 Hours",TRUE,"More than 2 Hours")</f>
        <v>More than 2 Hours</v>
      </c>
      <c r="K515" s="91">
        <f>ROUND(Call_Centre_Data[[#This Row],[Satisfaction Rating]],0)</f>
        <v>3</v>
      </c>
    </row>
    <row r="516" spans="1:11" x14ac:dyDescent="0.35">
      <c r="A516" s="56" t="s">
        <v>1521</v>
      </c>
      <c r="B516" s="57" t="s">
        <v>1027</v>
      </c>
      <c r="C516" s="87">
        <v>94</v>
      </c>
      <c r="D516" s="57" t="s">
        <v>994</v>
      </c>
      <c r="E516" s="58">
        <v>45076</v>
      </c>
      <c r="F516" s="57">
        <v>180</v>
      </c>
      <c r="G516" s="59">
        <v>4.7</v>
      </c>
      <c r="H516" s="57">
        <f>IF(MONTH(Call_Centre_Data[[#This Row],[Date of Call]])&lt;=6,YEAR(Call_Centre_Data[[#This Row],[Date of Call]]),YEAR(Call_Centre_Data[[#This Row],[Date of Call]])+1)</f>
        <v>2023</v>
      </c>
      <c r="I516" s="39" t="str">
        <f>TEXT(Call_Centre_Data[[#This Row],[Date of Call]],"DDDD")</f>
        <v>Tuesday</v>
      </c>
      <c r="J516" s="39" t="str" cm="1">
        <f t="array" ref="J516">_xlfn.IFS(Call_Centre_Data[[#This Row],[Duration]]&lt;=10,"Under 10 Mins", Call_Centre_Data[[#This Row],[Duration]]&lt;=30,"10-30 Mins",Call_Centre_Data[[#This Row],[Duration]]&lt;=60,"30-60 Mins",Call_Centre_Data[[#This Row],[Duration]]&lt;=120,"1-2 Hours",TRUE,"More than 2 Hours")</f>
        <v>1-2 Hours</v>
      </c>
      <c r="K516" s="91">
        <f>ROUND(Call_Centre_Data[[#This Row],[Satisfaction Rating]],0)</f>
        <v>5</v>
      </c>
    </row>
    <row r="517" spans="1:11" x14ac:dyDescent="0.35">
      <c r="A517" s="56" t="s">
        <v>1522</v>
      </c>
      <c r="B517" s="57" t="s">
        <v>1002</v>
      </c>
      <c r="C517" s="87">
        <v>63</v>
      </c>
      <c r="D517" s="57" t="s">
        <v>989</v>
      </c>
      <c r="E517" s="58">
        <v>45076</v>
      </c>
      <c r="F517" s="57">
        <v>44</v>
      </c>
      <c r="G517" s="59">
        <v>3</v>
      </c>
      <c r="H517" s="57">
        <f>IF(MONTH(Call_Centre_Data[[#This Row],[Date of Call]])&lt;=6,YEAR(Call_Centre_Data[[#This Row],[Date of Call]]),YEAR(Call_Centre_Data[[#This Row],[Date of Call]])+1)</f>
        <v>2023</v>
      </c>
      <c r="I517" s="39" t="str">
        <f>TEXT(Call_Centre_Data[[#This Row],[Date of Call]],"DDDD")</f>
        <v>Tuesday</v>
      </c>
      <c r="J517" s="39" t="str" cm="1">
        <f t="array" ref="J517">_xlfn.IFS(Call_Centre_Data[[#This Row],[Duration]]&lt;=10,"Under 10 Mins", Call_Centre_Data[[#This Row],[Duration]]&lt;=30,"10-30 Mins",Call_Centre_Data[[#This Row],[Duration]]&lt;=60,"30-60 Mins",Call_Centre_Data[[#This Row],[Duration]]&lt;=120,"1-2 Hours",TRUE,"More than 2 Hours")</f>
        <v>1-2 Hours</v>
      </c>
      <c r="K517" s="91">
        <f>ROUND(Call_Centre_Data[[#This Row],[Satisfaction Rating]],0)</f>
        <v>3</v>
      </c>
    </row>
    <row r="518" spans="1:11" x14ac:dyDescent="0.35">
      <c r="A518" s="56" t="s">
        <v>1523</v>
      </c>
      <c r="B518" s="57" t="s">
        <v>1022</v>
      </c>
      <c r="C518" s="87">
        <v>95</v>
      </c>
      <c r="D518" s="57" t="s">
        <v>1008</v>
      </c>
      <c r="E518" s="58">
        <v>45076</v>
      </c>
      <c r="F518" s="57">
        <v>86</v>
      </c>
      <c r="G518" s="59">
        <v>3.6</v>
      </c>
      <c r="H518" s="57">
        <f>IF(MONTH(Call_Centre_Data[[#This Row],[Date of Call]])&lt;=6,YEAR(Call_Centre_Data[[#This Row],[Date of Call]]),YEAR(Call_Centre_Data[[#This Row],[Date of Call]])+1)</f>
        <v>2023</v>
      </c>
      <c r="I518" s="39" t="str">
        <f>TEXT(Call_Centre_Data[[#This Row],[Date of Call]],"DDDD")</f>
        <v>Tuesday</v>
      </c>
      <c r="J518" s="39" t="str" cm="1">
        <f t="array" ref="J518">_xlfn.IFS(Call_Centre_Data[[#This Row],[Duration]]&lt;=10,"Under 10 Mins", Call_Centre_Data[[#This Row],[Duration]]&lt;=30,"10-30 Mins",Call_Centre_Data[[#This Row],[Duration]]&lt;=60,"30-60 Mins",Call_Centre_Data[[#This Row],[Duration]]&lt;=120,"1-2 Hours",TRUE,"More than 2 Hours")</f>
        <v>1-2 Hours</v>
      </c>
      <c r="K518" s="91">
        <f>ROUND(Call_Centre_Data[[#This Row],[Satisfaction Rating]],0)</f>
        <v>4</v>
      </c>
    </row>
    <row r="519" spans="1:11" x14ac:dyDescent="0.35">
      <c r="A519" s="56" t="s">
        <v>1524</v>
      </c>
      <c r="B519" s="57" t="s">
        <v>1007</v>
      </c>
      <c r="C519" s="87">
        <v>106</v>
      </c>
      <c r="D519" s="57" t="s">
        <v>1008</v>
      </c>
      <c r="E519" s="58">
        <v>45077</v>
      </c>
      <c r="F519" s="57">
        <v>120</v>
      </c>
      <c r="G519" s="59">
        <v>4.0999999999999996</v>
      </c>
      <c r="H519" s="57">
        <f>IF(MONTH(Call_Centre_Data[[#This Row],[Date of Call]])&lt;=6,YEAR(Call_Centre_Data[[#This Row],[Date of Call]]),YEAR(Call_Centre_Data[[#This Row],[Date of Call]])+1)</f>
        <v>2023</v>
      </c>
      <c r="I519" s="39" t="str">
        <f>TEXT(Call_Centre_Data[[#This Row],[Date of Call]],"DDDD")</f>
        <v>Wednesday</v>
      </c>
      <c r="J519" s="39" t="str" cm="1">
        <f t="array" ref="J519">_xlfn.IFS(Call_Centre_Data[[#This Row],[Duration]]&lt;=10,"Under 10 Mins", Call_Centre_Data[[#This Row],[Duration]]&lt;=30,"10-30 Mins",Call_Centre_Data[[#This Row],[Duration]]&lt;=60,"30-60 Mins",Call_Centre_Data[[#This Row],[Duration]]&lt;=120,"1-2 Hours",TRUE,"More than 2 Hours")</f>
        <v>1-2 Hours</v>
      </c>
      <c r="K519" s="91">
        <f>ROUND(Call_Centre_Data[[#This Row],[Satisfaction Rating]],0)</f>
        <v>4</v>
      </c>
    </row>
    <row r="520" spans="1:11" x14ac:dyDescent="0.35">
      <c r="A520" s="56" t="s">
        <v>1525</v>
      </c>
      <c r="B520" s="57" t="s">
        <v>996</v>
      </c>
      <c r="C520" s="87">
        <v>94</v>
      </c>
      <c r="D520" s="57" t="s">
        <v>994</v>
      </c>
      <c r="E520" s="58">
        <v>45077</v>
      </c>
      <c r="F520" s="57">
        <v>100</v>
      </c>
      <c r="G520" s="59">
        <v>3.7</v>
      </c>
      <c r="H520" s="57">
        <f>IF(MONTH(Call_Centre_Data[[#This Row],[Date of Call]])&lt;=6,YEAR(Call_Centre_Data[[#This Row],[Date of Call]]),YEAR(Call_Centre_Data[[#This Row],[Date of Call]])+1)</f>
        <v>2023</v>
      </c>
      <c r="I520" s="39" t="str">
        <f>TEXT(Call_Centre_Data[[#This Row],[Date of Call]],"DDDD")</f>
        <v>Wednesday</v>
      </c>
      <c r="J520" s="39" t="str" cm="1">
        <f t="array" ref="J520">_xlfn.IFS(Call_Centre_Data[[#This Row],[Duration]]&lt;=10,"Under 10 Mins", Call_Centre_Data[[#This Row],[Duration]]&lt;=30,"10-30 Mins",Call_Centre_Data[[#This Row],[Duration]]&lt;=60,"30-60 Mins",Call_Centre_Data[[#This Row],[Duration]]&lt;=120,"1-2 Hours",TRUE,"More than 2 Hours")</f>
        <v>1-2 Hours</v>
      </c>
      <c r="K520" s="91">
        <f>ROUND(Call_Centre_Data[[#This Row],[Satisfaction Rating]],0)</f>
        <v>4</v>
      </c>
    </row>
    <row r="521" spans="1:11" x14ac:dyDescent="0.35">
      <c r="A521" s="56" t="s">
        <v>1526</v>
      </c>
      <c r="B521" s="57" t="s">
        <v>996</v>
      </c>
      <c r="C521" s="87">
        <v>51</v>
      </c>
      <c r="D521" s="57" t="s">
        <v>994</v>
      </c>
      <c r="E521" s="58">
        <v>45078</v>
      </c>
      <c r="F521" s="57">
        <v>108</v>
      </c>
      <c r="G521" s="59">
        <v>4.5</v>
      </c>
      <c r="H521" s="57">
        <f>IF(MONTH(Call_Centre_Data[[#This Row],[Date of Call]])&lt;=6,YEAR(Call_Centre_Data[[#This Row],[Date of Call]]),YEAR(Call_Centre_Data[[#This Row],[Date of Call]])+1)</f>
        <v>2023</v>
      </c>
      <c r="I521" s="39" t="str">
        <f>TEXT(Call_Centre_Data[[#This Row],[Date of Call]],"DDDD")</f>
        <v>Thursday</v>
      </c>
      <c r="J521" s="39" t="str" cm="1">
        <f t="array" ref="J521">_xlfn.IFS(Call_Centre_Data[[#This Row],[Duration]]&lt;=10,"Under 10 Mins", Call_Centre_Data[[#This Row],[Duration]]&lt;=30,"10-30 Mins",Call_Centre_Data[[#This Row],[Duration]]&lt;=60,"30-60 Mins",Call_Centre_Data[[#This Row],[Duration]]&lt;=120,"1-2 Hours",TRUE,"More than 2 Hours")</f>
        <v>30-60 Mins</v>
      </c>
      <c r="K521" s="91">
        <f>ROUND(Call_Centre_Data[[#This Row],[Satisfaction Rating]],0)</f>
        <v>5</v>
      </c>
    </row>
    <row r="522" spans="1:11" x14ac:dyDescent="0.35">
      <c r="A522" s="56" t="s">
        <v>1527</v>
      </c>
      <c r="B522" s="57" t="s">
        <v>1060</v>
      </c>
      <c r="C522" s="87">
        <v>39</v>
      </c>
      <c r="D522" s="57" t="s">
        <v>994</v>
      </c>
      <c r="E522" s="58">
        <v>45078</v>
      </c>
      <c r="F522" s="57">
        <v>46</v>
      </c>
      <c r="G522" s="59">
        <v>4.5999999999999996</v>
      </c>
      <c r="H522" s="57">
        <f>IF(MONTH(Call_Centre_Data[[#This Row],[Date of Call]])&lt;=6,YEAR(Call_Centre_Data[[#This Row],[Date of Call]]),YEAR(Call_Centre_Data[[#This Row],[Date of Call]])+1)</f>
        <v>2023</v>
      </c>
      <c r="I522" s="39" t="str">
        <f>TEXT(Call_Centre_Data[[#This Row],[Date of Call]],"DDDD")</f>
        <v>Thursday</v>
      </c>
      <c r="J522" s="39" t="str" cm="1">
        <f t="array" ref="J522">_xlfn.IFS(Call_Centre_Data[[#This Row],[Duration]]&lt;=10,"Under 10 Mins", Call_Centre_Data[[#This Row],[Duration]]&lt;=30,"10-30 Mins",Call_Centre_Data[[#This Row],[Duration]]&lt;=60,"30-60 Mins",Call_Centre_Data[[#This Row],[Duration]]&lt;=120,"1-2 Hours",TRUE,"More than 2 Hours")</f>
        <v>30-60 Mins</v>
      </c>
      <c r="K522" s="91">
        <f>ROUND(Call_Centre_Data[[#This Row],[Satisfaction Rating]],0)</f>
        <v>5</v>
      </c>
    </row>
    <row r="523" spans="1:11" x14ac:dyDescent="0.35">
      <c r="A523" s="56" t="s">
        <v>1528</v>
      </c>
      <c r="B523" s="57" t="s">
        <v>1011</v>
      </c>
      <c r="C523" s="87">
        <v>111</v>
      </c>
      <c r="D523" s="57" t="s">
        <v>1008</v>
      </c>
      <c r="E523" s="58">
        <v>45078</v>
      </c>
      <c r="F523" s="57">
        <v>210</v>
      </c>
      <c r="G523" s="59">
        <v>4.3</v>
      </c>
      <c r="H523" s="57">
        <f>IF(MONTH(Call_Centre_Data[[#This Row],[Date of Call]])&lt;=6,YEAR(Call_Centre_Data[[#This Row],[Date of Call]]),YEAR(Call_Centre_Data[[#This Row],[Date of Call]])+1)</f>
        <v>2023</v>
      </c>
      <c r="I523" s="39" t="str">
        <f>TEXT(Call_Centre_Data[[#This Row],[Date of Call]],"DDDD")</f>
        <v>Thursday</v>
      </c>
      <c r="J523" s="39" t="str" cm="1">
        <f t="array" ref="J523">_xlfn.IFS(Call_Centre_Data[[#This Row],[Duration]]&lt;=10,"Under 10 Mins", Call_Centre_Data[[#This Row],[Duration]]&lt;=30,"10-30 Mins",Call_Centre_Data[[#This Row],[Duration]]&lt;=60,"30-60 Mins",Call_Centre_Data[[#This Row],[Duration]]&lt;=120,"1-2 Hours",TRUE,"More than 2 Hours")</f>
        <v>1-2 Hours</v>
      </c>
      <c r="K523" s="91">
        <f>ROUND(Call_Centre_Data[[#This Row],[Satisfaction Rating]],0)</f>
        <v>4</v>
      </c>
    </row>
    <row r="524" spans="1:11" x14ac:dyDescent="0.35">
      <c r="A524" s="56" t="s">
        <v>1529</v>
      </c>
      <c r="B524" s="57" t="s">
        <v>1030</v>
      </c>
      <c r="C524" s="87">
        <v>141</v>
      </c>
      <c r="D524" s="57" t="s">
        <v>999</v>
      </c>
      <c r="E524" s="58">
        <v>45080</v>
      </c>
      <c r="F524" s="57">
        <v>54</v>
      </c>
      <c r="G524" s="59">
        <v>4.8</v>
      </c>
      <c r="H524" s="57">
        <f>IF(MONTH(Call_Centre_Data[[#This Row],[Date of Call]])&lt;=6,YEAR(Call_Centre_Data[[#This Row],[Date of Call]]),YEAR(Call_Centre_Data[[#This Row],[Date of Call]])+1)</f>
        <v>2023</v>
      </c>
      <c r="I524" s="39" t="str">
        <f>TEXT(Call_Centre_Data[[#This Row],[Date of Call]],"DDDD")</f>
        <v>Saturday</v>
      </c>
      <c r="J524" s="39" t="str" cm="1">
        <f t="array" ref="J524">_xlfn.IFS(Call_Centre_Data[[#This Row],[Duration]]&lt;=10,"Under 10 Mins", Call_Centre_Data[[#This Row],[Duration]]&lt;=30,"10-30 Mins",Call_Centre_Data[[#This Row],[Duration]]&lt;=60,"30-60 Mins",Call_Centre_Data[[#This Row],[Duration]]&lt;=120,"1-2 Hours",TRUE,"More than 2 Hours")</f>
        <v>More than 2 Hours</v>
      </c>
      <c r="K524" s="91">
        <f>ROUND(Call_Centre_Data[[#This Row],[Satisfaction Rating]],0)</f>
        <v>5</v>
      </c>
    </row>
    <row r="525" spans="1:11" x14ac:dyDescent="0.35">
      <c r="A525" s="56" t="s">
        <v>1530</v>
      </c>
      <c r="B525" s="57" t="s">
        <v>1002</v>
      </c>
      <c r="C525" s="87">
        <v>147</v>
      </c>
      <c r="D525" s="57" t="s">
        <v>1008</v>
      </c>
      <c r="E525" s="58">
        <v>45080</v>
      </c>
      <c r="F525" s="57">
        <v>115</v>
      </c>
      <c r="G525" s="59">
        <v>4.7</v>
      </c>
      <c r="H525" s="57">
        <f>IF(MONTH(Call_Centre_Data[[#This Row],[Date of Call]])&lt;=6,YEAR(Call_Centre_Data[[#This Row],[Date of Call]]),YEAR(Call_Centre_Data[[#This Row],[Date of Call]])+1)</f>
        <v>2023</v>
      </c>
      <c r="I525" s="39" t="str">
        <f>TEXT(Call_Centre_Data[[#This Row],[Date of Call]],"DDDD")</f>
        <v>Saturday</v>
      </c>
      <c r="J525" s="39" t="str" cm="1">
        <f t="array" ref="J525">_xlfn.IFS(Call_Centre_Data[[#This Row],[Duration]]&lt;=10,"Under 10 Mins", Call_Centre_Data[[#This Row],[Duration]]&lt;=30,"10-30 Mins",Call_Centre_Data[[#This Row],[Duration]]&lt;=60,"30-60 Mins",Call_Centre_Data[[#This Row],[Duration]]&lt;=120,"1-2 Hours",TRUE,"More than 2 Hours")</f>
        <v>More than 2 Hours</v>
      </c>
      <c r="K525" s="91">
        <f>ROUND(Call_Centre_Data[[#This Row],[Satisfaction Rating]],0)</f>
        <v>5</v>
      </c>
    </row>
    <row r="526" spans="1:11" x14ac:dyDescent="0.35">
      <c r="A526" s="56" t="s">
        <v>1531</v>
      </c>
      <c r="B526" s="57" t="s">
        <v>1027</v>
      </c>
      <c r="C526" s="87">
        <v>49</v>
      </c>
      <c r="D526" s="57" t="s">
        <v>994</v>
      </c>
      <c r="E526" s="58">
        <v>45081</v>
      </c>
      <c r="F526" s="57">
        <v>100</v>
      </c>
      <c r="G526" s="59">
        <v>2.2000000000000002</v>
      </c>
      <c r="H526" s="57">
        <f>IF(MONTH(Call_Centre_Data[[#This Row],[Date of Call]])&lt;=6,YEAR(Call_Centre_Data[[#This Row],[Date of Call]]),YEAR(Call_Centre_Data[[#This Row],[Date of Call]])+1)</f>
        <v>2023</v>
      </c>
      <c r="I526" s="39" t="str">
        <f>TEXT(Call_Centre_Data[[#This Row],[Date of Call]],"DDDD")</f>
        <v>Sunday</v>
      </c>
      <c r="J526" s="39" t="str" cm="1">
        <f t="array" ref="J526">_xlfn.IFS(Call_Centre_Data[[#This Row],[Duration]]&lt;=10,"Under 10 Mins", Call_Centre_Data[[#This Row],[Duration]]&lt;=30,"10-30 Mins",Call_Centre_Data[[#This Row],[Duration]]&lt;=60,"30-60 Mins",Call_Centre_Data[[#This Row],[Duration]]&lt;=120,"1-2 Hours",TRUE,"More than 2 Hours")</f>
        <v>30-60 Mins</v>
      </c>
      <c r="K526" s="91">
        <f>ROUND(Call_Centre_Data[[#This Row],[Satisfaction Rating]],0)</f>
        <v>2</v>
      </c>
    </row>
    <row r="527" spans="1:11" x14ac:dyDescent="0.35">
      <c r="A527" s="56" t="s">
        <v>1532</v>
      </c>
      <c r="B527" s="57" t="s">
        <v>993</v>
      </c>
      <c r="C527" s="87">
        <v>75</v>
      </c>
      <c r="D527" s="57" t="s">
        <v>1008</v>
      </c>
      <c r="E527" s="58">
        <v>45081</v>
      </c>
      <c r="F527" s="57">
        <v>38</v>
      </c>
      <c r="G527" s="59">
        <v>4.4000000000000004</v>
      </c>
      <c r="H527" s="57">
        <f>IF(MONTH(Call_Centre_Data[[#This Row],[Date of Call]])&lt;=6,YEAR(Call_Centre_Data[[#This Row],[Date of Call]]),YEAR(Call_Centre_Data[[#This Row],[Date of Call]])+1)</f>
        <v>2023</v>
      </c>
      <c r="I527" s="39" t="str">
        <f>TEXT(Call_Centre_Data[[#This Row],[Date of Call]],"DDDD")</f>
        <v>Sunday</v>
      </c>
      <c r="J527" s="39" t="str" cm="1">
        <f t="array" ref="J527">_xlfn.IFS(Call_Centre_Data[[#This Row],[Duration]]&lt;=10,"Under 10 Mins", Call_Centre_Data[[#This Row],[Duration]]&lt;=30,"10-30 Mins",Call_Centre_Data[[#This Row],[Duration]]&lt;=60,"30-60 Mins",Call_Centre_Data[[#This Row],[Duration]]&lt;=120,"1-2 Hours",TRUE,"More than 2 Hours")</f>
        <v>1-2 Hours</v>
      </c>
      <c r="K527" s="91">
        <f>ROUND(Call_Centre_Data[[#This Row],[Satisfaction Rating]],0)</f>
        <v>4</v>
      </c>
    </row>
    <row r="528" spans="1:11" x14ac:dyDescent="0.35">
      <c r="A528" s="56" t="s">
        <v>1533</v>
      </c>
      <c r="B528" s="57" t="s">
        <v>1030</v>
      </c>
      <c r="C528" s="87">
        <v>48</v>
      </c>
      <c r="D528" s="57" t="s">
        <v>999</v>
      </c>
      <c r="E528" s="58">
        <v>45082</v>
      </c>
      <c r="F528" s="57">
        <v>120</v>
      </c>
      <c r="G528" s="59">
        <v>4.0999999999999996</v>
      </c>
      <c r="H528" s="57">
        <f>IF(MONTH(Call_Centre_Data[[#This Row],[Date of Call]])&lt;=6,YEAR(Call_Centre_Data[[#This Row],[Date of Call]]),YEAR(Call_Centre_Data[[#This Row],[Date of Call]])+1)</f>
        <v>2023</v>
      </c>
      <c r="I528" s="39" t="str">
        <f>TEXT(Call_Centre_Data[[#This Row],[Date of Call]],"DDDD")</f>
        <v>Monday</v>
      </c>
      <c r="J528" s="39" t="str" cm="1">
        <f t="array" ref="J528">_xlfn.IFS(Call_Centre_Data[[#This Row],[Duration]]&lt;=10,"Under 10 Mins", Call_Centre_Data[[#This Row],[Duration]]&lt;=30,"10-30 Mins",Call_Centre_Data[[#This Row],[Duration]]&lt;=60,"30-60 Mins",Call_Centre_Data[[#This Row],[Duration]]&lt;=120,"1-2 Hours",TRUE,"More than 2 Hours")</f>
        <v>30-60 Mins</v>
      </c>
      <c r="K528" s="91">
        <f>ROUND(Call_Centre_Data[[#This Row],[Satisfaction Rating]],0)</f>
        <v>4</v>
      </c>
    </row>
    <row r="529" spans="1:11" x14ac:dyDescent="0.35">
      <c r="A529" s="56" t="s">
        <v>1534</v>
      </c>
      <c r="B529" s="57" t="s">
        <v>1019</v>
      </c>
      <c r="C529" s="87">
        <v>48</v>
      </c>
      <c r="D529" s="57" t="s">
        <v>999</v>
      </c>
      <c r="E529" s="58">
        <v>45082</v>
      </c>
      <c r="F529" s="57">
        <v>120</v>
      </c>
      <c r="G529" s="59">
        <v>4.0999999999999996</v>
      </c>
      <c r="H529" s="57">
        <f>IF(MONTH(Call_Centre_Data[[#This Row],[Date of Call]])&lt;=6,YEAR(Call_Centre_Data[[#This Row],[Date of Call]]),YEAR(Call_Centre_Data[[#This Row],[Date of Call]])+1)</f>
        <v>2023</v>
      </c>
      <c r="I529" s="39" t="str">
        <f>TEXT(Call_Centre_Data[[#This Row],[Date of Call]],"DDDD")</f>
        <v>Monday</v>
      </c>
      <c r="J529" s="39" t="str" cm="1">
        <f t="array" ref="J529">_xlfn.IFS(Call_Centre_Data[[#This Row],[Duration]]&lt;=10,"Under 10 Mins", Call_Centre_Data[[#This Row],[Duration]]&lt;=30,"10-30 Mins",Call_Centre_Data[[#This Row],[Duration]]&lt;=60,"30-60 Mins",Call_Centre_Data[[#This Row],[Duration]]&lt;=120,"1-2 Hours",TRUE,"More than 2 Hours")</f>
        <v>30-60 Mins</v>
      </c>
      <c r="K529" s="91">
        <f>ROUND(Call_Centre_Data[[#This Row],[Satisfaction Rating]],0)</f>
        <v>4</v>
      </c>
    </row>
    <row r="530" spans="1:11" x14ac:dyDescent="0.35">
      <c r="A530" s="56" t="s">
        <v>1535</v>
      </c>
      <c r="B530" s="57" t="s">
        <v>991</v>
      </c>
      <c r="C530" s="87">
        <v>138</v>
      </c>
      <c r="D530" s="57" t="s">
        <v>994</v>
      </c>
      <c r="E530" s="58">
        <v>45082</v>
      </c>
      <c r="F530" s="57">
        <v>29</v>
      </c>
      <c r="G530" s="59">
        <v>4.4000000000000004</v>
      </c>
      <c r="H530" s="57">
        <f>IF(MONTH(Call_Centre_Data[[#This Row],[Date of Call]])&lt;=6,YEAR(Call_Centre_Data[[#This Row],[Date of Call]]),YEAR(Call_Centre_Data[[#This Row],[Date of Call]])+1)</f>
        <v>2023</v>
      </c>
      <c r="I530" s="39" t="str">
        <f>TEXT(Call_Centre_Data[[#This Row],[Date of Call]],"DDDD")</f>
        <v>Monday</v>
      </c>
      <c r="J530" s="39" t="str" cm="1">
        <f t="array" ref="J530">_xlfn.IFS(Call_Centre_Data[[#This Row],[Duration]]&lt;=10,"Under 10 Mins", Call_Centre_Data[[#This Row],[Duration]]&lt;=30,"10-30 Mins",Call_Centre_Data[[#This Row],[Duration]]&lt;=60,"30-60 Mins",Call_Centre_Data[[#This Row],[Duration]]&lt;=120,"1-2 Hours",TRUE,"More than 2 Hours")</f>
        <v>More than 2 Hours</v>
      </c>
      <c r="K530" s="91">
        <f>ROUND(Call_Centre_Data[[#This Row],[Satisfaction Rating]],0)</f>
        <v>4</v>
      </c>
    </row>
    <row r="531" spans="1:11" x14ac:dyDescent="0.35">
      <c r="A531" s="56" t="s">
        <v>1536</v>
      </c>
      <c r="B531" s="57" t="s">
        <v>1022</v>
      </c>
      <c r="C531" s="87">
        <v>144</v>
      </c>
      <c r="D531" s="57" t="s">
        <v>994</v>
      </c>
      <c r="E531" s="58">
        <v>45083</v>
      </c>
      <c r="F531" s="57">
        <v>25</v>
      </c>
      <c r="G531" s="59">
        <v>3.7</v>
      </c>
      <c r="H531" s="57">
        <f>IF(MONTH(Call_Centre_Data[[#This Row],[Date of Call]])&lt;=6,YEAR(Call_Centre_Data[[#This Row],[Date of Call]]),YEAR(Call_Centre_Data[[#This Row],[Date of Call]])+1)</f>
        <v>2023</v>
      </c>
      <c r="I531" s="39" t="str">
        <f>TEXT(Call_Centre_Data[[#This Row],[Date of Call]],"DDDD")</f>
        <v>Tuesday</v>
      </c>
      <c r="J531" s="39" t="str" cm="1">
        <f t="array" ref="J531">_xlfn.IFS(Call_Centre_Data[[#This Row],[Duration]]&lt;=10,"Under 10 Mins", Call_Centre_Data[[#This Row],[Duration]]&lt;=30,"10-30 Mins",Call_Centre_Data[[#This Row],[Duration]]&lt;=60,"30-60 Mins",Call_Centre_Data[[#This Row],[Duration]]&lt;=120,"1-2 Hours",TRUE,"More than 2 Hours")</f>
        <v>More than 2 Hours</v>
      </c>
      <c r="K531" s="91">
        <f>ROUND(Call_Centre_Data[[#This Row],[Satisfaction Rating]],0)</f>
        <v>4</v>
      </c>
    </row>
    <row r="532" spans="1:11" x14ac:dyDescent="0.35">
      <c r="A532" s="56" t="s">
        <v>1537</v>
      </c>
      <c r="B532" s="57" t="s">
        <v>1040</v>
      </c>
      <c r="C532" s="87">
        <v>119</v>
      </c>
      <c r="D532" s="57" t="s">
        <v>1008</v>
      </c>
      <c r="E532" s="58">
        <v>45084</v>
      </c>
      <c r="F532" s="57">
        <v>116</v>
      </c>
      <c r="G532" s="59">
        <v>3.8</v>
      </c>
      <c r="H532" s="57">
        <f>IF(MONTH(Call_Centre_Data[[#This Row],[Date of Call]])&lt;=6,YEAR(Call_Centre_Data[[#This Row],[Date of Call]]),YEAR(Call_Centre_Data[[#This Row],[Date of Call]])+1)</f>
        <v>2023</v>
      </c>
      <c r="I532" s="39" t="str">
        <f>TEXT(Call_Centre_Data[[#This Row],[Date of Call]],"DDDD")</f>
        <v>Wednesday</v>
      </c>
      <c r="J532" s="39" t="str" cm="1">
        <f t="array" ref="J532">_xlfn.IFS(Call_Centre_Data[[#This Row],[Duration]]&lt;=10,"Under 10 Mins", Call_Centre_Data[[#This Row],[Duration]]&lt;=30,"10-30 Mins",Call_Centre_Data[[#This Row],[Duration]]&lt;=60,"30-60 Mins",Call_Centre_Data[[#This Row],[Duration]]&lt;=120,"1-2 Hours",TRUE,"More than 2 Hours")</f>
        <v>1-2 Hours</v>
      </c>
      <c r="K532" s="91">
        <f>ROUND(Call_Centre_Data[[#This Row],[Satisfaction Rating]],0)</f>
        <v>4</v>
      </c>
    </row>
    <row r="533" spans="1:11" x14ac:dyDescent="0.35">
      <c r="A533" s="56" t="s">
        <v>1538</v>
      </c>
      <c r="B533" s="57" t="s">
        <v>991</v>
      </c>
      <c r="C533" s="87">
        <v>101</v>
      </c>
      <c r="D533" s="57" t="s">
        <v>999</v>
      </c>
      <c r="E533" s="58">
        <v>45085</v>
      </c>
      <c r="F533" s="57">
        <v>132</v>
      </c>
      <c r="G533" s="59">
        <v>4.3</v>
      </c>
      <c r="H533" s="57">
        <f>IF(MONTH(Call_Centre_Data[[#This Row],[Date of Call]])&lt;=6,YEAR(Call_Centre_Data[[#This Row],[Date of Call]]),YEAR(Call_Centre_Data[[#This Row],[Date of Call]])+1)</f>
        <v>2023</v>
      </c>
      <c r="I533" s="39" t="str">
        <f>TEXT(Call_Centre_Data[[#This Row],[Date of Call]],"DDDD")</f>
        <v>Thursday</v>
      </c>
      <c r="J533" s="39" t="str" cm="1">
        <f t="array" ref="J533">_xlfn.IFS(Call_Centre_Data[[#This Row],[Duration]]&lt;=10,"Under 10 Mins", Call_Centre_Data[[#This Row],[Duration]]&lt;=30,"10-30 Mins",Call_Centre_Data[[#This Row],[Duration]]&lt;=60,"30-60 Mins",Call_Centre_Data[[#This Row],[Duration]]&lt;=120,"1-2 Hours",TRUE,"More than 2 Hours")</f>
        <v>1-2 Hours</v>
      </c>
      <c r="K533" s="91">
        <f>ROUND(Call_Centre_Data[[#This Row],[Satisfaction Rating]],0)</f>
        <v>4</v>
      </c>
    </row>
    <row r="534" spans="1:11" x14ac:dyDescent="0.35">
      <c r="A534" s="56" t="s">
        <v>1539</v>
      </c>
      <c r="B534" s="57" t="s">
        <v>1022</v>
      </c>
      <c r="C534" s="87">
        <v>59</v>
      </c>
      <c r="D534" s="57" t="s">
        <v>1008</v>
      </c>
      <c r="E534" s="58">
        <v>45086</v>
      </c>
      <c r="F534" s="57">
        <v>90</v>
      </c>
      <c r="G534" s="59">
        <v>3.5</v>
      </c>
      <c r="H534" s="57">
        <f>IF(MONTH(Call_Centre_Data[[#This Row],[Date of Call]])&lt;=6,YEAR(Call_Centre_Data[[#This Row],[Date of Call]]),YEAR(Call_Centre_Data[[#This Row],[Date of Call]])+1)</f>
        <v>2023</v>
      </c>
      <c r="I534" s="39" t="str">
        <f>TEXT(Call_Centre_Data[[#This Row],[Date of Call]],"DDDD")</f>
        <v>Friday</v>
      </c>
      <c r="J534" s="39" t="str" cm="1">
        <f t="array" ref="J534">_xlfn.IFS(Call_Centre_Data[[#This Row],[Duration]]&lt;=10,"Under 10 Mins", Call_Centre_Data[[#This Row],[Duration]]&lt;=30,"10-30 Mins",Call_Centre_Data[[#This Row],[Duration]]&lt;=60,"30-60 Mins",Call_Centre_Data[[#This Row],[Duration]]&lt;=120,"1-2 Hours",TRUE,"More than 2 Hours")</f>
        <v>30-60 Mins</v>
      </c>
      <c r="K534" s="91">
        <f>ROUND(Call_Centre_Data[[#This Row],[Satisfaction Rating]],0)</f>
        <v>4</v>
      </c>
    </row>
    <row r="535" spans="1:11" x14ac:dyDescent="0.35">
      <c r="A535" s="56" t="s">
        <v>1540</v>
      </c>
      <c r="B535" s="57" t="s">
        <v>1011</v>
      </c>
      <c r="C535" s="87">
        <v>125</v>
      </c>
      <c r="D535" s="57" t="s">
        <v>989</v>
      </c>
      <c r="E535" s="58">
        <v>45086</v>
      </c>
      <c r="F535" s="57">
        <v>87</v>
      </c>
      <c r="G535" s="59">
        <v>4.0999999999999996</v>
      </c>
      <c r="H535" s="57">
        <f>IF(MONTH(Call_Centre_Data[[#This Row],[Date of Call]])&lt;=6,YEAR(Call_Centre_Data[[#This Row],[Date of Call]]),YEAR(Call_Centre_Data[[#This Row],[Date of Call]])+1)</f>
        <v>2023</v>
      </c>
      <c r="I535" s="39" t="str">
        <f>TEXT(Call_Centre_Data[[#This Row],[Date of Call]],"DDDD")</f>
        <v>Friday</v>
      </c>
      <c r="J535" s="39" t="str" cm="1">
        <f t="array" ref="J535">_xlfn.IFS(Call_Centre_Data[[#This Row],[Duration]]&lt;=10,"Under 10 Mins", Call_Centre_Data[[#This Row],[Duration]]&lt;=30,"10-30 Mins",Call_Centre_Data[[#This Row],[Duration]]&lt;=60,"30-60 Mins",Call_Centre_Data[[#This Row],[Duration]]&lt;=120,"1-2 Hours",TRUE,"More than 2 Hours")</f>
        <v>More than 2 Hours</v>
      </c>
      <c r="K535" s="91">
        <f>ROUND(Call_Centre_Data[[#This Row],[Satisfaction Rating]],0)</f>
        <v>4</v>
      </c>
    </row>
    <row r="536" spans="1:11" x14ac:dyDescent="0.35">
      <c r="A536" s="56" t="s">
        <v>1541</v>
      </c>
      <c r="B536" s="57" t="s">
        <v>1007</v>
      </c>
      <c r="C536" s="87">
        <v>147</v>
      </c>
      <c r="D536" s="57" t="s">
        <v>1008</v>
      </c>
      <c r="E536" s="58">
        <v>45086</v>
      </c>
      <c r="F536" s="57">
        <v>140</v>
      </c>
      <c r="G536" s="59">
        <v>4.2</v>
      </c>
      <c r="H536" s="57">
        <f>IF(MONTH(Call_Centre_Data[[#This Row],[Date of Call]])&lt;=6,YEAR(Call_Centre_Data[[#This Row],[Date of Call]]),YEAR(Call_Centre_Data[[#This Row],[Date of Call]])+1)</f>
        <v>2023</v>
      </c>
      <c r="I536" s="39" t="str">
        <f>TEXT(Call_Centre_Data[[#This Row],[Date of Call]],"DDDD")</f>
        <v>Friday</v>
      </c>
      <c r="J536" s="39" t="str" cm="1">
        <f t="array" ref="J536">_xlfn.IFS(Call_Centre_Data[[#This Row],[Duration]]&lt;=10,"Under 10 Mins", Call_Centre_Data[[#This Row],[Duration]]&lt;=30,"10-30 Mins",Call_Centre_Data[[#This Row],[Duration]]&lt;=60,"30-60 Mins",Call_Centre_Data[[#This Row],[Duration]]&lt;=120,"1-2 Hours",TRUE,"More than 2 Hours")</f>
        <v>More than 2 Hours</v>
      </c>
      <c r="K536" s="91">
        <f>ROUND(Call_Centre_Data[[#This Row],[Satisfaction Rating]],0)</f>
        <v>4</v>
      </c>
    </row>
    <row r="537" spans="1:11" x14ac:dyDescent="0.35">
      <c r="A537" s="56" t="s">
        <v>1542</v>
      </c>
      <c r="B537" s="57" t="s">
        <v>1013</v>
      </c>
      <c r="C537" s="87">
        <v>76</v>
      </c>
      <c r="D537" s="57" t="s">
        <v>1008</v>
      </c>
      <c r="E537" s="58">
        <v>45086</v>
      </c>
      <c r="F537" s="57">
        <v>164</v>
      </c>
      <c r="G537" s="59">
        <v>4.5</v>
      </c>
      <c r="H537" s="57">
        <f>IF(MONTH(Call_Centre_Data[[#This Row],[Date of Call]])&lt;=6,YEAR(Call_Centre_Data[[#This Row],[Date of Call]]),YEAR(Call_Centre_Data[[#This Row],[Date of Call]])+1)</f>
        <v>2023</v>
      </c>
      <c r="I537" s="39" t="str">
        <f>TEXT(Call_Centre_Data[[#This Row],[Date of Call]],"DDDD")</f>
        <v>Friday</v>
      </c>
      <c r="J537" s="39" t="str" cm="1">
        <f t="array" ref="J537">_xlfn.IFS(Call_Centre_Data[[#This Row],[Duration]]&lt;=10,"Under 10 Mins", Call_Centre_Data[[#This Row],[Duration]]&lt;=30,"10-30 Mins",Call_Centre_Data[[#This Row],[Duration]]&lt;=60,"30-60 Mins",Call_Centre_Data[[#This Row],[Duration]]&lt;=120,"1-2 Hours",TRUE,"More than 2 Hours")</f>
        <v>1-2 Hours</v>
      </c>
      <c r="K537" s="91">
        <f>ROUND(Call_Centre_Data[[#This Row],[Satisfaction Rating]],0)</f>
        <v>5</v>
      </c>
    </row>
    <row r="538" spans="1:11" x14ac:dyDescent="0.35">
      <c r="A538" s="56" t="s">
        <v>1543</v>
      </c>
      <c r="B538" s="57" t="s">
        <v>1002</v>
      </c>
      <c r="C538" s="87">
        <v>99</v>
      </c>
      <c r="D538" s="57" t="s">
        <v>999</v>
      </c>
      <c r="E538" s="58">
        <v>45087</v>
      </c>
      <c r="F538" s="57">
        <v>180</v>
      </c>
      <c r="G538" s="59">
        <v>3.8</v>
      </c>
      <c r="H538" s="57">
        <f>IF(MONTH(Call_Centre_Data[[#This Row],[Date of Call]])&lt;=6,YEAR(Call_Centre_Data[[#This Row],[Date of Call]]),YEAR(Call_Centre_Data[[#This Row],[Date of Call]])+1)</f>
        <v>2023</v>
      </c>
      <c r="I538" s="39" t="str">
        <f>TEXT(Call_Centre_Data[[#This Row],[Date of Call]],"DDDD")</f>
        <v>Saturday</v>
      </c>
      <c r="J538" s="39" t="str" cm="1">
        <f t="array" ref="J538">_xlfn.IFS(Call_Centre_Data[[#This Row],[Duration]]&lt;=10,"Under 10 Mins", Call_Centre_Data[[#This Row],[Duration]]&lt;=30,"10-30 Mins",Call_Centre_Data[[#This Row],[Duration]]&lt;=60,"30-60 Mins",Call_Centre_Data[[#This Row],[Duration]]&lt;=120,"1-2 Hours",TRUE,"More than 2 Hours")</f>
        <v>1-2 Hours</v>
      </c>
      <c r="K538" s="91">
        <f>ROUND(Call_Centre_Data[[#This Row],[Satisfaction Rating]],0)</f>
        <v>4</v>
      </c>
    </row>
    <row r="539" spans="1:11" x14ac:dyDescent="0.35">
      <c r="A539" s="56" t="s">
        <v>1544</v>
      </c>
      <c r="B539" s="57" t="s">
        <v>1060</v>
      </c>
      <c r="C539" s="87">
        <v>111</v>
      </c>
      <c r="D539" s="57" t="s">
        <v>1004</v>
      </c>
      <c r="E539" s="58">
        <v>45088</v>
      </c>
      <c r="F539" s="57">
        <v>22</v>
      </c>
      <c r="G539" s="59">
        <v>4.0999999999999996</v>
      </c>
      <c r="H539" s="57">
        <f>IF(MONTH(Call_Centre_Data[[#This Row],[Date of Call]])&lt;=6,YEAR(Call_Centre_Data[[#This Row],[Date of Call]]),YEAR(Call_Centre_Data[[#This Row],[Date of Call]])+1)</f>
        <v>2023</v>
      </c>
      <c r="I539" s="39" t="str">
        <f>TEXT(Call_Centre_Data[[#This Row],[Date of Call]],"DDDD")</f>
        <v>Sunday</v>
      </c>
      <c r="J539" s="39" t="str" cm="1">
        <f t="array" ref="J539">_xlfn.IFS(Call_Centre_Data[[#This Row],[Duration]]&lt;=10,"Under 10 Mins", Call_Centre_Data[[#This Row],[Duration]]&lt;=30,"10-30 Mins",Call_Centre_Data[[#This Row],[Duration]]&lt;=60,"30-60 Mins",Call_Centre_Data[[#This Row],[Duration]]&lt;=120,"1-2 Hours",TRUE,"More than 2 Hours")</f>
        <v>1-2 Hours</v>
      </c>
      <c r="K539" s="91">
        <f>ROUND(Call_Centre_Data[[#This Row],[Satisfaction Rating]],0)</f>
        <v>4</v>
      </c>
    </row>
    <row r="540" spans="1:11" x14ac:dyDescent="0.35">
      <c r="A540" s="56" t="s">
        <v>1545</v>
      </c>
      <c r="B540" s="57" t="s">
        <v>998</v>
      </c>
      <c r="C540" s="87">
        <v>147</v>
      </c>
      <c r="D540" s="57" t="s">
        <v>989</v>
      </c>
      <c r="E540" s="58">
        <v>45088</v>
      </c>
      <c r="F540" s="57">
        <v>82</v>
      </c>
      <c r="G540" s="59">
        <v>4.4000000000000004</v>
      </c>
      <c r="H540" s="57">
        <f>IF(MONTH(Call_Centre_Data[[#This Row],[Date of Call]])&lt;=6,YEAR(Call_Centre_Data[[#This Row],[Date of Call]]),YEAR(Call_Centre_Data[[#This Row],[Date of Call]])+1)</f>
        <v>2023</v>
      </c>
      <c r="I540" s="39" t="str">
        <f>TEXT(Call_Centre_Data[[#This Row],[Date of Call]],"DDDD")</f>
        <v>Sunday</v>
      </c>
      <c r="J540" s="39" t="str" cm="1">
        <f t="array" ref="J540">_xlfn.IFS(Call_Centre_Data[[#This Row],[Duration]]&lt;=10,"Under 10 Mins", Call_Centre_Data[[#This Row],[Duration]]&lt;=30,"10-30 Mins",Call_Centre_Data[[#This Row],[Duration]]&lt;=60,"30-60 Mins",Call_Centre_Data[[#This Row],[Duration]]&lt;=120,"1-2 Hours",TRUE,"More than 2 Hours")</f>
        <v>More than 2 Hours</v>
      </c>
      <c r="K540" s="91">
        <f>ROUND(Call_Centre_Data[[#This Row],[Satisfaction Rating]],0)</f>
        <v>4</v>
      </c>
    </row>
    <row r="541" spans="1:11" x14ac:dyDescent="0.35">
      <c r="A541" s="56" t="s">
        <v>1546</v>
      </c>
      <c r="B541" s="57" t="s">
        <v>988</v>
      </c>
      <c r="C541" s="87">
        <v>141</v>
      </c>
      <c r="D541" s="57" t="s">
        <v>999</v>
      </c>
      <c r="E541" s="58">
        <v>45088</v>
      </c>
      <c r="F541" s="57">
        <v>100</v>
      </c>
      <c r="G541" s="59">
        <v>4.5999999999999996</v>
      </c>
      <c r="H541" s="57">
        <f>IF(MONTH(Call_Centre_Data[[#This Row],[Date of Call]])&lt;=6,YEAR(Call_Centre_Data[[#This Row],[Date of Call]]),YEAR(Call_Centre_Data[[#This Row],[Date of Call]])+1)</f>
        <v>2023</v>
      </c>
      <c r="I541" s="39" t="str">
        <f>TEXT(Call_Centre_Data[[#This Row],[Date of Call]],"DDDD")</f>
        <v>Sunday</v>
      </c>
      <c r="J541" s="39" t="str" cm="1">
        <f t="array" ref="J541">_xlfn.IFS(Call_Centre_Data[[#This Row],[Duration]]&lt;=10,"Under 10 Mins", Call_Centre_Data[[#This Row],[Duration]]&lt;=30,"10-30 Mins",Call_Centre_Data[[#This Row],[Duration]]&lt;=60,"30-60 Mins",Call_Centre_Data[[#This Row],[Duration]]&lt;=120,"1-2 Hours",TRUE,"More than 2 Hours")</f>
        <v>More than 2 Hours</v>
      </c>
      <c r="K541" s="91">
        <f>ROUND(Call_Centre_Data[[#This Row],[Satisfaction Rating]],0)</f>
        <v>5</v>
      </c>
    </row>
    <row r="542" spans="1:11" x14ac:dyDescent="0.35">
      <c r="A542" s="56" t="s">
        <v>1547</v>
      </c>
      <c r="B542" s="57" t="s">
        <v>1013</v>
      </c>
      <c r="C542" s="87">
        <v>71</v>
      </c>
      <c r="D542" s="57" t="s">
        <v>1008</v>
      </c>
      <c r="E542" s="58">
        <v>45089</v>
      </c>
      <c r="F542" s="57">
        <v>52</v>
      </c>
      <c r="G542" s="59">
        <v>3.4</v>
      </c>
      <c r="H542" s="57">
        <f>IF(MONTH(Call_Centre_Data[[#This Row],[Date of Call]])&lt;=6,YEAR(Call_Centre_Data[[#This Row],[Date of Call]]),YEAR(Call_Centre_Data[[#This Row],[Date of Call]])+1)</f>
        <v>2023</v>
      </c>
      <c r="I542" s="39" t="str">
        <f>TEXT(Call_Centre_Data[[#This Row],[Date of Call]],"DDDD")</f>
        <v>Monday</v>
      </c>
      <c r="J542" s="39" t="str" cm="1">
        <f t="array" ref="J542">_xlfn.IFS(Call_Centre_Data[[#This Row],[Duration]]&lt;=10,"Under 10 Mins", Call_Centre_Data[[#This Row],[Duration]]&lt;=30,"10-30 Mins",Call_Centre_Data[[#This Row],[Duration]]&lt;=60,"30-60 Mins",Call_Centre_Data[[#This Row],[Duration]]&lt;=120,"1-2 Hours",TRUE,"More than 2 Hours")</f>
        <v>1-2 Hours</v>
      </c>
      <c r="K542" s="91">
        <f>ROUND(Call_Centre_Data[[#This Row],[Satisfaction Rating]],0)</f>
        <v>3</v>
      </c>
    </row>
    <row r="543" spans="1:11" x14ac:dyDescent="0.35">
      <c r="A543" s="56" t="s">
        <v>1548</v>
      </c>
      <c r="B543" s="57" t="s">
        <v>1013</v>
      </c>
      <c r="C543" s="87">
        <v>121</v>
      </c>
      <c r="D543" s="57" t="s">
        <v>989</v>
      </c>
      <c r="E543" s="58">
        <v>45090</v>
      </c>
      <c r="F543" s="57">
        <v>84</v>
      </c>
      <c r="G543" s="59">
        <v>4.5999999999999996</v>
      </c>
      <c r="H543" s="57">
        <f>IF(MONTH(Call_Centre_Data[[#This Row],[Date of Call]])&lt;=6,YEAR(Call_Centre_Data[[#This Row],[Date of Call]]),YEAR(Call_Centre_Data[[#This Row],[Date of Call]])+1)</f>
        <v>2023</v>
      </c>
      <c r="I543" s="39" t="str">
        <f>TEXT(Call_Centre_Data[[#This Row],[Date of Call]],"DDDD")</f>
        <v>Tuesday</v>
      </c>
      <c r="J543" s="39" t="str" cm="1">
        <f t="array" ref="J543">_xlfn.IFS(Call_Centre_Data[[#This Row],[Duration]]&lt;=10,"Under 10 Mins", Call_Centre_Data[[#This Row],[Duration]]&lt;=30,"10-30 Mins",Call_Centre_Data[[#This Row],[Duration]]&lt;=60,"30-60 Mins",Call_Centre_Data[[#This Row],[Duration]]&lt;=120,"1-2 Hours",TRUE,"More than 2 Hours")</f>
        <v>More than 2 Hours</v>
      </c>
      <c r="K543" s="91">
        <f>ROUND(Call_Centre_Data[[#This Row],[Satisfaction Rating]],0)</f>
        <v>5</v>
      </c>
    </row>
    <row r="544" spans="1:11" x14ac:dyDescent="0.35">
      <c r="A544" s="56" t="s">
        <v>1549</v>
      </c>
      <c r="B544" s="57" t="s">
        <v>1013</v>
      </c>
      <c r="C544" s="87">
        <v>60</v>
      </c>
      <c r="D544" s="57" t="s">
        <v>989</v>
      </c>
      <c r="E544" s="58">
        <v>45090</v>
      </c>
      <c r="F544" s="57">
        <v>37</v>
      </c>
      <c r="G544" s="59">
        <v>3.9</v>
      </c>
      <c r="H544" s="57">
        <f>IF(MONTH(Call_Centre_Data[[#This Row],[Date of Call]])&lt;=6,YEAR(Call_Centre_Data[[#This Row],[Date of Call]]),YEAR(Call_Centre_Data[[#This Row],[Date of Call]])+1)</f>
        <v>2023</v>
      </c>
      <c r="I544" s="39" t="str">
        <f>TEXT(Call_Centre_Data[[#This Row],[Date of Call]],"DDDD")</f>
        <v>Tuesday</v>
      </c>
      <c r="J544" s="39" t="str" cm="1">
        <f t="array" ref="J544">_xlfn.IFS(Call_Centre_Data[[#This Row],[Duration]]&lt;=10,"Under 10 Mins", Call_Centre_Data[[#This Row],[Duration]]&lt;=30,"10-30 Mins",Call_Centre_Data[[#This Row],[Duration]]&lt;=60,"30-60 Mins",Call_Centre_Data[[#This Row],[Duration]]&lt;=120,"1-2 Hours",TRUE,"More than 2 Hours")</f>
        <v>30-60 Mins</v>
      </c>
      <c r="K544" s="91">
        <f>ROUND(Call_Centre_Data[[#This Row],[Satisfaction Rating]],0)</f>
        <v>4</v>
      </c>
    </row>
    <row r="545" spans="1:11" x14ac:dyDescent="0.35">
      <c r="A545" s="56" t="s">
        <v>1550</v>
      </c>
      <c r="B545" s="57" t="s">
        <v>1027</v>
      </c>
      <c r="C545" s="87">
        <v>158</v>
      </c>
      <c r="D545" s="57" t="s">
        <v>999</v>
      </c>
      <c r="E545" s="58">
        <v>45091</v>
      </c>
      <c r="F545" s="57">
        <v>190</v>
      </c>
      <c r="G545" s="59">
        <v>4</v>
      </c>
      <c r="H545" s="57">
        <f>IF(MONTH(Call_Centre_Data[[#This Row],[Date of Call]])&lt;=6,YEAR(Call_Centre_Data[[#This Row],[Date of Call]]),YEAR(Call_Centre_Data[[#This Row],[Date of Call]])+1)</f>
        <v>2023</v>
      </c>
      <c r="I545" s="39" t="str">
        <f>TEXT(Call_Centre_Data[[#This Row],[Date of Call]],"DDDD")</f>
        <v>Wednesday</v>
      </c>
      <c r="J545" s="39" t="str" cm="1">
        <f t="array" ref="J545">_xlfn.IFS(Call_Centre_Data[[#This Row],[Duration]]&lt;=10,"Under 10 Mins", Call_Centre_Data[[#This Row],[Duration]]&lt;=30,"10-30 Mins",Call_Centre_Data[[#This Row],[Duration]]&lt;=60,"30-60 Mins",Call_Centre_Data[[#This Row],[Duration]]&lt;=120,"1-2 Hours",TRUE,"More than 2 Hours")</f>
        <v>More than 2 Hours</v>
      </c>
      <c r="K545" s="91">
        <f>ROUND(Call_Centre_Data[[#This Row],[Satisfaction Rating]],0)</f>
        <v>4</v>
      </c>
    </row>
    <row r="546" spans="1:11" x14ac:dyDescent="0.35">
      <c r="A546" s="56" t="s">
        <v>1551</v>
      </c>
      <c r="B546" s="57" t="s">
        <v>1007</v>
      </c>
      <c r="C546" s="87">
        <v>159</v>
      </c>
      <c r="D546" s="57" t="s">
        <v>994</v>
      </c>
      <c r="E546" s="58">
        <v>45091</v>
      </c>
      <c r="F546" s="57">
        <v>66</v>
      </c>
      <c r="G546" s="59">
        <v>3.4</v>
      </c>
      <c r="H546" s="57">
        <f>IF(MONTH(Call_Centre_Data[[#This Row],[Date of Call]])&lt;=6,YEAR(Call_Centre_Data[[#This Row],[Date of Call]]),YEAR(Call_Centre_Data[[#This Row],[Date of Call]])+1)</f>
        <v>2023</v>
      </c>
      <c r="I546" s="39" t="str">
        <f>TEXT(Call_Centre_Data[[#This Row],[Date of Call]],"DDDD")</f>
        <v>Wednesday</v>
      </c>
      <c r="J546" s="39" t="str" cm="1">
        <f t="array" ref="J546">_xlfn.IFS(Call_Centre_Data[[#This Row],[Duration]]&lt;=10,"Under 10 Mins", Call_Centre_Data[[#This Row],[Duration]]&lt;=30,"10-30 Mins",Call_Centre_Data[[#This Row],[Duration]]&lt;=60,"30-60 Mins",Call_Centre_Data[[#This Row],[Duration]]&lt;=120,"1-2 Hours",TRUE,"More than 2 Hours")</f>
        <v>More than 2 Hours</v>
      </c>
      <c r="K546" s="91">
        <f>ROUND(Call_Centre_Data[[#This Row],[Satisfaction Rating]],0)</f>
        <v>3</v>
      </c>
    </row>
    <row r="547" spans="1:11" x14ac:dyDescent="0.35">
      <c r="A547" s="56" t="s">
        <v>1552</v>
      </c>
      <c r="B547" s="57" t="s">
        <v>991</v>
      </c>
      <c r="C547" s="87">
        <v>70</v>
      </c>
      <c r="D547" s="57" t="s">
        <v>1008</v>
      </c>
      <c r="E547" s="58">
        <v>45092</v>
      </c>
      <c r="F547" s="57">
        <v>116</v>
      </c>
      <c r="G547" s="59">
        <v>3.2</v>
      </c>
      <c r="H547" s="57">
        <f>IF(MONTH(Call_Centre_Data[[#This Row],[Date of Call]])&lt;=6,YEAR(Call_Centre_Data[[#This Row],[Date of Call]]),YEAR(Call_Centre_Data[[#This Row],[Date of Call]])+1)</f>
        <v>2023</v>
      </c>
      <c r="I547" s="39" t="str">
        <f>TEXT(Call_Centre_Data[[#This Row],[Date of Call]],"DDDD")</f>
        <v>Thursday</v>
      </c>
      <c r="J547" s="39" t="str" cm="1">
        <f t="array" ref="J547">_xlfn.IFS(Call_Centre_Data[[#This Row],[Duration]]&lt;=10,"Under 10 Mins", Call_Centre_Data[[#This Row],[Duration]]&lt;=30,"10-30 Mins",Call_Centre_Data[[#This Row],[Duration]]&lt;=60,"30-60 Mins",Call_Centre_Data[[#This Row],[Duration]]&lt;=120,"1-2 Hours",TRUE,"More than 2 Hours")</f>
        <v>1-2 Hours</v>
      </c>
      <c r="K547" s="91">
        <f>ROUND(Call_Centre_Data[[#This Row],[Satisfaction Rating]],0)</f>
        <v>3</v>
      </c>
    </row>
    <row r="548" spans="1:11" x14ac:dyDescent="0.35">
      <c r="A548" s="56" t="s">
        <v>1553</v>
      </c>
      <c r="B548" s="57" t="s">
        <v>1030</v>
      </c>
      <c r="C548" s="87">
        <v>78</v>
      </c>
      <c r="D548" s="57" t="s">
        <v>1004</v>
      </c>
      <c r="E548" s="58">
        <v>45092</v>
      </c>
      <c r="F548" s="57">
        <v>28</v>
      </c>
      <c r="G548" s="59">
        <v>3.9</v>
      </c>
      <c r="H548" s="57">
        <f>IF(MONTH(Call_Centre_Data[[#This Row],[Date of Call]])&lt;=6,YEAR(Call_Centre_Data[[#This Row],[Date of Call]]),YEAR(Call_Centre_Data[[#This Row],[Date of Call]])+1)</f>
        <v>2023</v>
      </c>
      <c r="I548" s="39" t="str">
        <f>TEXT(Call_Centre_Data[[#This Row],[Date of Call]],"DDDD")</f>
        <v>Thursday</v>
      </c>
      <c r="J548" s="39" t="str" cm="1">
        <f t="array" ref="J548">_xlfn.IFS(Call_Centre_Data[[#This Row],[Duration]]&lt;=10,"Under 10 Mins", Call_Centre_Data[[#This Row],[Duration]]&lt;=30,"10-30 Mins",Call_Centre_Data[[#This Row],[Duration]]&lt;=60,"30-60 Mins",Call_Centre_Data[[#This Row],[Duration]]&lt;=120,"1-2 Hours",TRUE,"More than 2 Hours")</f>
        <v>1-2 Hours</v>
      </c>
      <c r="K548" s="91">
        <f>ROUND(Call_Centre_Data[[#This Row],[Satisfaction Rating]],0)</f>
        <v>4</v>
      </c>
    </row>
    <row r="549" spans="1:11" x14ac:dyDescent="0.35">
      <c r="A549" s="56" t="s">
        <v>1554</v>
      </c>
      <c r="B549" s="57" t="s">
        <v>998</v>
      </c>
      <c r="C549" s="87">
        <v>103</v>
      </c>
      <c r="D549" s="57" t="s">
        <v>1008</v>
      </c>
      <c r="E549" s="58">
        <v>45092</v>
      </c>
      <c r="F549" s="57">
        <v>120</v>
      </c>
      <c r="G549" s="59">
        <v>5</v>
      </c>
      <c r="H549" s="57">
        <f>IF(MONTH(Call_Centre_Data[[#This Row],[Date of Call]])&lt;=6,YEAR(Call_Centre_Data[[#This Row],[Date of Call]]),YEAR(Call_Centre_Data[[#This Row],[Date of Call]])+1)</f>
        <v>2023</v>
      </c>
      <c r="I549" s="39" t="str">
        <f>TEXT(Call_Centre_Data[[#This Row],[Date of Call]],"DDDD")</f>
        <v>Thursday</v>
      </c>
      <c r="J549" s="39" t="str" cm="1">
        <f t="array" ref="J549">_xlfn.IFS(Call_Centre_Data[[#This Row],[Duration]]&lt;=10,"Under 10 Mins", Call_Centre_Data[[#This Row],[Duration]]&lt;=30,"10-30 Mins",Call_Centre_Data[[#This Row],[Duration]]&lt;=60,"30-60 Mins",Call_Centre_Data[[#This Row],[Duration]]&lt;=120,"1-2 Hours",TRUE,"More than 2 Hours")</f>
        <v>1-2 Hours</v>
      </c>
      <c r="K549" s="91">
        <f>ROUND(Call_Centre_Data[[#This Row],[Satisfaction Rating]],0)</f>
        <v>5</v>
      </c>
    </row>
    <row r="550" spans="1:11" x14ac:dyDescent="0.35">
      <c r="A550" s="56" t="s">
        <v>1555</v>
      </c>
      <c r="B550" s="57" t="s">
        <v>993</v>
      </c>
      <c r="C550" s="87">
        <v>108</v>
      </c>
      <c r="D550" s="57" t="s">
        <v>999</v>
      </c>
      <c r="E550" s="58">
        <v>45092</v>
      </c>
      <c r="F550" s="57">
        <v>56</v>
      </c>
      <c r="G550" s="59">
        <v>3.5</v>
      </c>
      <c r="H550" s="57">
        <f>IF(MONTH(Call_Centre_Data[[#This Row],[Date of Call]])&lt;=6,YEAR(Call_Centre_Data[[#This Row],[Date of Call]]),YEAR(Call_Centre_Data[[#This Row],[Date of Call]])+1)</f>
        <v>2023</v>
      </c>
      <c r="I550" s="39" t="str">
        <f>TEXT(Call_Centre_Data[[#This Row],[Date of Call]],"DDDD")</f>
        <v>Thursday</v>
      </c>
      <c r="J550" s="39" t="str" cm="1">
        <f t="array" ref="J550">_xlfn.IFS(Call_Centre_Data[[#This Row],[Duration]]&lt;=10,"Under 10 Mins", Call_Centre_Data[[#This Row],[Duration]]&lt;=30,"10-30 Mins",Call_Centre_Data[[#This Row],[Duration]]&lt;=60,"30-60 Mins",Call_Centre_Data[[#This Row],[Duration]]&lt;=120,"1-2 Hours",TRUE,"More than 2 Hours")</f>
        <v>1-2 Hours</v>
      </c>
      <c r="K550" s="91">
        <f>ROUND(Call_Centre_Data[[#This Row],[Satisfaction Rating]],0)</f>
        <v>4</v>
      </c>
    </row>
    <row r="551" spans="1:11" x14ac:dyDescent="0.35">
      <c r="A551" s="56" t="s">
        <v>1556</v>
      </c>
      <c r="B551" s="57" t="s">
        <v>993</v>
      </c>
      <c r="C551" s="87">
        <v>44</v>
      </c>
      <c r="D551" s="57" t="s">
        <v>989</v>
      </c>
      <c r="E551" s="58">
        <v>45092</v>
      </c>
      <c r="F551" s="57">
        <v>170</v>
      </c>
      <c r="G551" s="59">
        <v>3.8</v>
      </c>
      <c r="H551" s="57">
        <f>IF(MONTH(Call_Centre_Data[[#This Row],[Date of Call]])&lt;=6,YEAR(Call_Centre_Data[[#This Row],[Date of Call]]),YEAR(Call_Centre_Data[[#This Row],[Date of Call]])+1)</f>
        <v>2023</v>
      </c>
      <c r="I551" s="39" t="str">
        <f>TEXT(Call_Centre_Data[[#This Row],[Date of Call]],"DDDD")</f>
        <v>Thursday</v>
      </c>
      <c r="J551" s="39" t="str" cm="1">
        <f t="array" ref="J551">_xlfn.IFS(Call_Centre_Data[[#This Row],[Duration]]&lt;=10,"Under 10 Mins", Call_Centre_Data[[#This Row],[Duration]]&lt;=30,"10-30 Mins",Call_Centre_Data[[#This Row],[Duration]]&lt;=60,"30-60 Mins",Call_Centre_Data[[#This Row],[Duration]]&lt;=120,"1-2 Hours",TRUE,"More than 2 Hours")</f>
        <v>30-60 Mins</v>
      </c>
      <c r="K551" s="91">
        <f>ROUND(Call_Centre_Data[[#This Row],[Satisfaction Rating]],0)</f>
        <v>4</v>
      </c>
    </row>
    <row r="552" spans="1:11" x14ac:dyDescent="0.35">
      <c r="A552" s="56" t="s">
        <v>1557</v>
      </c>
      <c r="B552" s="57" t="s">
        <v>1030</v>
      </c>
      <c r="C552" s="87">
        <v>127</v>
      </c>
      <c r="D552" s="57" t="s">
        <v>999</v>
      </c>
      <c r="E552" s="58">
        <v>45093</v>
      </c>
      <c r="F552" s="57">
        <v>200</v>
      </c>
      <c r="G552" s="59">
        <v>4.8</v>
      </c>
      <c r="H552" s="57">
        <f>IF(MONTH(Call_Centre_Data[[#This Row],[Date of Call]])&lt;=6,YEAR(Call_Centre_Data[[#This Row],[Date of Call]]),YEAR(Call_Centre_Data[[#This Row],[Date of Call]])+1)</f>
        <v>2023</v>
      </c>
      <c r="I552" s="39" t="str">
        <f>TEXT(Call_Centre_Data[[#This Row],[Date of Call]],"DDDD")</f>
        <v>Friday</v>
      </c>
      <c r="J552" s="39" t="str" cm="1">
        <f t="array" ref="J552">_xlfn.IFS(Call_Centre_Data[[#This Row],[Duration]]&lt;=10,"Under 10 Mins", Call_Centre_Data[[#This Row],[Duration]]&lt;=30,"10-30 Mins",Call_Centre_Data[[#This Row],[Duration]]&lt;=60,"30-60 Mins",Call_Centre_Data[[#This Row],[Duration]]&lt;=120,"1-2 Hours",TRUE,"More than 2 Hours")</f>
        <v>More than 2 Hours</v>
      </c>
      <c r="K552" s="91">
        <f>ROUND(Call_Centre_Data[[#This Row],[Satisfaction Rating]],0)</f>
        <v>5</v>
      </c>
    </row>
    <row r="553" spans="1:11" x14ac:dyDescent="0.35">
      <c r="A553" s="56" t="s">
        <v>1558</v>
      </c>
      <c r="B553" s="57" t="s">
        <v>998</v>
      </c>
      <c r="C553" s="87">
        <v>132</v>
      </c>
      <c r="D553" s="57" t="s">
        <v>1008</v>
      </c>
      <c r="E553" s="58">
        <v>45094</v>
      </c>
      <c r="F553" s="57">
        <v>50</v>
      </c>
      <c r="G553" s="59">
        <v>4.2</v>
      </c>
      <c r="H553" s="57">
        <f>IF(MONTH(Call_Centre_Data[[#This Row],[Date of Call]])&lt;=6,YEAR(Call_Centre_Data[[#This Row],[Date of Call]]),YEAR(Call_Centre_Data[[#This Row],[Date of Call]])+1)</f>
        <v>2023</v>
      </c>
      <c r="I553" s="39" t="str">
        <f>TEXT(Call_Centre_Data[[#This Row],[Date of Call]],"DDDD")</f>
        <v>Saturday</v>
      </c>
      <c r="J553" s="39" t="str" cm="1">
        <f t="array" ref="J553">_xlfn.IFS(Call_Centre_Data[[#This Row],[Duration]]&lt;=10,"Under 10 Mins", Call_Centre_Data[[#This Row],[Duration]]&lt;=30,"10-30 Mins",Call_Centre_Data[[#This Row],[Duration]]&lt;=60,"30-60 Mins",Call_Centre_Data[[#This Row],[Duration]]&lt;=120,"1-2 Hours",TRUE,"More than 2 Hours")</f>
        <v>More than 2 Hours</v>
      </c>
      <c r="K553" s="91">
        <f>ROUND(Call_Centre_Data[[#This Row],[Satisfaction Rating]],0)</f>
        <v>4</v>
      </c>
    </row>
    <row r="554" spans="1:11" x14ac:dyDescent="0.35">
      <c r="A554" s="56" t="s">
        <v>1559</v>
      </c>
      <c r="B554" s="57" t="s">
        <v>988</v>
      </c>
      <c r="C554" s="87">
        <v>106</v>
      </c>
      <c r="D554" s="57" t="s">
        <v>1004</v>
      </c>
      <c r="E554" s="58">
        <v>45094</v>
      </c>
      <c r="F554" s="57">
        <v>112</v>
      </c>
      <c r="G554" s="59">
        <v>3.7</v>
      </c>
      <c r="H554" s="57">
        <f>IF(MONTH(Call_Centre_Data[[#This Row],[Date of Call]])&lt;=6,YEAR(Call_Centre_Data[[#This Row],[Date of Call]]),YEAR(Call_Centre_Data[[#This Row],[Date of Call]])+1)</f>
        <v>2023</v>
      </c>
      <c r="I554" s="39" t="str">
        <f>TEXT(Call_Centre_Data[[#This Row],[Date of Call]],"DDDD")</f>
        <v>Saturday</v>
      </c>
      <c r="J554" s="39" t="str" cm="1">
        <f t="array" ref="J554">_xlfn.IFS(Call_Centre_Data[[#This Row],[Duration]]&lt;=10,"Under 10 Mins", Call_Centre_Data[[#This Row],[Duration]]&lt;=30,"10-30 Mins",Call_Centre_Data[[#This Row],[Duration]]&lt;=60,"30-60 Mins",Call_Centre_Data[[#This Row],[Duration]]&lt;=120,"1-2 Hours",TRUE,"More than 2 Hours")</f>
        <v>1-2 Hours</v>
      </c>
      <c r="K554" s="91">
        <f>ROUND(Call_Centre_Data[[#This Row],[Satisfaction Rating]],0)</f>
        <v>4</v>
      </c>
    </row>
    <row r="555" spans="1:11" x14ac:dyDescent="0.35">
      <c r="A555" s="56" t="s">
        <v>1560</v>
      </c>
      <c r="B555" s="57" t="s">
        <v>1060</v>
      </c>
      <c r="C555" s="87">
        <v>107</v>
      </c>
      <c r="D555" s="57" t="s">
        <v>1008</v>
      </c>
      <c r="E555" s="58">
        <v>45095</v>
      </c>
      <c r="F555" s="57">
        <v>39</v>
      </c>
      <c r="G555" s="59">
        <v>4.8</v>
      </c>
      <c r="H555" s="57">
        <f>IF(MONTH(Call_Centre_Data[[#This Row],[Date of Call]])&lt;=6,YEAR(Call_Centre_Data[[#This Row],[Date of Call]]),YEAR(Call_Centre_Data[[#This Row],[Date of Call]])+1)</f>
        <v>2023</v>
      </c>
      <c r="I555" s="39" t="str">
        <f>TEXT(Call_Centre_Data[[#This Row],[Date of Call]],"DDDD")</f>
        <v>Sunday</v>
      </c>
      <c r="J555" s="39" t="str" cm="1">
        <f t="array" ref="J555">_xlfn.IFS(Call_Centre_Data[[#This Row],[Duration]]&lt;=10,"Under 10 Mins", Call_Centre_Data[[#This Row],[Duration]]&lt;=30,"10-30 Mins",Call_Centre_Data[[#This Row],[Duration]]&lt;=60,"30-60 Mins",Call_Centre_Data[[#This Row],[Duration]]&lt;=120,"1-2 Hours",TRUE,"More than 2 Hours")</f>
        <v>1-2 Hours</v>
      </c>
      <c r="K555" s="91">
        <f>ROUND(Call_Centre_Data[[#This Row],[Satisfaction Rating]],0)</f>
        <v>5</v>
      </c>
    </row>
    <row r="556" spans="1:11" x14ac:dyDescent="0.35">
      <c r="A556" s="56" t="s">
        <v>1561</v>
      </c>
      <c r="B556" s="57" t="s">
        <v>1007</v>
      </c>
      <c r="C556" s="87">
        <v>85</v>
      </c>
      <c r="D556" s="57" t="s">
        <v>1004</v>
      </c>
      <c r="E556" s="58">
        <v>45095</v>
      </c>
      <c r="F556" s="57">
        <v>38</v>
      </c>
      <c r="G556" s="59">
        <v>4.8</v>
      </c>
      <c r="H556" s="57">
        <f>IF(MONTH(Call_Centre_Data[[#This Row],[Date of Call]])&lt;=6,YEAR(Call_Centre_Data[[#This Row],[Date of Call]]),YEAR(Call_Centre_Data[[#This Row],[Date of Call]])+1)</f>
        <v>2023</v>
      </c>
      <c r="I556" s="39" t="str">
        <f>TEXT(Call_Centre_Data[[#This Row],[Date of Call]],"DDDD")</f>
        <v>Sunday</v>
      </c>
      <c r="J556" s="39" t="str" cm="1">
        <f t="array" ref="J556">_xlfn.IFS(Call_Centre_Data[[#This Row],[Duration]]&lt;=10,"Under 10 Mins", Call_Centre_Data[[#This Row],[Duration]]&lt;=30,"10-30 Mins",Call_Centre_Data[[#This Row],[Duration]]&lt;=60,"30-60 Mins",Call_Centre_Data[[#This Row],[Duration]]&lt;=120,"1-2 Hours",TRUE,"More than 2 Hours")</f>
        <v>1-2 Hours</v>
      </c>
      <c r="K556" s="91">
        <f>ROUND(Call_Centre_Data[[#This Row],[Satisfaction Rating]],0)</f>
        <v>5</v>
      </c>
    </row>
    <row r="557" spans="1:11" x14ac:dyDescent="0.35">
      <c r="A557" s="56" t="s">
        <v>1562</v>
      </c>
      <c r="B557" s="57" t="s">
        <v>1002</v>
      </c>
      <c r="C557" s="87">
        <v>49</v>
      </c>
      <c r="D557" s="57" t="s">
        <v>1008</v>
      </c>
      <c r="E557" s="58">
        <v>45096</v>
      </c>
      <c r="F557" s="57">
        <v>84</v>
      </c>
      <c r="G557" s="59">
        <v>2.9</v>
      </c>
      <c r="H557" s="57">
        <f>IF(MONTH(Call_Centre_Data[[#This Row],[Date of Call]])&lt;=6,YEAR(Call_Centre_Data[[#This Row],[Date of Call]]),YEAR(Call_Centre_Data[[#This Row],[Date of Call]])+1)</f>
        <v>2023</v>
      </c>
      <c r="I557" s="39" t="str">
        <f>TEXT(Call_Centre_Data[[#This Row],[Date of Call]],"DDDD")</f>
        <v>Monday</v>
      </c>
      <c r="J557" s="39" t="str" cm="1">
        <f t="array" ref="J557">_xlfn.IFS(Call_Centre_Data[[#This Row],[Duration]]&lt;=10,"Under 10 Mins", Call_Centre_Data[[#This Row],[Duration]]&lt;=30,"10-30 Mins",Call_Centre_Data[[#This Row],[Duration]]&lt;=60,"30-60 Mins",Call_Centre_Data[[#This Row],[Duration]]&lt;=120,"1-2 Hours",TRUE,"More than 2 Hours")</f>
        <v>30-60 Mins</v>
      </c>
      <c r="K557" s="91">
        <f>ROUND(Call_Centre_Data[[#This Row],[Satisfaction Rating]],0)</f>
        <v>3</v>
      </c>
    </row>
    <row r="558" spans="1:11" x14ac:dyDescent="0.35">
      <c r="A558" s="56" t="s">
        <v>1563</v>
      </c>
      <c r="B558" s="57" t="s">
        <v>1013</v>
      </c>
      <c r="C558" s="87">
        <v>117</v>
      </c>
      <c r="D558" s="57" t="s">
        <v>999</v>
      </c>
      <c r="E558" s="58">
        <v>45097</v>
      </c>
      <c r="F558" s="57">
        <v>82</v>
      </c>
      <c r="G558" s="59">
        <v>3.5</v>
      </c>
      <c r="H558" s="57">
        <f>IF(MONTH(Call_Centre_Data[[#This Row],[Date of Call]])&lt;=6,YEAR(Call_Centre_Data[[#This Row],[Date of Call]]),YEAR(Call_Centre_Data[[#This Row],[Date of Call]])+1)</f>
        <v>2023</v>
      </c>
      <c r="I558" s="39" t="str">
        <f>TEXT(Call_Centre_Data[[#This Row],[Date of Call]],"DDDD")</f>
        <v>Tuesday</v>
      </c>
      <c r="J558" s="39" t="str" cm="1">
        <f t="array" ref="J558">_xlfn.IFS(Call_Centre_Data[[#This Row],[Duration]]&lt;=10,"Under 10 Mins", Call_Centre_Data[[#This Row],[Duration]]&lt;=30,"10-30 Mins",Call_Centre_Data[[#This Row],[Duration]]&lt;=60,"30-60 Mins",Call_Centre_Data[[#This Row],[Duration]]&lt;=120,"1-2 Hours",TRUE,"More than 2 Hours")</f>
        <v>1-2 Hours</v>
      </c>
      <c r="K558" s="91">
        <f>ROUND(Call_Centre_Data[[#This Row],[Satisfaction Rating]],0)</f>
        <v>4</v>
      </c>
    </row>
    <row r="559" spans="1:11" x14ac:dyDescent="0.35">
      <c r="A559" s="56" t="s">
        <v>1564</v>
      </c>
      <c r="B559" s="57" t="s">
        <v>1060</v>
      </c>
      <c r="C559" s="87">
        <v>136</v>
      </c>
      <c r="D559" s="57" t="s">
        <v>1004</v>
      </c>
      <c r="E559" s="58">
        <v>45097</v>
      </c>
      <c r="F559" s="57">
        <v>37</v>
      </c>
      <c r="G559" s="59">
        <v>0.9</v>
      </c>
      <c r="H559" s="57">
        <f>IF(MONTH(Call_Centre_Data[[#This Row],[Date of Call]])&lt;=6,YEAR(Call_Centre_Data[[#This Row],[Date of Call]]),YEAR(Call_Centre_Data[[#This Row],[Date of Call]])+1)</f>
        <v>2023</v>
      </c>
      <c r="I559" s="39" t="str">
        <f>TEXT(Call_Centre_Data[[#This Row],[Date of Call]],"DDDD")</f>
        <v>Tuesday</v>
      </c>
      <c r="J559" s="39" t="str" cm="1">
        <f t="array" ref="J559">_xlfn.IFS(Call_Centre_Data[[#This Row],[Duration]]&lt;=10,"Under 10 Mins", Call_Centre_Data[[#This Row],[Duration]]&lt;=30,"10-30 Mins",Call_Centre_Data[[#This Row],[Duration]]&lt;=60,"30-60 Mins",Call_Centre_Data[[#This Row],[Duration]]&lt;=120,"1-2 Hours",TRUE,"More than 2 Hours")</f>
        <v>More than 2 Hours</v>
      </c>
      <c r="K559" s="91">
        <f>ROUND(Call_Centre_Data[[#This Row],[Satisfaction Rating]],0)</f>
        <v>1</v>
      </c>
    </row>
    <row r="560" spans="1:11" x14ac:dyDescent="0.35">
      <c r="A560" s="56" t="s">
        <v>1565</v>
      </c>
      <c r="B560" s="57" t="s">
        <v>993</v>
      </c>
      <c r="C560" s="87">
        <v>130</v>
      </c>
      <c r="D560" s="57" t="s">
        <v>994</v>
      </c>
      <c r="E560" s="58">
        <v>45098</v>
      </c>
      <c r="F560" s="57">
        <v>87</v>
      </c>
      <c r="G560" s="59">
        <v>3.4</v>
      </c>
      <c r="H560" s="57">
        <f>IF(MONTH(Call_Centre_Data[[#This Row],[Date of Call]])&lt;=6,YEAR(Call_Centre_Data[[#This Row],[Date of Call]]),YEAR(Call_Centre_Data[[#This Row],[Date of Call]])+1)</f>
        <v>2023</v>
      </c>
      <c r="I560" s="39" t="str">
        <f>TEXT(Call_Centre_Data[[#This Row],[Date of Call]],"DDDD")</f>
        <v>Wednesday</v>
      </c>
      <c r="J560" s="39" t="str" cm="1">
        <f t="array" ref="J560">_xlfn.IFS(Call_Centre_Data[[#This Row],[Duration]]&lt;=10,"Under 10 Mins", Call_Centre_Data[[#This Row],[Duration]]&lt;=30,"10-30 Mins",Call_Centre_Data[[#This Row],[Duration]]&lt;=60,"30-60 Mins",Call_Centre_Data[[#This Row],[Duration]]&lt;=120,"1-2 Hours",TRUE,"More than 2 Hours")</f>
        <v>More than 2 Hours</v>
      </c>
      <c r="K560" s="91">
        <f>ROUND(Call_Centre_Data[[#This Row],[Satisfaction Rating]],0)</f>
        <v>3</v>
      </c>
    </row>
    <row r="561" spans="1:11" x14ac:dyDescent="0.35">
      <c r="A561" s="56" t="s">
        <v>1566</v>
      </c>
      <c r="B561" s="57" t="s">
        <v>993</v>
      </c>
      <c r="C561" s="87">
        <v>73</v>
      </c>
      <c r="D561" s="57" t="s">
        <v>994</v>
      </c>
      <c r="E561" s="58">
        <v>45098</v>
      </c>
      <c r="F561" s="57">
        <v>75</v>
      </c>
      <c r="G561" s="59">
        <v>2.7</v>
      </c>
      <c r="H561" s="57">
        <f>IF(MONTH(Call_Centre_Data[[#This Row],[Date of Call]])&lt;=6,YEAR(Call_Centre_Data[[#This Row],[Date of Call]]),YEAR(Call_Centre_Data[[#This Row],[Date of Call]])+1)</f>
        <v>2023</v>
      </c>
      <c r="I561" s="39" t="str">
        <f>TEXT(Call_Centre_Data[[#This Row],[Date of Call]],"DDDD")</f>
        <v>Wednesday</v>
      </c>
      <c r="J561" s="39" t="str" cm="1">
        <f t="array" ref="J561">_xlfn.IFS(Call_Centre_Data[[#This Row],[Duration]]&lt;=10,"Under 10 Mins", Call_Centre_Data[[#This Row],[Duration]]&lt;=30,"10-30 Mins",Call_Centre_Data[[#This Row],[Duration]]&lt;=60,"30-60 Mins",Call_Centre_Data[[#This Row],[Duration]]&lt;=120,"1-2 Hours",TRUE,"More than 2 Hours")</f>
        <v>1-2 Hours</v>
      </c>
      <c r="K561" s="91">
        <f>ROUND(Call_Centre_Data[[#This Row],[Satisfaction Rating]],0)</f>
        <v>3</v>
      </c>
    </row>
    <row r="562" spans="1:11" x14ac:dyDescent="0.35">
      <c r="A562" s="56" t="s">
        <v>1567</v>
      </c>
      <c r="B562" s="57" t="s">
        <v>1002</v>
      </c>
      <c r="C562" s="87">
        <v>80</v>
      </c>
      <c r="D562" s="57" t="s">
        <v>1008</v>
      </c>
      <c r="E562" s="58">
        <v>45098</v>
      </c>
      <c r="F562" s="57">
        <v>32</v>
      </c>
      <c r="G562" s="59">
        <v>4.7</v>
      </c>
      <c r="H562" s="57">
        <f>IF(MONTH(Call_Centre_Data[[#This Row],[Date of Call]])&lt;=6,YEAR(Call_Centre_Data[[#This Row],[Date of Call]]),YEAR(Call_Centre_Data[[#This Row],[Date of Call]])+1)</f>
        <v>2023</v>
      </c>
      <c r="I562" s="39" t="str">
        <f>TEXT(Call_Centre_Data[[#This Row],[Date of Call]],"DDDD")</f>
        <v>Wednesday</v>
      </c>
      <c r="J562" s="39" t="str" cm="1">
        <f t="array" ref="J562">_xlfn.IFS(Call_Centre_Data[[#This Row],[Duration]]&lt;=10,"Under 10 Mins", Call_Centre_Data[[#This Row],[Duration]]&lt;=30,"10-30 Mins",Call_Centre_Data[[#This Row],[Duration]]&lt;=60,"30-60 Mins",Call_Centre_Data[[#This Row],[Duration]]&lt;=120,"1-2 Hours",TRUE,"More than 2 Hours")</f>
        <v>1-2 Hours</v>
      </c>
      <c r="K562" s="91">
        <f>ROUND(Call_Centre_Data[[#This Row],[Satisfaction Rating]],0)</f>
        <v>5</v>
      </c>
    </row>
    <row r="563" spans="1:11" x14ac:dyDescent="0.35">
      <c r="A563" s="56" t="s">
        <v>1568</v>
      </c>
      <c r="B563" s="57" t="s">
        <v>1040</v>
      </c>
      <c r="C563" s="87">
        <v>44</v>
      </c>
      <c r="D563" s="57" t="s">
        <v>999</v>
      </c>
      <c r="E563" s="58">
        <v>45098</v>
      </c>
      <c r="F563" s="57">
        <v>33</v>
      </c>
      <c r="G563" s="59">
        <v>3</v>
      </c>
      <c r="H563" s="57">
        <f>IF(MONTH(Call_Centre_Data[[#This Row],[Date of Call]])&lt;=6,YEAR(Call_Centre_Data[[#This Row],[Date of Call]]),YEAR(Call_Centre_Data[[#This Row],[Date of Call]])+1)</f>
        <v>2023</v>
      </c>
      <c r="I563" s="39" t="str">
        <f>TEXT(Call_Centre_Data[[#This Row],[Date of Call]],"DDDD")</f>
        <v>Wednesday</v>
      </c>
      <c r="J563" s="39" t="str" cm="1">
        <f t="array" ref="J563">_xlfn.IFS(Call_Centre_Data[[#This Row],[Duration]]&lt;=10,"Under 10 Mins", Call_Centre_Data[[#This Row],[Duration]]&lt;=30,"10-30 Mins",Call_Centre_Data[[#This Row],[Duration]]&lt;=60,"30-60 Mins",Call_Centre_Data[[#This Row],[Duration]]&lt;=120,"1-2 Hours",TRUE,"More than 2 Hours")</f>
        <v>30-60 Mins</v>
      </c>
      <c r="K563" s="91">
        <f>ROUND(Call_Centre_Data[[#This Row],[Satisfaction Rating]],0)</f>
        <v>3</v>
      </c>
    </row>
    <row r="564" spans="1:11" x14ac:dyDescent="0.35">
      <c r="A564" s="56" t="s">
        <v>1569</v>
      </c>
      <c r="B564" s="57" t="s">
        <v>1040</v>
      </c>
      <c r="C564" s="87">
        <v>102</v>
      </c>
      <c r="D564" s="57" t="s">
        <v>989</v>
      </c>
      <c r="E564" s="58">
        <v>45098</v>
      </c>
      <c r="F564" s="57">
        <v>76</v>
      </c>
      <c r="G564" s="59">
        <v>4.2</v>
      </c>
      <c r="H564" s="57">
        <f>IF(MONTH(Call_Centre_Data[[#This Row],[Date of Call]])&lt;=6,YEAR(Call_Centre_Data[[#This Row],[Date of Call]]),YEAR(Call_Centre_Data[[#This Row],[Date of Call]])+1)</f>
        <v>2023</v>
      </c>
      <c r="I564" s="39" t="str">
        <f>TEXT(Call_Centre_Data[[#This Row],[Date of Call]],"DDDD")</f>
        <v>Wednesday</v>
      </c>
      <c r="J564" s="39" t="str" cm="1">
        <f t="array" ref="J564">_xlfn.IFS(Call_Centre_Data[[#This Row],[Duration]]&lt;=10,"Under 10 Mins", Call_Centre_Data[[#This Row],[Duration]]&lt;=30,"10-30 Mins",Call_Centre_Data[[#This Row],[Duration]]&lt;=60,"30-60 Mins",Call_Centre_Data[[#This Row],[Duration]]&lt;=120,"1-2 Hours",TRUE,"More than 2 Hours")</f>
        <v>1-2 Hours</v>
      </c>
      <c r="K564" s="91">
        <f>ROUND(Call_Centre_Data[[#This Row],[Satisfaction Rating]],0)</f>
        <v>4</v>
      </c>
    </row>
    <row r="565" spans="1:11" x14ac:dyDescent="0.35">
      <c r="A565" s="56" t="s">
        <v>1570</v>
      </c>
      <c r="B565" s="57" t="s">
        <v>1027</v>
      </c>
      <c r="C565" s="87">
        <v>74</v>
      </c>
      <c r="D565" s="57" t="s">
        <v>989</v>
      </c>
      <c r="E565" s="58">
        <v>45098</v>
      </c>
      <c r="F565" s="57">
        <v>117</v>
      </c>
      <c r="G565" s="59">
        <v>4.8</v>
      </c>
      <c r="H565" s="57">
        <f>IF(MONTH(Call_Centre_Data[[#This Row],[Date of Call]])&lt;=6,YEAR(Call_Centre_Data[[#This Row],[Date of Call]]),YEAR(Call_Centre_Data[[#This Row],[Date of Call]])+1)</f>
        <v>2023</v>
      </c>
      <c r="I565" s="39" t="str">
        <f>TEXT(Call_Centre_Data[[#This Row],[Date of Call]],"DDDD")</f>
        <v>Wednesday</v>
      </c>
      <c r="J565" s="39" t="str" cm="1">
        <f t="array" ref="J565">_xlfn.IFS(Call_Centre_Data[[#This Row],[Duration]]&lt;=10,"Under 10 Mins", Call_Centre_Data[[#This Row],[Duration]]&lt;=30,"10-30 Mins",Call_Centre_Data[[#This Row],[Duration]]&lt;=60,"30-60 Mins",Call_Centre_Data[[#This Row],[Duration]]&lt;=120,"1-2 Hours",TRUE,"More than 2 Hours")</f>
        <v>1-2 Hours</v>
      </c>
      <c r="K565" s="91">
        <f>ROUND(Call_Centre_Data[[#This Row],[Satisfaction Rating]],0)</f>
        <v>5</v>
      </c>
    </row>
    <row r="566" spans="1:11" x14ac:dyDescent="0.35">
      <c r="A566" s="56" t="s">
        <v>1571</v>
      </c>
      <c r="B566" s="57" t="s">
        <v>1002</v>
      </c>
      <c r="C566" s="87">
        <v>52</v>
      </c>
      <c r="D566" s="57" t="s">
        <v>999</v>
      </c>
      <c r="E566" s="58">
        <v>45100</v>
      </c>
      <c r="F566" s="57">
        <v>70</v>
      </c>
      <c r="G566" s="59">
        <v>4.0999999999999996</v>
      </c>
      <c r="H566" s="57">
        <f>IF(MONTH(Call_Centre_Data[[#This Row],[Date of Call]])&lt;=6,YEAR(Call_Centre_Data[[#This Row],[Date of Call]]),YEAR(Call_Centre_Data[[#This Row],[Date of Call]])+1)</f>
        <v>2023</v>
      </c>
      <c r="I566" s="39" t="str">
        <f>TEXT(Call_Centre_Data[[#This Row],[Date of Call]],"DDDD")</f>
        <v>Friday</v>
      </c>
      <c r="J566" s="39" t="str" cm="1">
        <f t="array" ref="J566">_xlfn.IFS(Call_Centre_Data[[#This Row],[Duration]]&lt;=10,"Under 10 Mins", Call_Centre_Data[[#This Row],[Duration]]&lt;=30,"10-30 Mins",Call_Centre_Data[[#This Row],[Duration]]&lt;=60,"30-60 Mins",Call_Centre_Data[[#This Row],[Duration]]&lt;=120,"1-2 Hours",TRUE,"More than 2 Hours")</f>
        <v>30-60 Mins</v>
      </c>
      <c r="K566" s="91">
        <f>ROUND(Call_Centre_Data[[#This Row],[Satisfaction Rating]],0)</f>
        <v>4</v>
      </c>
    </row>
    <row r="567" spans="1:11" x14ac:dyDescent="0.35">
      <c r="A567" s="56" t="s">
        <v>1572</v>
      </c>
      <c r="B567" s="57" t="s">
        <v>1002</v>
      </c>
      <c r="C567" s="87">
        <v>74</v>
      </c>
      <c r="D567" s="57" t="s">
        <v>994</v>
      </c>
      <c r="E567" s="58">
        <v>45100</v>
      </c>
      <c r="F567" s="57">
        <v>37</v>
      </c>
      <c r="G567" s="59">
        <v>2.7</v>
      </c>
      <c r="H567" s="57">
        <f>IF(MONTH(Call_Centre_Data[[#This Row],[Date of Call]])&lt;=6,YEAR(Call_Centre_Data[[#This Row],[Date of Call]]),YEAR(Call_Centre_Data[[#This Row],[Date of Call]])+1)</f>
        <v>2023</v>
      </c>
      <c r="I567" s="39" t="str">
        <f>TEXT(Call_Centre_Data[[#This Row],[Date of Call]],"DDDD")</f>
        <v>Friday</v>
      </c>
      <c r="J567" s="39" t="str" cm="1">
        <f t="array" ref="J567">_xlfn.IFS(Call_Centre_Data[[#This Row],[Duration]]&lt;=10,"Under 10 Mins", Call_Centre_Data[[#This Row],[Duration]]&lt;=30,"10-30 Mins",Call_Centre_Data[[#This Row],[Duration]]&lt;=60,"30-60 Mins",Call_Centre_Data[[#This Row],[Duration]]&lt;=120,"1-2 Hours",TRUE,"More than 2 Hours")</f>
        <v>1-2 Hours</v>
      </c>
      <c r="K567" s="91">
        <f>ROUND(Call_Centre_Data[[#This Row],[Satisfaction Rating]],0)</f>
        <v>3</v>
      </c>
    </row>
    <row r="568" spans="1:11" x14ac:dyDescent="0.35">
      <c r="A568" s="56" t="s">
        <v>1573</v>
      </c>
      <c r="B568" s="57" t="s">
        <v>993</v>
      </c>
      <c r="C568" s="87">
        <v>96</v>
      </c>
      <c r="D568" s="57" t="s">
        <v>989</v>
      </c>
      <c r="E568" s="58">
        <v>45100</v>
      </c>
      <c r="F568" s="57">
        <v>46</v>
      </c>
      <c r="G568" s="59">
        <v>2.9</v>
      </c>
      <c r="H568" s="57">
        <f>IF(MONTH(Call_Centre_Data[[#This Row],[Date of Call]])&lt;=6,YEAR(Call_Centre_Data[[#This Row],[Date of Call]]),YEAR(Call_Centre_Data[[#This Row],[Date of Call]])+1)</f>
        <v>2023</v>
      </c>
      <c r="I568" s="39" t="str">
        <f>TEXT(Call_Centre_Data[[#This Row],[Date of Call]],"DDDD")</f>
        <v>Friday</v>
      </c>
      <c r="J568" s="39" t="str" cm="1">
        <f t="array" ref="J568">_xlfn.IFS(Call_Centre_Data[[#This Row],[Duration]]&lt;=10,"Under 10 Mins", Call_Centre_Data[[#This Row],[Duration]]&lt;=30,"10-30 Mins",Call_Centre_Data[[#This Row],[Duration]]&lt;=60,"30-60 Mins",Call_Centre_Data[[#This Row],[Duration]]&lt;=120,"1-2 Hours",TRUE,"More than 2 Hours")</f>
        <v>1-2 Hours</v>
      </c>
      <c r="K568" s="91">
        <f>ROUND(Call_Centre_Data[[#This Row],[Satisfaction Rating]],0)</f>
        <v>3</v>
      </c>
    </row>
    <row r="569" spans="1:11" x14ac:dyDescent="0.35">
      <c r="A569" s="56" t="s">
        <v>1574</v>
      </c>
      <c r="B569" s="57" t="s">
        <v>1011</v>
      </c>
      <c r="C569" s="87">
        <v>104</v>
      </c>
      <c r="D569" s="57" t="s">
        <v>1008</v>
      </c>
      <c r="E569" s="58">
        <v>45100</v>
      </c>
      <c r="F569" s="57">
        <v>136</v>
      </c>
      <c r="G569" s="59">
        <v>5</v>
      </c>
      <c r="H569" s="57">
        <f>IF(MONTH(Call_Centre_Data[[#This Row],[Date of Call]])&lt;=6,YEAR(Call_Centre_Data[[#This Row],[Date of Call]]),YEAR(Call_Centre_Data[[#This Row],[Date of Call]])+1)</f>
        <v>2023</v>
      </c>
      <c r="I569" s="39" t="str">
        <f>TEXT(Call_Centre_Data[[#This Row],[Date of Call]],"DDDD")</f>
        <v>Friday</v>
      </c>
      <c r="J569" s="39" t="str" cm="1">
        <f t="array" ref="J569">_xlfn.IFS(Call_Centre_Data[[#This Row],[Duration]]&lt;=10,"Under 10 Mins", Call_Centre_Data[[#This Row],[Duration]]&lt;=30,"10-30 Mins",Call_Centre_Data[[#This Row],[Duration]]&lt;=60,"30-60 Mins",Call_Centre_Data[[#This Row],[Duration]]&lt;=120,"1-2 Hours",TRUE,"More than 2 Hours")</f>
        <v>1-2 Hours</v>
      </c>
      <c r="K569" s="91">
        <f>ROUND(Call_Centre_Data[[#This Row],[Satisfaction Rating]],0)</f>
        <v>5</v>
      </c>
    </row>
    <row r="570" spans="1:11" x14ac:dyDescent="0.35">
      <c r="A570" s="56" t="s">
        <v>1575</v>
      </c>
      <c r="B570" s="57" t="s">
        <v>993</v>
      </c>
      <c r="C570" s="87">
        <v>123</v>
      </c>
      <c r="D570" s="57" t="s">
        <v>989</v>
      </c>
      <c r="E570" s="58">
        <v>45101</v>
      </c>
      <c r="F570" s="57">
        <v>44</v>
      </c>
      <c r="G570" s="59">
        <v>4.5999999999999996</v>
      </c>
      <c r="H570" s="57">
        <f>IF(MONTH(Call_Centre_Data[[#This Row],[Date of Call]])&lt;=6,YEAR(Call_Centre_Data[[#This Row],[Date of Call]]),YEAR(Call_Centre_Data[[#This Row],[Date of Call]])+1)</f>
        <v>2023</v>
      </c>
      <c r="I570" s="39" t="str">
        <f>TEXT(Call_Centre_Data[[#This Row],[Date of Call]],"DDDD")</f>
        <v>Saturday</v>
      </c>
      <c r="J570" s="39" t="str" cm="1">
        <f t="array" ref="J570">_xlfn.IFS(Call_Centre_Data[[#This Row],[Duration]]&lt;=10,"Under 10 Mins", Call_Centre_Data[[#This Row],[Duration]]&lt;=30,"10-30 Mins",Call_Centre_Data[[#This Row],[Duration]]&lt;=60,"30-60 Mins",Call_Centre_Data[[#This Row],[Duration]]&lt;=120,"1-2 Hours",TRUE,"More than 2 Hours")</f>
        <v>More than 2 Hours</v>
      </c>
      <c r="K570" s="91">
        <f>ROUND(Call_Centre_Data[[#This Row],[Satisfaction Rating]],0)</f>
        <v>5</v>
      </c>
    </row>
    <row r="571" spans="1:11" x14ac:dyDescent="0.35">
      <c r="A571" s="56" t="s">
        <v>1576</v>
      </c>
      <c r="B571" s="57" t="s">
        <v>1019</v>
      </c>
      <c r="C571" s="87">
        <v>100</v>
      </c>
      <c r="D571" s="57" t="s">
        <v>1004</v>
      </c>
      <c r="E571" s="58">
        <v>45101</v>
      </c>
      <c r="F571" s="57">
        <v>69</v>
      </c>
      <c r="G571" s="59">
        <v>3</v>
      </c>
      <c r="H571" s="57">
        <f>IF(MONTH(Call_Centre_Data[[#This Row],[Date of Call]])&lt;=6,YEAR(Call_Centre_Data[[#This Row],[Date of Call]]),YEAR(Call_Centre_Data[[#This Row],[Date of Call]])+1)</f>
        <v>2023</v>
      </c>
      <c r="I571" s="39" t="str">
        <f>TEXT(Call_Centre_Data[[#This Row],[Date of Call]],"DDDD")</f>
        <v>Saturday</v>
      </c>
      <c r="J571" s="39" t="str" cm="1">
        <f t="array" ref="J571">_xlfn.IFS(Call_Centre_Data[[#This Row],[Duration]]&lt;=10,"Under 10 Mins", Call_Centre_Data[[#This Row],[Duration]]&lt;=30,"10-30 Mins",Call_Centre_Data[[#This Row],[Duration]]&lt;=60,"30-60 Mins",Call_Centre_Data[[#This Row],[Duration]]&lt;=120,"1-2 Hours",TRUE,"More than 2 Hours")</f>
        <v>1-2 Hours</v>
      </c>
      <c r="K571" s="91">
        <f>ROUND(Call_Centre_Data[[#This Row],[Satisfaction Rating]],0)</f>
        <v>3</v>
      </c>
    </row>
    <row r="572" spans="1:11" x14ac:dyDescent="0.35">
      <c r="A572" s="56" t="s">
        <v>1577</v>
      </c>
      <c r="B572" s="57" t="s">
        <v>1011</v>
      </c>
      <c r="C572" s="87">
        <v>35</v>
      </c>
      <c r="D572" s="57" t="s">
        <v>999</v>
      </c>
      <c r="E572" s="58">
        <v>45102</v>
      </c>
      <c r="F572" s="57">
        <v>86</v>
      </c>
      <c r="G572" s="59">
        <v>4.5999999999999996</v>
      </c>
      <c r="H572" s="57">
        <f>IF(MONTH(Call_Centre_Data[[#This Row],[Date of Call]])&lt;=6,YEAR(Call_Centre_Data[[#This Row],[Date of Call]]),YEAR(Call_Centre_Data[[#This Row],[Date of Call]])+1)</f>
        <v>2023</v>
      </c>
      <c r="I572" s="39" t="str">
        <f>TEXT(Call_Centre_Data[[#This Row],[Date of Call]],"DDDD")</f>
        <v>Sunday</v>
      </c>
      <c r="J572" s="39" t="str" cm="1">
        <f t="array" ref="J572">_xlfn.IFS(Call_Centre_Data[[#This Row],[Duration]]&lt;=10,"Under 10 Mins", Call_Centre_Data[[#This Row],[Duration]]&lt;=30,"10-30 Mins",Call_Centre_Data[[#This Row],[Duration]]&lt;=60,"30-60 Mins",Call_Centre_Data[[#This Row],[Duration]]&lt;=120,"1-2 Hours",TRUE,"More than 2 Hours")</f>
        <v>30-60 Mins</v>
      </c>
      <c r="K572" s="91">
        <f>ROUND(Call_Centre_Data[[#This Row],[Satisfaction Rating]],0)</f>
        <v>5</v>
      </c>
    </row>
    <row r="573" spans="1:11" x14ac:dyDescent="0.35">
      <c r="A573" s="56" t="s">
        <v>1578</v>
      </c>
      <c r="B573" s="57" t="s">
        <v>1002</v>
      </c>
      <c r="C573" s="87">
        <v>123</v>
      </c>
      <c r="D573" s="57" t="s">
        <v>1008</v>
      </c>
      <c r="E573" s="58">
        <v>45102</v>
      </c>
      <c r="F573" s="57">
        <v>68</v>
      </c>
      <c r="G573" s="59">
        <v>4.5</v>
      </c>
      <c r="H573" s="57">
        <f>IF(MONTH(Call_Centre_Data[[#This Row],[Date of Call]])&lt;=6,YEAR(Call_Centre_Data[[#This Row],[Date of Call]]),YEAR(Call_Centre_Data[[#This Row],[Date of Call]])+1)</f>
        <v>2023</v>
      </c>
      <c r="I573" s="39" t="str">
        <f>TEXT(Call_Centre_Data[[#This Row],[Date of Call]],"DDDD")</f>
        <v>Sunday</v>
      </c>
      <c r="J573" s="39" t="str" cm="1">
        <f t="array" ref="J573">_xlfn.IFS(Call_Centre_Data[[#This Row],[Duration]]&lt;=10,"Under 10 Mins", Call_Centre_Data[[#This Row],[Duration]]&lt;=30,"10-30 Mins",Call_Centre_Data[[#This Row],[Duration]]&lt;=60,"30-60 Mins",Call_Centre_Data[[#This Row],[Duration]]&lt;=120,"1-2 Hours",TRUE,"More than 2 Hours")</f>
        <v>More than 2 Hours</v>
      </c>
      <c r="K573" s="91">
        <f>ROUND(Call_Centre_Data[[#This Row],[Satisfaction Rating]],0)</f>
        <v>5</v>
      </c>
    </row>
    <row r="574" spans="1:11" x14ac:dyDescent="0.35">
      <c r="A574" s="56" t="s">
        <v>1579</v>
      </c>
      <c r="B574" s="57" t="s">
        <v>1013</v>
      </c>
      <c r="C574" s="87">
        <v>133</v>
      </c>
      <c r="D574" s="57" t="s">
        <v>999</v>
      </c>
      <c r="E574" s="58">
        <v>45103</v>
      </c>
      <c r="F574" s="57">
        <v>21</v>
      </c>
      <c r="G574" s="59">
        <v>3.7</v>
      </c>
      <c r="H574" s="57">
        <f>IF(MONTH(Call_Centre_Data[[#This Row],[Date of Call]])&lt;=6,YEAR(Call_Centre_Data[[#This Row],[Date of Call]]),YEAR(Call_Centre_Data[[#This Row],[Date of Call]])+1)</f>
        <v>2023</v>
      </c>
      <c r="I574" s="39" t="str">
        <f>TEXT(Call_Centre_Data[[#This Row],[Date of Call]],"DDDD")</f>
        <v>Monday</v>
      </c>
      <c r="J574" s="39" t="str" cm="1">
        <f t="array" ref="J574">_xlfn.IFS(Call_Centre_Data[[#This Row],[Duration]]&lt;=10,"Under 10 Mins", Call_Centre_Data[[#This Row],[Duration]]&lt;=30,"10-30 Mins",Call_Centre_Data[[#This Row],[Duration]]&lt;=60,"30-60 Mins",Call_Centre_Data[[#This Row],[Duration]]&lt;=120,"1-2 Hours",TRUE,"More than 2 Hours")</f>
        <v>More than 2 Hours</v>
      </c>
      <c r="K574" s="91">
        <f>ROUND(Call_Centre_Data[[#This Row],[Satisfaction Rating]],0)</f>
        <v>4</v>
      </c>
    </row>
    <row r="575" spans="1:11" x14ac:dyDescent="0.35">
      <c r="A575" s="56" t="s">
        <v>1580</v>
      </c>
      <c r="B575" s="57" t="s">
        <v>993</v>
      </c>
      <c r="C575" s="87">
        <v>126</v>
      </c>
      <c r="D575" s="57" t="s">
        <v>994</v>
      </c>
      <c r="E575" s="58">
        <v>45103</v>
      </c>
      <c r="F575" s="57">
        <v>190</v>
      </c>
      <c r="G575" s="59">
        <v>2.4</v>
      </c>
      <c r="H575" s="57">
        <f>IF(MONTH(Call_Centre_Data[[#This Row],[Date of Call]])&lt;=6,YEAR(Call_Centre_Data[[#This Row],[Date of Call]]),YEAR(Call_Centre_Data[[#This Row],[Date of Call]])+1)</f>
        <v>2023</v>
      </c>
      <c r="I575" s="39" t="str">
        <f>TEXT(Call_Centre_Data[[#This Row],[Date of Call]],"DDDD")</f>
        <v>Monday</v>
      </c>
      <c r="J575" s="39" t="str" cm="1">
        <f t="array" ref="J575">_xlfn.IFS(Call_Centre_Data[[#This Row],[Duration]]&lt;=10,"Under 10 Mins", Call_Centre_Data[[#This Row],[Duration]]&lt;=30,"10-30 Mins",Call_Centre_Data[[#This Row],[Duration]]&lt;=60,"30-60 Mins",Call_Centre_Data[[#This Row],[Duration]]&lt;=120,"1-2 Hours",TRUE,"More than 2 Hours")</f>
        <v>More than 2 Hours</v>
      </c>
      <c r="K575" s="91">
        <f>ROUND(Call_Centre_Data[[#This Row],[Satisfaction Rating]],0)</f>
        <v>2</v>
      </c>
    </row>
    <row r="576" spans="1:11" x14ac:dyDescent="0.35">
      <c r="A576" s="56" t="s">
        <v>1581</v>
      </c>
      <c r="B576" s="57" t="s">
        <v>1002</v>
      </c>
      <c r="C576" s="87">
        <v>39</v>
      </c>
      <c r="D576" s="57" t="s">
        <v>989</v>
      </c>
      <c r="E576" s="58">
        <v>45103</v>
      </c>
      <c r="F576" s="57">
        <v>176</v>
      </c>
      <c r="G576" s="59">
        <v>4.3</v>
      </c>
      <c r="H576" s="57">
        <f>IF(MONTH(Call_Centre_Data[[#This Row],[Date of Call]])&lt;=6,YEAR(Call_Centre_Data[[#This Row],[Date of Call]]),YEAR(Call_Centre_Data[[#This Row],[Date of Call]])+1)</f>
        <v>2023</v>
      </c>
      <c r="I576" s="39" t="str">
        <f>TEXT(Call_Centre_Data[[#This Row],[Date of Call]],"DDDD")</f>
        <v>Monday</v>
      </c>
      <c r="J576" s="39" t="str" cm="1">
        <f t="array" ref="J576">_xlfn.IFS(Call_Centre_Data[[#This Row],[Duration]]&lt;=10,"Under 10 Mins", Call_Centre_Data[[#This Row],[Duration]]&lt;=30,"10-30 Mins",Call_Centre_Data[[#This Row],[Duration]]&lt;=60,"30-60 Mins",Call_Centre_Data[[#This Row],[Duration]]&lt;=120,"1-2 Hours",TRUE,"More than 2 Hours")</f>
        <v>30-60 Mins</v>
      </c>
      <c r="K576" s="91">
        <f>ROUND(Call_Centre_Data[[#This Row],[Satisfaction Rating]],0)</f>
        <v>4</v>
      </c>
    </row>
    <row r="577" spans="1:11" x14ac:dyDescent="0.35">
      <c r="A577" s="56" t="s">
        <v>1582</v>
      </c>
      <c r="B577" s="57" t="s">
        <v>1027</v>
      </c>
      <c r="C577" s="87">
        <v>31</v>
      </c>
      <c r="D577" s="57" t="s">
        <v>1008</v>
      </c>
      <c r="E577" s="58">
        <v>45103</v>
      </c>
      <c r="F577" s="57">
        <v>172</v>
      </c>
      <c r="G577" s="59">
        <v>3.9</v>
      </c>
      <c r="H577" s="57">
        <f>IF(MONTH(Call_Centre_Data[[#This Row],[Date of Call]])&lt;=6,YEAR(Call_Centre_Data[[#This Row],[Date of Call]]),YEAR(Call_Centre_Data[[#This Row],[Date of Call]])+1)</f>
        <v>2023</v>
      </c>
      <c r="I577" s="39" t="str">
        <f>TEXT(Call_Centre_Data[[#This Row],[Date of Call]],"DDDD")</f>
        <v>Monday</v>
      </c>
      <c r="J577" s="39" t="str" cm="1">
        <f t="array" ref="J577">_xlfn.IFS(Call_Centre_Data[[#This Row],[Duration]]&lt;=10,"Under 10 Mins", Call_Centre_Data[[#This Row],[Duration]]&lt;=30,"10-30 Mins",Call_Centre_Data[[#This Row],[Duration]]&lt;=60,"30-60 Mins",Call_Centre_Data[[#This Row],[Duration]]&lt;=120,"1-2 Hours",TRUE,"More than 2 Hours")</f>
        <v>30-60 Mins</v>
      </c>
      <c r="K577" s="91">
        <f>ROUND(Call_Centre_Data[[#This Row],[Satisfaction Rating]],0)</f>
        <v>4</v>
      </c>
    </row>
    <row r="578" spans="1:11" x14ac:dyDescent="0.35">
      <c r="A578" s="56" t="s">
        <v>1583</v>
      </c>
      <c r="B578" s="57" t="s">
        <v>998</v>
      </c>
      <c r="C578" s="87">
        <v>25</v>
      </c>
      <c r="D578" s="57" t="s">
        <v>999</v>
      </c>
      <c r="E578" s="58">
        <v>45103</v>
      </c>
      <c r="F578" s="57">
        <v>84</v>
      </c>
      <c r="G578" s="59">
        <v>4.5</v>
      </c>
      <c r="H578" s="57">
        <f>IF(MONTH(Call_Centre_Data[[#This Row],[Date of Call]])&lt;=6,YEAR(Call_Centre_Data[[#This Row],[Date of Call]]),YEAR(Call_Centre_Data[[#This Row],[Date of Call]])+1)</f>
        <v>2023</v>
      </c>
      <c r="I578" s="39" t="str">
        <f>TEXT(Call_Centre_Data[[#This Row],[Date of Call]],"DDDD")</f>
        <v>Monday</v>
      </c>
      <c r="J578" s="39" t="str" cm="1">
        <f t="array" ref="J578">_xlfn.IFS(Call_Centre_Data[[#This Row],[Duration]]&lt;=10,"Under 10 Mins", Call_Centre_Data[[#This Row],[Duration]]&lt;=30,"10-30 Mins",Call_Centre_Data[[#This Row],[Duration]]&lt;=60,"30-60 Mins",Call_Centre_Data[[#This Row],[Duration]]&lt;=120,"1-2 Hours",TRUE,"More than 2 Hours")</f>
        <v>10-30 Mins</v>
      </c>
      <c r="K578" s="91">
        <f>ROUND(Call_Centre_Data[[#This Row],[Satisfaction Rating]],0)</f>
        <v>5</v>
      </c>
    </row>
    <row r="579" spans="1:11" x14ac:dyDescent="0.35">
      <c r="A579" s="56" t="s">
        <v>1584</v>
      </c>
      <c r="B579" s="57" t="s">
        <v>991</v>
      </c>
      <c r="C579" s="87">
        <v>132</v>
      </c>
      <c r="D579" s="57" t="s">
        <v>1004</v>
      </c>
      <c r="E579" s="58">
        <v>45104</v>
      </c>
      <c r="F579" s="57">
        <v>42</v>
      </c>
      <c r="G579" s="59">
        <v>5</v>
      </c>
      <c r="H579" s="57">
        <f>IF(MONTH(Call_Centre_Data[[#This Row],[Date of Call]])&lt;=6,YEAR(Call_Centre_Data[[#This Row],[Date of Call]]),YEAR(Call_Centre_Data[[#This Row],[Date of Call]])+1)</f>
        <v>2023</v>
      </c>
      <c r="I579" s="39" t="str">
        <f>TEXT(Call_Centre_Data[[#This Row],[Date of Call]],"DDDD")</f>
        <v>Tuesday</v>
      </c>
      <c r="J579" s="39" t="str" cm="1">
        <f t="array" ref="J579">_xlfn.IFS(Call_Centre_Data[[#This Row],[Duration]]&lt;=10,"Under 10 Mins", Call_Centre_Data[[#This Row],[Duration]]&lt;=30,"10-30 Mins",Call_Centre_Data[[#This Row],[Duration]]&lt;=60,"30-60 Mins",Call_Centre_Data[[#This Row],[Duration]]&lt;=120,"1-2 Hours",TRUE,"More than 2 Hours")</f>
        <v>More than 2 Hours</v>
      </c>
      <c r="K579" s="91">
        <f>ROUND(Call_Centre_Data[[#This Row],[Satisfaction Rating]],0)</f>
        <v>5</v>
      </c>
    </row>
    <row r="580" spans="1:11" x14ac:dyDescent="0.35">
      <c r="A580" s="56" t="s">
        <v>1585</v>
      </c>
      <c r="B580" s="57" t="s">
        <v>1011</v>
      </c>
      <c r="C580" s="87">
        <v>63</v>
      </c>
      <c r="D580" s="57" t="s">
        <v>994</v>
      </c>
      <c r="E580" s="58">
        <v>45104</v>
      </c>
      <c r="F580" s="57">
        <v>70</v>
      </c>
      <c r="G580" s="59">
        <v>1.6</v>
      </c>
      <c r="H580" s="57">
        <f>IF(MONTH(Call_Centre_Data[[#This Row],[Date of Call]])&lt;=6,YEAR(Call_Centre_Data[[#This Row],[Date of Call]]),YEAR(Call_Centre_Data[[#This Row],[Date of Call]])+1)</f>
        <v>2023</v>
      </c>
      <c r="I580" s="39" t="str">
        <f>TEXT(Call_Centre_Data[[#This Row],[Date of Call]],"DDDD")</f>
        <v>Tuesday</v>
      </c>
      <c r="J580" s="39" t="str" cm="1">
        <f t="array" ref="J580">_xlfn.IFS(Call_Centre_Data[[#This Row],[Duration]]&lt;=10,"Under 10 Mins", Call_Centre_Data[[#This Row],[Duration]]&lt;=30,"10-30 Mins",Call_Centre_Data[[#This Row],[Duration]]&lt;=60,"30-60 Mins",Call_Centre_Data[[#This Row],[Duration]]&lt;=120,"1-2 Hours",TRUE,"More than 2 Hours")</f>
        <v>1-2 Hours</v>
      </c>
      <c r="K580" s="91">
        <f>ROUND(Call_Centre_Data[[#This Row],[Satisfaction Rating]],0)</f>
        <v>2</v>
      </c>
    </row>
    <row r="581" spans="1:11" x14ac:dyDescent="0.35">
      <c r="A581" s="56" t="s">
        <v>1586</v>
      </c>
      <c r="B581" s="57" t="s">
        <v>1019</v>
      </c>
      <c r="C581" s="87">
        <v>135</v>
      </c>
      <c r="D581" s="57" t="s">
        <v>1004</v>
      </c>
      <c r="E581" s="58">
        <v>45104</v>
      </c>
      <c r="F581" s="57">
        <v>60</v>
      </c>
      <c r="G581" s="59">
        <v>4.3</v>
      </c>
      <c r="H581" s="57">
        <f>IF(MONTH(Call_Centre_Data[[#This Row],[Date of Call]])&lt;=6,YEAR(Call_Centre_Data[[#This Row],[Date of Call]]),YEAR(Call_Centre_Data[[#This Row],[Date of Call]])+1)</f>
        <v>2023</v>
      </c>
      <c r="I581" s="39" t="str">
        <f>TEXT(Call_Centre_Data[[#This Row],[Date of Call]],"DDDD")</f>
        <v>Tuesday</v>
      </c>
      <c r="J581" s="39" t="str" cm="1">
        <f t="array" ref="J581">_xlfn.IFS(Call_Centre_Data[[#This Row],[Duration]]&lt;=10,"Under 10 Mins", Call_Centre_Data[[#This Row],[Duration]]&lt;=30,"10-30 Mins",Call_Centre_Data[[#This Row],[Duration]]&lt;=60,"30-60 Mins",Call_Centre_Data[[#This Row],[Duration]]&lt;=120,"1-2 Hours",TRUE,"More than 2 Hours")</f>
        <v>More than 2 Hours</v>
      </c>
      <c r="K581" s="91">
        <f>ROUND(Call_Centre_Data[[#This Row],[Satisfaction Rating]],0)</f>
        <v>4</v>
      </c>
    </row>
    <row r="582" spans="1:11" x14ac:dyDescent="0.35">
      <c r="A582" s="56" t="s">
        <v>1587</v>
      </c>
      <c r="B582" s="57" t="s">
        <v>1007</v>
      </c>
      <c r="C582" s="87">
        <v>101</v>
      </c>
      <c r="D582" s="57" t="s">
        <v>994</v>
      </c>
      <c r="E582" s="58">
        <v>45104</v>
      </c>
      <c r="F582" s="57">
        <v>84</v>
      </c>
      <c r="G582" s="59">
        <v>3.5</v>
      </c>
      <c r="H582" s="57">
        <f>IF(MONTH(Call_Centre_Data[[#This Row],[Date of Call]])&lt;=6,YEAR(Call_Centre_Data[[#This Row],[Date of Call]]),YEAR(Call_Centre_Data[[#This Row],[Date of Call]])+1)</f>
        <v>2023</v>
      </c>
      <c r="I582" s="39" t="str">
        <f>TEXT(Call_Centre_Data[[#This Row],[Date of Call]],"DDDD")</f>
        <v>Tuesday</v>
      </c>
      <c r="J582" s="39" t="str" cm="1">
        <f t="array" ref="J582">_xlfn.IFS(Call_Centre_Data[[#This Row],[Duration]]&lt;=10,"Under 10 Mins", Call_Centre_Data[[#This Row],[Duration]]&lt;=30,"10-30 Mins",Call_Centre_Data[[#This Row],[Duration]]&lt;=60,"30-60 Mins",Call_Centre_Data[[#This Row],[Duration]]&lt;=120,"1-2 Hours",TRUE,"More than 2 Hours")</f>
        <v>1-2 Hours</v>
      </c>
      <c r="K582" s="91">
        <f>ROUND(Call_Centre_Data[[#This Row],[Satisfaction Rating]],0)</f>
        <v>4</v>
      </c>
    </row>
    <row r="583" spans="1:11" x14ac:dyDescent="0.35">
      <c r="A583" s="56" t="s">
        <v>1588</v>
      </c>
      <c r="B583" s="57" t="s">
        <v>1013</v>
      </c>
      <c r="C583" s="87">
        <v>80</v>
      </c>
      <c r="D583" s="57" t="s">
        <v>989</v>
      </c>
      <c r="E583" s="58">
        <v>45105</v>
      </c>
      <c r="F583" s="57">
        <v>68</v>
      </c>
      <c r="G583" s="59">
        <v>3.1</v>
      </c>
      <c r="H583" s="57">
        <f>IF(MONTH(Call_Centre_Data[[#This Row],[Date of Call]])&lt;=6,YEAR(Call_Centre_Data[[#This Row],[Date of Call]]),YEAR(Call_Centre_Data[[#This Row],[Date of Call]])+1)</f>
        <v>2023</v>
      </c>
      <c r="I583" s="39" t="str">
        <f>TEXT(Call_Centre_Data[[#This Row],[Date of Call]],"DDDD")</f>
        <v>Wednesday</v>
      </c>
      <c r="J583" s="39" t="str" cm="1">
        <f t="array" ref="J583">_xlfn.IFS(Call_Centre_Data[[#This Row],[Duration]]&lt;=10,"Under 10 Mins", Call_Centre_Data[[#This Row],[Duration]]&lt;=30,"10-30 Mins",Call_Centre_Data[[#This Row],[Duration]]&lt;=60,"30-60 Mins",Call_Centre_Data[[#This Row],[Duration]]&lt;=120,"1-2 Hours",TRUE,"More than 2 Hours")</f>
        <v>1-2 Hours</v>
      </c>
      <c r="K583" s="91">
        <f>ROUND(Call_Centre_Data[[#This Row],[Satisfaction Rating]],0)</f>
        <v>3</v>
      </c>
    </row>
    <row r="584" spans="1:11" x14ac:dyDescent="0.35">
      <c r="A584" s="56" t="s">
        <v>1589</v>
      </c>
      <c r="B584" s="57" t="s">
        <v>1040</v>
      </c>
      <c r="C584" s="87">
        <v>28</v>
      </c>
      <c r="D584" s="57" t="s">
        <v>989</v>
      </c>
      <c r="E584" s="58">
        <v>45105</v>
      </c>
      <c r="F584" s="57">
        <v>44</v>
      </c>
      <c r="G584" s="59">
        <v>2.9</v>
      </c>
      <c r="H584" s="57">
        <f>IF(MONTH(Call_Centre_Data[[#This Row],[Date of Call]])&lt;=6,YEAR(Call_Centre_Data[[#This Row],[Date of Call]]),YEAR(Call_Centre_Data[[#This Row],[Date of Call]])+1)</f>
        <v>2023</v>
      </c>
      <c r="I584" s="39" t="str">
        <f>TEXT(Call_Centre_Data[[#This Row],[Date of Call]],"DDDD")</f>
        <v>Wednesday</v>
      </c>
      <c r="J584" s="39" t="str" cm="1">
        <f t="array" ref="J584">_xlfn.IFS(Call_Centre_Data[[#This Row],[Duration]]&lt;=10,"Under 10 Mins", Call_Centre_Data[[#This Row],[Duration]]&lt;=30,"10-30 Mins",Call_Centre_Data[[#This Row],[Duration]]&lt;=60,"30-60 Mins",Call_Centre_Data[[#This Row],[Duration]]&lt;=120,"1-2 Hours",TRUE,"More than 2 Hours")</f>
        <v>10-30 Mins</v>
      </c>
      <c r="K584" s="91">
        <f>ROUND(Call_Centre_Data[[#This Row],[Satisfaction Rating]],0)</f>
        <v>3</v>
      </c>
    </row>
    <row r="585" spans="1:11" x14ac:dyDescent="0.35">
      <c r="A585" s="56" t="s">
        <v>1590</v>
      </c>
      <c r="B585" s="57" t="s">
        <v>1007</v>
      </c>
      <c r="C585" s="87">
        <v>102</v>
      </c>
      <c r="D585" s="57" t="s">
        <v>1004</v>
      </c>
      <c r="E585" s="58">
        <v>45106</v>
      </c>
      <c r="F585" s="57">
        <v>99</v>
      </c>
      <c r="G585" s="59">
        <v>3.2</v>
      </c>
      <c r="H585" s="57">
        <f>IF(MONTH(Call_Centre_Data[[#This Row],[Date of Call]])&lt;=6,YEAR(Call_Centre_Data[[#This Row],[Date of Call]]),YEAR(Call_Centre_Data[[#This Row],[Date of Call]])+1)</f>
        <v>2023</v>
      </c>
      <c r="I585" s="39" t="str">
        <f>TEXT(Call_Centre_Data[[#This Row],[Date of Call]],"DDDD")</f>
        <v>Thursday</v>
      </c>
      <c r="J585" s="39" t="str" cm="1">
        <f t="array" ref="J585">_xlfn.IFS(Call_Centre_Data[[#This Row],[Duration]]&lt;=10,"Under 10 Mins", Call_Centre_Data[[#This Row],[Duration]]&lt;=30,"10-30 Mins",Call_Centre_Data[[#This Row],[Duration]]&lt;=60,"30-60 Mins",Call_Centre_Data[[#This Row],[Duration]]&lt;=120,"1-2 Hours",TRUE,"More than 2 Hours")</f>
        <v>1-2 Hours</v>
      </c>
      <c r="K585" s="91">
        <f>ROUND(Call_Centre_Data[[#This Row],[Satisfaction Rating]],0)</f>
        <v>3</v>
      </c>
    </row>
    <row r="586" spans="1:11" x14ac:dyDescent="0.35">
      <c r="A586" s="56" t="s">
        <v>1591</v>
      </c>
      <c r="B586" s="57" t="s">
        <v>1011</v>
      </c>
      <c r="C586" s="87">
        <v>60</v>
      </c>
      <c r="D586" s="57" t="s">
        <v>1004</v>
      </c>
      <c r="E586" s="58">
        <v>45107</v>
      </c>
      <c r="F586" s="57">
        <v>66</v>
      </c>
      <c r="G586" s="59">
        <v>3.2</v>
      </c>
      <c r="H586" s="57">
        <f>IF(MONTH(Call_Centre_Data[[#This Row],[Date of Call]])&lt;=6,YEAR(Call_Centre_Data[[#This Row],[Date of Call]]),YEAR(Call_Centre_Data[[#This Row],[Date of Call]])+1)</f>
        <v>2023</v>
      </c>
      <c r="I586" s="39" t="str">
        <f>TEXT(Call_Centre_Data[[#This Row],[Date of Call]],"DDDD")</f>
        <v>Friday</v>
      </c>
      <c r="J586" s="39" t="str" cm="1">
        <f t="array" ref="J586">_xlfn.IFS(Call_Centre_Data[[#This Row],[Duration]]&lt;=10,"Under 10 Mins", Call_Centre_Data[[#This Row],[Duration]]&lt;=30,"10-30 Mins",Call_Centre_Data[[#This Row],[Duration]]&lt;=60,"30-60 Mins",Call_Centre_Data[[#This Row],[Duration]]&lt;=120,"1-2 Hours",TRUE,"More than 2 Hours")</f>
        <v>30-60 Mins</v>
      </c>
      <c r="K586" s="91">
        <f>ROUND(Call_Centre_Data[[#This Row],[Satisfaction Rating]],0)</f>
        <v>3</v>
      </c>
    </row>
    <row r="587" spans="1:11" x14ac:dyDescent="0.35">
      <c r="A587" s="56" t="s">
        <v>1592</v>
      </c>
      <c r="B587" s="57" t="s">
        <v>996</v>
      </c>
      <c r="C587" s="87">
        <v>103</v>
      </c>
      <c r="D587" s="57" t="s">
        <v>1004</v>
      </c>
      <c r="E587" s="58">
        <v>45107</v>
      </c>
      <c r="F587" s="57">
        <v>102</v>
      </c>
      <c r="G587" s="59">
        <v>4.5</v>
      </c>
      <c r="H587" s="57">
        <f>IF(MONTH(Call_Centre_Data[[#This Row],[Date of Call]])&lt;=6,YEAR(Call_Centre_Data[[#This Row],[Date of Call]]),YEAR(Call_Centre_Data[[#This Row],[Date of Call]])+1)</f>
        <v>2023</v>
      </c>
      <c r="I587" s="39" t="str">
        <f>TEXT(Call_Centre_Data[[#This Row],[Date of Call]],"DDDD")</f>
        <v>Friday</v>
      </c>
      <c r="J587" s="39" t="str" cm="1">
        <f t="array" ref="J587">_xlfn.IFS(Call_Centre_Data[[#This Row],[Duration]]&lt;=10,"Under 10 Mins", Call_Centre_Data[[#This Row],[Duration]]&lt;=30,"10-30 Mins",Call_Centre_Data[[#This Row],[Duration]]&lt;=60,"30-60 Mins",Call_Centre_Data[[#This Row],[Duration]]&lt;=120,"1-2 Hours",TRUE,"More than 2 Hours")</f>
        <v>1-2 Hours</v>
      </c>
      <c r="K587" s="91">
        <f>ROUND(Call_Centre_Data[[#This Row],[Satisfaction Rating]],0)</f>
        <v>5</v>
      </c>
    </row>
    <row r="588" spans="1:11" x14ac:dyDescent="0.35">
      <c r="A588" s="56" t="s">
        <v>1593</v>
      </c>
      <c r="B588" s="57" t="s">
        <v>1013</v>
      </c>
      <c r="C588" s="87">
        <v>90</v>
      </c>
      <c r="D588" s="57" t="s">
        <v>989</v>
      </c>
      <c r="E588" s="58">
        <v>45108</v>
      </c>
      <c r="F588" s="57">
        <v>129</v>
      </c>
      <c r="G588" s="59">
        <v>3.9</v>
      </c>
      <c r="H588" s="57">
        <f>IF(MONTH(Call_Centre_Data[[#This Row],[Date of Call]])&lt;=6,YEAR(Call_Centre_Data[[#This Row],[Date of Call]]),YEAR(Call_Centre_Data[[#This Row],[Date of Call]])+1)</f>
        <v>2024</v>
      </c>
      <c r="I588" s="39" t="str">
        <f>TEXT(Call_Centre_Data[[#This Row],[Date of Call]],"DDDD")</f>
        <v>Saturday</v>
      </c>
      <c r="J588" s="39" t="str" cm="1">
        <f t="array" ref="J588">_xlfn.IFS(Call_Centre_Data[[#This Row],[Duration]]&lt;=10,"Under 10 Mins", Call_Centre_Data[[#This Row],[Duration]]&lt;=30,"10-30 Mins",Call_Centre_Data[[#This Row],[Duration]]&lt;=60,"30-60 Mins",Call_Centre_Data[[#This Row],[Duration]]&lt;=120,"1-2 Hours",TRUE,"More than 2 Hours")</f>
        <v>1-2 Hours</v>
      </c>
      <c r="K588" s="91">
        <f>ROUND(Call_Centre_Data[[#This Row],[Satisfaction Rating]],0)</f>
        <v>4</v>
      </c>
    </row>
    <row r="589" spans="1:11" x14ac:dyDescent="0.35">
      <c r="A589" s="56" t="s">
        <v>1594</v>
      </c>
      <c r="B589" s="57" t="s">
        <v>1030</v>
      </c>
      <c r="C589" s="87">
        <v>88</v>
      </c>
      <c r="D589" s="57" t="s">
        <v>1004</v>
      </c>
      <c r="E589" s="58">
        <v>45108</v>
      </c>
      <c r="F589" s="57">
        <v>80</v>
      </c>
      <c r="G589" s="59">
        <v>4.2</v>
      </c>
      <c r="H589" s="57">
        <f>IF(MONTH(Call_Centre_Data[[#This Row],[Date of Call]])&lt;=6,YEAR(Call_Centre_Data[[#This Row],[Date of Call]]),YEAR(Call_Centre_Data[[#This Row],[Date of Call]])+1)</f>
        <v>2024</v>
      </c>
      <c r="I589" s="39" t="str">
        <f>TEXT(Call_Centre_Data[[#This Row],[Date of Call]],"DDDD")</f>
        <v>Saturday</v>
      </c>
      <c r="J589" s="39" t="str" cm="1">
        <f t="array" ref="J589">_xlfn.IFS(Call_Centre_Data[[#This Row],[Duration]]&lt;=10,"Under 10 Mins", Call_Centre_Data[[#This Row],[Duration]]&lt;=30,"10-30 Mins",Call_Centre_Data[[#This Row],[Duration]]&lt;=60,"30-60 Mins",Call_Centre_Data[[#This Row],[Duration]]&lt;=120,"1-2 Hours",TRUE,"More than 2 Hours")</f>
        <v>1-2 Hours</v>
      </c>
      <c r="K589" s="91">
        <f>ROUND(Call_Centre_Data[[#This Row],[Satisfaction Rating]],0)</f>
        <v>4</v>
      </c>
    </row>
    <row r="590" spans="1:11" x14ac:dyDescent="0.35">
      <c r="A590" s="56" t="s">
        <v>1595</v>
      </c>
      <c r="B590" s="57" t="s">
        <v>996</v>
      </c>
      <c r="C590" s="87">
        <v>37</v>
      </c>
      <c r="D590" s="57" t="s">
        <v>1004</v>
      </c>
      <c r="E590" s="58">
        <v>45108</v>
      </c>
      <c r="F590" s="57">
        <v>54</v>
      </c>
      <c r="G590" s="59">
        <v>1.8</v>
      </c>
      <c r="H590" s="57">
        <f>IF(MONTH(Call_Centre_Data[[#This Row],[Date of Call]])&lt;=6,YEAR(Call_Centre_Data[[#This Row],[Date of Call]]),YEAR(Call_Centre_Data[[#This Row],[Date of Call]])+1)</f>
        <v>2024</v>
      </c>
      <c r="I590" s="39" t="str">
        <f>TEXT(Call_Centre_Data[[#This Row],[Date of Call]],"DDDD")</f>
        <v>Saturday</v>
      </c>
      <c r="J590" s="39" t="str" cm="1">
        <f t="array" ref="J590">_xlfn.IFS(Call_Centre_Data[[#This Row],[Duration]]&lt;=10,"Under 10 Mins", Call_Centre_Data[[#This Row],[Duration]]&lt;=30,"10-30 Mins",Call_Centre_Data[[#This Row],[Duration]]&lt;=60,"30-60 Mins",Call_Centre_Data[[#This Row],[Duration]]&lt;=120,"1-2 Hours",TRUE,"More than 2 Hours")</f>
        <v>30-60 Mins</v>
      </c>
      <c r="K590" s="91">
        <f>ROUND(Call_Centre_Data[[#This Row],[Satisfaction Rating]],0)</f>
        <v>2</v>
      </c>
    </row>
    <row r="591" spans="1:11" x14ac:dyDescent="0.35">
      <c r="A591" s="56" t="s">
        <v>1596</v>
      </c>
      <c r="B591" s="57" t="s">
        <v>1040</v>
      </c>
      <c r="C591" s="87">
        <v>142</v>
      </c>
      <c r="D591" s="57" t="s">
        <v>989</v>
      </c>
      <c r="E591" s="58">
        <v>45108</v>
      </c>
      <c r="F591" s="57">
        <v>116</v>
      </c>
      <c r="G591" s="59">
        <v>4.2</v>
      </c>
      <c r="H591" s="57">
        <f>IF(MONTH(Call_Centre_Data[[#This Row],[Date of Call]])&lt;=6,YEAR(Call_Centre_Data[[#This Row],[Date of Call]]),YEAR(Call_Centre_Data[[#This Row],[Date of Call]])+1)</f>
        <v>2024</v>
      </c>
      <c r="I591" s="39" t="str">
        <f>TEXT(Call_Centre_Data[[#This Row],[Date of Call]],"DDDD")</f>
        <v>Saturday</v>
      </c>
      <c r="J591" s="39" t="str" cm="1">
        <f t="array" ref="J591">_xlfn.IFS(Call_Centre_Data[[#This Row],[Duration]]&lt;=10,"Under 10 Mins", Call_Centre_Data[[#This Row],[Duration]]&lt;=30,"10-30 Mins",Call_Centre_Data[[#This Row],[Duration]]&lt;=60,"30-60 Mins",Call_Centre_Data[[#This Row],[Duration]]&lt;=120,"1-2 Hours",TRUE,"More than 2 Hours")</f>
        <v>More than 2 Hours</v>
      </c>
      <c r="K591" s="91">
        <f>ROUND(Call_Centre_Data[[#This Row],[Satisfaction Rating]],0)</f>
        <v>4</v>
      </c>
    </row>
    <row r="592" spans="1:11" x14ac:dyDescent="0.35">
      <c r="A592" s="56" t="s">
        <v>1597</v>
      </c>
      <c r="B592" s="57" t="s">
        <v>1040</v>
      </c>
      <c r="C592" s="87">
        <v>153</v>
      </c>
      <c r="D592" s="57" t="s">
        <v>999</v>
      </c>
      <c r="E592" s="58">
        <v>45108</v>
      </c>
      <c r="F592" s="57">
        <v>102</v>
      </c>
      <c r="G592" s="59">
        <v>3.1</v>
      </c>
      <c r="H592" s="57">
        <f>IF(MONTH(Call_Centre_Data[[#This Row],[Date of Call]])&lt;=6,YEAR(Call_Centre_Data[[#This Row],[Date of Call]]),YEAR(Call_Centre_Data[[#This Row],[Date of Call]])+1)</f>
        <v>2024</v>
      </c>
      <c r="I592" s="39" t="str">
        <f>TEXT(Call_Centre_Data[[#This Row],[Date of Call]],"DDDD")</f>
        <v>Saturday</v>
      </c>
      <c r="J592" s="39" t="str" cm="1">
        <f t="array" ref="J592">_xlfn.IFS(Call_Centre_Data[[#This Row],[Duration]]&lt;=10,"Under 10 Mins", Call_Centre_Data[[#This Row],[Duration]]&lt;=30,"10-30 Mins",Call_Centre_Data[[#This Row],[Duration]]&lt;=60,"30-60 Mins",Call_Centre_Data[[#This Row],[Duration]]&lt;=120,"1-2 Hours",TRUE,"More than 2 Hours")</f>
        <v>More than 2 Hours</v>
      </c>
      <c r="K592" s="91">
        <f>ROUND(Call_Centre_Data[[#This Row],[Satisfaction Rating]],0)</f>
        <v>3</v>
      </c>
    </row>
    <row r="593" spans="1:11" x14ac:dyDescent="0.35">
      <c r="A593" s="56" t="s">
        <v>1598</v>
      </c>
      <c r="B593" s="57" t="s">
        <v>1022</v>
      </c>
      <c r="C593" s="87">
        <v>128</v>
      </c>
      <c r="D593" s="57" t="s">
        <v>994</v>
      </c>
      <c r="E593" s="58">
        <v>45108</v>
      </c>
      <c r="F593" s="57">
        <v>140</v>
      </c>
      <c r="G593" s="59">
        <v>4.3</v>
      </c>
      <c r="H593" s="57">
        <f>IF(MONTH(Call_Centre_Data[[#This Row],[Date of Call]])&lt;=6,YEAR(Call_Centre_Data[[#This Row],[Date of Call]]),YEAR(Call_Centre_Data[[#This Row],[Date of Call]])+1)</f>
        <v>2024</v>
      </c>
      <c r="I593" s="39" t="str">
        <f>TEXT(Call_Centre_Data[[#This Row],[Date of Call]],"DDDD")</f>
        <v>Saturday</v>
      </c>
      <c r="J593" s="39" t="str" cm="1">
        <f t="array" ref="J593">_xlfn.IFS(Call_Centre_Data[[#This Row],[Duration]]&lt;=10,"Under 10 Mins", Call_Centre_Data[[#This Row],[Duration]]&lt;=30,"10-30 Mins",Call_Centre_Data[[#This Row],[Duration]]&lt;=60,"30-60 Mins",Call_Centre_Data[[#This Row],[Duration]]&lt;=120,"1-2 Hours",TRUE,"More than 2 Hours")</f>
        <v>More than 2 Hours</v>
      </c>
      <c r="K593" s="91">
        <f>ROUND(Call_Centre_Data[[#This Row],[Satisfaction Rating]],0)</f>
        <v>4</v>
      </c>
    </row>
    <row r="594" spans="1:11" x14ac:dyDescent="0.35">
      <c r="A594" s="56" t="s">
        <v>1599</v>
      </c>
      <c r="B594" s="57" t="s">
        <v>1011</v>
      </c>
      <c r="C594" s="87">
        <v>110</v>
      </c>
      <c r="D594" s="57" t="s">
        <v>994</v>
      </c>
      <c r="E594" s="58">
        <v>45109</v>
      </c>
      <c r="F594" s="57">
        <v>104</v>
      </c>
      <c r="G594" s="59">
        <v>4.4000000000000004</v>
      </c>
      <c r="H594" s="57">
        <f>IF(MONTH(Call_Centre_Data[[#This Row],[Date of Call]])&lt;=6,YEAR(Call_Centre_Data[[#This Row],[Date of Call]]),YEAR(Call_Centre_Data[[#This Row],[Date of Call]])+1)</f>
        <v>2024</v>
      </c>
      <c r="I594" s="39" t="str">
        <f>TEXT(Call_Centre_Data[[#This Row],[Date of Call]],"DDDD")</f>
        <v>Sunday</v>
      </c>
      <c r="J594" s="39" t="str" cm="1">
        <f t="array" ref="J594">_xlfn.IFS(Call_Centre_Data[[#This Row],[Duration]]&lt;=10,"Under 10 Mins", Call_Centre_Data[[#This Row],[Duration]]&lt;=30,"10-30 Mins",Call_Centre_Data[[#This Row],[Duration]]&lt;=60,"30-60 Mins",Call_Centre_Data[[#This Row],[Duration]]&lt;=120,"1-2 Hours",TRUE,"More than 2 Hours")</f>
        <v>1-2 Hours</v>
      </c>
      <c r="K594" s="91">
        <f>ROUND(Call_Centre_Data[[#This Row],[Satisfaction Rating]],0)</f>
        <v>4</v>
      </c>
    </row>
    <row r="595" spans="1:11" x14ac:dyDescent="0.35">
      <c r="A595" s="56" t="s">
        <v>1600</v>
      </c>
      <c r="B595" s="57" t="s">
        <v>1022</v>
      </c>
      <c r="C595" s="87">
        <v>139</v>
      </c>
      <c r="D595" s="57" t="s">
        <v>1004</v>
      </c>
      <c r="E595" s="58">
        <v>45109</v>
      </c>
      <c r="F595" s="57">
        <v>81</v>
      </c>
      <c r="G595" s="59">
        <v>4.4000000000000004</v>
      </c>
      <c r="H595" s="57">
        <f>IF(MONTH(Call_Centre_Data[[#This Row],[Date of Call]])&lt;=6,YEAR(Call_Centre_Data[[#This Row],[Date of Call]]),YEAR(Call_Centre_Data[[#This Row],[Date of Call]])+1)</f>
        <v>2024</v>
      </c>
      <c r="I595" s="39" t="str">
        <f>TEXT(Call_Centre_Data[[#This Row],[Date of Call]],"DDDD")</f>
        <v>Sunday</v>
      </c>
      <c r="J595" s="39" t="str" cm="1">
        <f t="array" ref="J595">_xlfn.IFS(Call_Centre_Data[[#This Row],[Duration]]&lt;=10,"Under 10 Mins", Call_Centre_Data[[#This Row],[Duration]]&lt;=30,"10-30 Mins",Call_Centre_Data[[#This Row],[Duration]]&lt;=60,"30-60 Mins",Call_Centre_Data[[#This Row],[Duration]]&lt;=120,"1-2 Hours",TRUE,"More than 2 Hours")</f>
        <v>More than 2 Hours</v>
      </c>
      <c r="K595" s="91">
        <f>ROUND(Call_Centre_Data[[#This Row],[Satisfaction Rating]],0)</f>
        <v>4</v>
      </c>
    </row>
    <row r="596" spans="1:11" x14ac:dyDescent="0.35">
      <c r="A596" s="56" t="s">
        <v>1601</v>
      </c>
      <c r="B596" s="57" t="s">
        <v>1007</v>
      </c>
      <c r="C596" s="87">
        <v>109</v>
      </c>
      <c r="D596" s="57" t="s">
        <v>1008</v>
      </c>
      <c r="E596" s="58">
        <v>45111</v>
      </c>
      <c r="F596" s="57">
        <v>140</v>
      </c>
      <c r="G596" s="59">
        <v>2.4</v>
      </c>
      <c r="H596" s="57">
        <f>IF(MONTH(Call_Centre_Data[[#This Row],[Date of Call]])&lt;=6,YEAR(Call_Centre_Data[[#This Row],[Date of Call]]),YEAR(Call_Centre_Data[[#This Row],[Date of Call]])+1)</f>
        <v>2024</v>
      </c>
      <c r="I596" s="39" t="str">
        <f>TEXT(Call_Centre_Data[[#This Row],[Date of Call]],"DDDD")</f>
        <v>Tuesday</v>
      </c>
      <c r="J596" s="39" t="str" cm="1">
        <f t="array" ref="J596">_xlfn.IFS(Call_Centre_Data[[#This Row],[Duration]]&lt;=10,"Under 10 Mins", Call_Centre_Data[[#This Row],[Duration]]&lt;=30,"10-30 Mins",Call_Centre_Data[[#This Row],[Duration]]&lt;=60,"30-60 Mins",Call_Centre_Data[[#This Row],[Duration]]&lt;=120,"1-2 Hours",TRUE,"More than 2 Hours")</f>
        <v>1-2 Hours</v>
      </c>
      <c r="K596" s="91">
        <f>ROUND(Call_Centre_Data[[#This Row],[Satisfaction Rating]],0)</f>
        <v>2</v>
      </c>
    </row>
    <row r="597" spans="1:11" x14ac:dyDescent="0.35">
      <c r="A597" s="56" t="s">
        <v>1602</v>
      </c>
      <c r="B597" s="57" t="s">
        <v>991</v>
      </c>
      <c r="C597" s="87">
        <v>57</v>
      </c>
      <c r="D597" s="57" t="s">
        <v>989</v>
      </c>
      <c r="E597" s="58">
        <v>45112</v>
      </c>
      <c r="F597" s="57">
        <v>120</v>
      </c>
      <c r="G597" s="59">
        <v>3.5</v>
      </c>
      <c r="H597" s="57">
        <f>IF(MONTH(Call_Centre_Data[[#This Row],[Date of Call]])&lt;=6,YEAR(Call_Centre_Data[[#This Row],[Date of Call]]),YEAR(Call_Centre_Data[[#This Row],[Date of Call]])+1)</f>
        <v>2024</v>
      </c>
      <c r="I597" s="39" t="str">
        <f>TEXT(Call_Centre_Data[[#This Row],[Date of Call]],"DDDD")</f>
        <v>Wednesday</v>
      </c>
      <c r="J597" s="39" t="str" cm="1">
        <f t="array" ref="J597">_xlfn.IFS(Call_Centre_Data[[#This Row],[Duration]]&lt;=10,"Under 10 Mins", Call_Centre_Data[[#This Row],[Duration]]&lt;=30,"10-30 Mins",Call_Centre_Data[[#This Row],[Duration]]&lt;=60,"30-60 Mins",Call_Centre_Data[[#This Row],[Duration]]&lt;=120,"1-2 Hours",TRUE,"More than 2 Hours")</f>
        <v>30-60 Mins</v>
      </c>
      <c r="K597" s="91">
        <f>ROUND(Call_Centre_Data[[#This Row],[Satisfaction Rating]],0)</f>
        <v>4</v>
      </c>
    </row>
    <row r="598" spans="1:11" x14ac:dyDescent="0.35">
      <c r="A598" s="56" t="s">
        <v>1603</v>
      </c>
      <c r="B598" s="57" t="s">
        <v>1007</v>
      </c>
      <c r="C598" s="87">
        <v>68</v>
      </c>
      <c r="D598" s="57" t="s">
        <v>1004</v>
      </c>
      <c r="E598" s="58">
        <v>45112</v>
      </c>
      <c r="F598" s="57">
        <v>41</v>
      </c>
      <c r="G598" s="59">
        <v>3.1</v>
      </c>
      <c r="H598" s="57">
        <f>IF(MONTH(Call_Centre_Data[[#This Row],[Date of Call]])&lt;=6,YEAR(Call_Centre_Data[[#This Row],[Date of Call]]),YEAR(Call_Centre_Data[[#This Row],[Date of Call]])+1)</f>
        <v>2024</v>
      </c>
      <c r="I598" s="39" t="str">
        <f>TEXT(Call_Centre_Data[[#This Row],[Date of Call]],"DDDD")</f>
        <v>Wednesday</v>
      </c>
      <c r="J598" s="39" t="str" cm="1">
        <f t="array" ref="J598">_xlfn.IFS(Call_Centre_Data[[#This Row],[Duration]]&lt;=10,"Under 10 Mins", Call_Centre_Data[[#This Row],[Duration]]&lt;=30,"10-30 Mins",Call_Centre_Data[[#This Row],[Duration]]&lt;=60,"30-60 Mins",Call_Centre_Data[[#This Row],[Duration]]&lt;=120,"1-2 Hours",TRUE,"More than 2 Hours")</f>
        <v>1-2 Hours</v>
      </c>
      <c r="K598" s="91">
        <f>ROUND(Call_Centre_Data[[#This Row],[Satisfaction Rating]],0)</f>
        <v>3</v>
      </c>
    </row>
    <row r="599" spans="1:11" x14ac:dyDescent="0.35">
      <c r="A599" s="56" t="s">
        <v>1604</v>
      </c>
      <c r="B599" s="57" t="s">
        <v>998</v>
      </c>
      <c r="C599" s="87">
        <v>128</v>
      </c>
      <c r="D599" s="57" t="s">
        <v>1004</v>
      </c>
      <c r="E599" s="58">
        <v>45112</v>
      </c>
      <c r="F599" s="57">
        <v>116</v>
      </c>
      <c r="G599" s="59">
        <v>2.2999999999999998</v>
      </c>
      <c r="H599" s="57">
        <f>IF(MONTH(Call_Centre_Data[[#This Row],[Date of Call]])&lt;=6,YEAR(Call_Centre_Data[[#This Row],[Date of Call]]),YEAR(Call_Centre_Data[[#This Row],[Date of Call]])+1)</f>
        <v>2024</v>
      </c>
      <c r="I599" s="39" t="str">
        <f>TEXT(Call_Centre_Data[[#This Row],[Date of Call]],"DDDD")</f>
        <v>Wednesday</v>
      </c>
      <c r="J599" s="39" t="str" cm="1">
        <f t="array" ref="J599">_xlfn.IFS(Call_Centre_Data[[#This Row],[Duration]]&lt;=10,"Under 10 Mins", Call_Centre_Data[[#This Row],[Duration]]&lt;=30,"10-30 Mins",Call_Centre_Data[[#This Row],[Duration]]&lt;=60,"30-60 Mins",Call_Centre_Data[[#This Row],[Duration]]&lt;=120,"1-2 Hours",TRUE,"More than 2 Hours")</f>
        <v>More than 2 Hours</v>
      </c>
      <c r="K599" s="91">
        <f>ROUND(Call_Centre_Data[[#This Row],[Satisfaction Rating]],0)</f>
        <v>2</v>
      </c>
    </row>
    <row r="600" spans="1:11" x14ac:dyDescent="0.35">
      <c r="A600" s="56" t="s">
        <v>1605</v>
      </c>
      <c r="B600" s="57" t="s">
        <v>988</v>
      </c>
      <c r="C600" s="87">
        <v>102</v>
      </c>
      <c r="D600" s="57" t="s">
        <v>989</v>
      </c>
      <c r="E600" s="58">
        <v>45113</v>
      </c>
      <c r="F600" s="57">
        <v>70</v>
      </c>
      <c r="G600" s="59">
        <v>2.8</v>
      </c>
      <c r="H600" s="57">
        <f>IF(MONTH(Call_Centre_Data[[#This Row],[Date of Call]])&lt;=6,YEAR(Call_Centre_Data[[#This Row],[Date of Call]]),YEAR(Call_Centre_Data[[#This Row],[Date of Call]])+1)</f>
        <v>2024</v>
      </c>
      <c r="I600" s="39" t="str">
        <f>TEXT(Call_Centre_Data[[#This Row],[Date of Call]],"DDDD")</f>
        <v>Thursday</v>
      </c>
      <c r="J600" s="39" t="str" cm="1">
        <f t="array" ref="J600">_xlfn.IFS(Call_Centre_Data[[#This Row],[Duration]]&lt;=10,"Under 10 Mins", Call_Centre_Data[[#This Row],[Duration]]&lt;=30,"10-30 Mins",Call_Centre_Data[[#This Row],[Duration]]&lt;=60,"30-60 Mins",Call_Centre_Data[[#This Row],[Duration]]&lt;=120,"1-2 Hours",TRUE,"More than 2 Hours")</f>
        <v>1-2 Hours</v>
      </c>
      <c r="K600" s="91">
        <f>ROUND(Call_Centre_Data[[#This Row],[Satisfaction Rating]],0)</f>
        <v>3</v>
      </c>
    </row>
    <row r="601" spans="1:11" x14ac:dyDescent="0.35">
      <c r="A601" s="56" t="s">
        <v>1606</v>
      </c>
      <c r="B601" s="57" t="s">
        <v>1022</v>
      </c>
      <c r="C601" s="87">
        <v>52</v>
      </c>
      <c r="D601" s="57" t="s">
        <v>999</v>
      </c>
      <c r="E601" s="58">
        <v>45113</v>
      </c>
      <c r="F601" s="57">
        <v>42</v>
      </c>
      <c r="G601" s="59">
        <v>4.5</v>
      </c>
      <c r="H601" s="57">
        <f>IF(MONTH(Call_Centre_Data[[#This Row],[Date of Call]])&lt;=6,YEAR(Call_Centre_Data[[#This Row],[Date of Call]]),YEAR(Call_Centre_Data[[#This Row],[Date of Call]])+1)</f>
        <v>2024</v>
      </c>
      <c r="I601" s="39" t="str">
        <f>TEXT(Call_Centre_Data[[#This Row],[Date of Call]],"DDDD")</f>
        <v>Thursday</v>
      </c>
      <c r="J601" s="39" t="str" cm="1">
        <f t="array" ref="J601">_xlfn.IFS(Call_Centre_Data[[#This Row],[Duration]]&lt;=10,"Under 10 Mins", Call_Centre_Data[[#This Row],[Duration]]&lt;=30,"10-30 Mins",Call_Centre_Data[[#This Row],[Duration]]&lt;=60,"30-60 Mins",Call_Centre_Data[[#This Row],[Duration]]&lt;=120,"1-2 Hours",TRUE,"More than 2 Hours")</f>
        <v>30-60 Mins</v>
      </c>
      <c r="K601" s="91">
        <f>ROUND(Call_Centre_Data[[#This Row],[Satisfaction Rating]],0)</f>
        <v>5</v>
      </c>
    </row>
    <row r="602" spans="1:11" x14ac:dyDescent="0.35">
      <c r="A602" s="56" t="s">
        <v>1607</v>
      </c>
      <c r="B602" s="57" t="s">
        <v>998</v>
      </c>
      <c r="C602" s="87">
        <v>55</v>
      </c>
      <c r="D602" s="57" t="s">
        <v>994</v>
      </c>
      <c r="E602" s="58">
        <v>45114</v>
      </c>
      <c r="F602" s="57">
        <v>112</v>
      </c>
      <c r="G602" s="59">
        <v>4.5</v>
      </c>
      <c r="H602" s="57">
        <f>IF(MONTH(Call_Centre_Data[[#This Row],[Date of Call]])&lt;=6,YEAR(Call_Centre_Data[[#This Row],[Date of Call]]),YEAR(Call_Centre_Data[[#This Row],[Date of Call]])+1)</f>
        <v>2024</v>
      </c>
      <c r="I602" s="39" t="str">
        <f>TEXT(Call_Centre_Data[[#This Row],[Date of Call]],"DDDD")</f>
        <v>Friday</v>
      </c>
      <c r="J602" s="39" t="str" cm="1">
        <f t="array" ref="J602">_xlfn.IFS(Call_Centre_Data[[#This Row],[Duration]]&lt;=10,"Under 10 Mins", Call_Centre_Data[[#This Row],[Duration]]&lt;=30,"10-30 Mins",Call_Centre_Data[[#This Row],[Duration]]&lt;=60,"30-60 Mins",Call_Centre_Data[[#This Row],[Duration]]&lt;=120,"1-2 Hours",TRUE,"More than 2 Hours")</f>
        <v>30-60 Mins</v>
      </c>
      <c r="K602" s="91">
        <f>ROUND(Call_Centre_Data[[#This Row],[Satisfaction Rating]],0)</f>
        <v>5</v>
      </c>
    </row>
    <row r="603" spans="1:11" x14ac:dyDescent="0.35">
      <c r="A603" s="56" t="s">
        <v>1608</v>
      </c>
      <c r="B603" s="57" t="s">
        <v>996</v>
      </c>
      <c r="C603" s="87">
        <v>107</v>
      </c>
      <c r="D603" s="57" t="s">
        <v>1004</v>
      </c>
      <c r="E603" s="58">
        <v>45114</v>
      </c>
      <c r="F603" s="57">
        <v>20</v>
      </c>
      <c r="G603" s="59">
        <v>4.5</v>
      </c>
      <c r="H603" s="57">
        <f>IF(MONTH(Call_Centre_Data[[#This Row],[Date of Call]])&lt;=6,YEAR(Call_Centre_Data[[#This Row],[Date of Call]]),YEAR(Call_Centre_Data[[#This Row],[Date of Call]])+1)</f>
        <v>2024</v>
      </c>
      <c r="I603" s="39" t="str">
        <f>TEXT(Call_Centre_Data[[#This Row],[Date of Call]],"DDDD")</f>
        <v>Friday</v>
      </c>
      <c r="J603" s="39" t="str" cm="1">
        <f t="array" ref="J603">_xlfn.IFS(Call_Centre_Data[[#This Row],[Duration]]&lt;=10,"Under 10 Mins", Call_Centre_Data[[#This Row],[Duration]]&lt;=30,"10-30 Mins",Call_Centre_Data[[#This Row],[Duration]]&lt;=60,"30-60 Mins",Call_Centre_Data[[#This Row],[Duration]]&lt;=120,"1-2 Hours",TRUE,"More than 2 Hours")</f>
        <v>1-2 Hours</v>
      </c>
      <c r="K603" s="91">
        <f>ROUND(Call_Centre_Data[[#This Row],[Satisfaction Rating]],0)</f>
        <v>5</v>
      </c>
    </row>
    <row r="604" spans="1:11" x14ac:dyDescent="0.35">
      <c r="A604" s="56" t="s">
        <v>1609</v>
      </c>
      <c r="B604" s="57" t="s">
        <v>1013</v>
      </c>
      <c r="C604" s="87">
        <v>88</v>
      </c>
      <c r="D604" s="57" t="s">
        <v>999</v>
      </c>
      <c r="E604" s="58">
        <v>45115</v>
      </c>
      <c r="F604" s="57">
        <v>110</v>
      </c>
      <c r="G604" s="59">
        <v>4.8</v>
      </c>
      <c r="H604" s="57">
        <f>IF(MONTH(Call_Centre_Data[[#This Row],[Date of Call]])&lt;=6,YEAR(Call_Centre_Data[[#This Row],[Date of Call]]),YEAR(Call_Centre_Data[[#This Row],[Date of Call]])+1)</f>
        <v>2024</v>
      </c>
      <c r="I604" s="39" t="str">
        <f>TEXT(Call_Centre_Data[[#This Row],[Date of Call]],"DDDD")</f>
        <v>Saturday</v>
      </c>
      <c r="J604" s="39" t="str" cm="1">
        <f t="array" ref="J604">_xlfn.IFS(Call_Centre_Data[[#This Row],[Duration]]&lt;=10,"Under 10 Mins", Call_Centre_Data[[#This Row],[Duration]]&lt;=30,"10-30 Mins",Call_Centre_Data[[#This Row],[Duration]]&lt;=60,"30-60 Mins",Call_Centre_Data[[#This Row],[Duration]]&lt;=120,"1-2 Hours",TRUE,"More than 2 Hours")</f>
        <v>1-2 Hours</v>
      </c>
      <c r="K604" s="91">
        <f>ROUND(Call_Centre_Data[[#This Row],[Satisfaction Rating]],0)</f>
        <v>5</v>
      </c>
    </row>
    <row r="605" spans="1:11" x14ac:dyDescent="0.35">
      <c r="A605" s="56" t="s">
        <v>1610</v>
      </c>
      <c r="B605" s="57" t="s">
        <v>1002</v>
      </c>
      <c r="C605" s="87">
        <v>49</v>
      </c>
      <c r="D605" s="57" t="s">
        <v>999</v>
      </c>
      <c r="E605" s="58">
        <v>45115</v>
      </c>
      <c r="F605" s="57">
        <v>39</v>
      </c>
      <c r="G605" s="59">
        <v>4.5999999999999996</v>
      </c>
      <c r="H605" s="57">
        <f>IF(MONTH(Call_Centre_Data[[#This Row],[Date of Call]])&lt;=6,YEAR(Call_Centre_Data[[#This Row],[Date of Call]]),YEAR(Call_Centre_Data[[#This Row],[Date of Call]])+1)</f>
        <v>2024</v>
      </c>
      <c r="I605" s="39" t="str">
        <f>TEXT(Call_Centre_Data[[#This Row],[Date of Call]],"DDDD")</f>
        <v>Saturday</v>
      </c>
      <c r="J605" s="39" t="str" cm="1">
        <f t="array" ref="J605">_xlfn.IFS(Call_Centre_Data[[#This Row],[Duration]]&lt;=10,"Under 10 Mins", Call_Centre_Data[[#This Row],[Duration]]&lt;=30,"10-30 Mins",Call_Centre_Data[[#This Row],[Duration]]&lt;=60,"30-60 Mins",Call_Centre_Data[[#This Row],[Duration]]&lt;=120,"1-2 Hours",TRUE,"More than 2 Hours")</f>
        <v>30-60 Mins</v>
      </c>
      <c r="K605" s="91">
        <f>ROUND(Call_Centre_Data[[#This Row],[Satisfaction Rating]],0)</f>
        <v>5</v>
      </c>
    </row>
    <row r="606" spans="1:11" x14ac:dyDescent="0.35">
      <c r="A606" s="56" t="s">
        <v>1611</v>
      </c>
      <c r="B606" s="57" t="s">
        <v>1013</v>
      </c>
      <c r="C606" s="87">
        <v>72</v>
      </c>
      <c r="D606" s="57" t="s">
        <v>989</v>
      </c>
      <c r="E606" s="58">
        <v>45115</v>
      </c>
      <c r="F606" s="57">
        <v>76</v>
      </c>
      <c r="G606" s="59">
        <v>4.5</v>
      </c>
      <c r="H606" s="57">
        <f>IF(MONTH(Call_Centre_Data[[#This Row],[Date of Call]])&lt;=6,YEAR(Call_Centre_Data[[#This Row],[Date of Call]]),YEAR(Call_Centre_Data[[#This Row],[Date of Call]])+1)</f>
        <v>2024</v>
      </c>
      <c r="I606" s="39" t="str">
        <f>TEXT(Call_Centre_Data[[#This Row],[Date of Call]],"DDDD")</f>
        <v>Saturday</v>
      </c>
      <c r="J606" s="39" t="str" cm="1">
        <f t="array" ref="J606">_xlfn.IFS(Call_Centre_Data[[#This Row],[Duration]]&lt;=10,"Under 10 Mins", Call_Centre_Data[[#This Row],[Duration]]&lt;=30,"10-30 Mins",Call_Centre_Data[[#This Row],[Duration]]&lt;=60,"30-60 Mins",Call_Centre_Data[[#This Row],[Duration]]&lt;=120,"1-2 Hours",TRUE,"More than 2 Hours")</f>
        <v>1-2 Hours</v>
      </c>
      <c r="K606" s="91">
        <f>ROUND(Call_Centre_Data[[#This Row],[Satisfaction Rating]],0)</f>
        <v>5</v>
      </c>
    </row>
    <row r="607" spans="1:11" x14ac:dyDescent="0.35">
      <c r="A607" s="56" t="s">
        <v>1612</v>
      </c>
      <c r="B607" s="57" t="s">
        <v>991</v>
      </c>
      <c r="C607" s="87">
        <v>50</v>
      </c>
      <c r="D607" s="57" t="s">
        <v>989</v>
      </c>
      <c r="E607" s="58">
        <v>45115</v>
      </c>
      <c r="F607" s="57">
        <v>40</v>
      </c>
      <c r="G607" s="59">
        <v>5</v>
      </c>
      <c r="H607" s="57">
        <f>IF(MONTH(Call_Centre_Data[[#This Row],[Date of Call]])&lt;=6,YEAR(Call_Centre_Data[[#This Row],[Date of Call]]),YEAR(Call_Centre_Data[[#This Row],[Date of Call]])+1)</f>
        <v>2024</v>
      </c>
      <c r="I607" s="39" t="str">
        <f>TEXT(Call_Centre_Data[[#This Row],[Date of Call]],"DDDD")</f>
        <v>Saturday</v>
      </c>
      <c r="J607" s="39" t="str" cm="1">
        <f t="array" ref="J607">_xlfn.IFS(Call_Centre_Data[[#This Row],[Duration]]&lt;=10,"Under 10 Mins", Call_Centre_Data[[#This Row],[Duration]]&lt;=30,"10-30 Mins",Call_Centre_Data[[#This Row],[Duration]]&lt;=60,"30-60 Mins",Call_Centre_Data[[#This Row],[Duration]]&lt;=120,"1-2 Hours",TRUE,"More than 2 Hours")</f>
        <v>30-60 Mins</v>
      </c>
      <c r="K607" s="91">
        <f>ROUND(Call_Centre_Data[[#This Row],[Satisfaction Rating]],0)</f>
        <v>5</v>
      </c>
    </row>
    <row r="608" spans="1:11" x14ac:dyDescent="0.35">
      <c r="A608" s="56" t="s">
        <v>1613</v>
      </c>
      <c r="B608" s="57" t="s">
        <v>1013</v>
      </c>
      <c r="C608" s="87">
        <v>52</v>
      </c>
      <c r="D608" s="57" t="s">
        <v>1004</v>
      </c>
      <c r="E608" s="58">
        <v>45115</v>
      </c>
      <c r="F608" s="57">
        <v>42</v>
      </c>
      <c r="G608" s="59">
        <v>4.8</v>
      </c>
      <c r="H608" s="57">
        <f>IF(MONTH(Call_Centre_Data[[#This Row],[Date of Call]])&lt;=6,YEAR(Call_Centre_Data[[#This Row],[Date of Call]]),YEAR(Call_Centre_Data[[#This Row],[Date of Call]])+1)</f>
        <v>2024</v>
      </c>
      <c r="I608" s="39" t="str">
        <f>TEXT(Call_Centre_Data[[#This Row],[Date of Call]],"DDDD")</f>
        <v>Saturday</v>
      </c>
      <c r="J608" s="39" t="str" cm="1">
        <f t="array" ref="J608">_xlfn.IFS(Call_Centre_Data[[#This Row],[Duration]]&lt;=10,"Under 10 Mins", Call_Centre_Data[[#This Row],[Duration]]&lt;=30,"10-30 Mins",Call_Centre_Data[[#This Row],[Duration]]&lt;=60,"30-60 Mins",Call_Centre_Data[[#This Row],[Duration]]&lt;=120,"1-2 Hours",TRUE,"More than 2 Hours")</f>
        <v>30-60 Mins</v>
      </c>
      <c r="K608" s="91">
        <f>ROUND(Call_Centre_Data[[#This Row],[Satisfaction Rating]],0)</f>
        <v>5</v>
      </c>
    </row>
    <row r="609" spans="1:11" x14ac:dyDescent="0.35">
      <c r="A609" s="56" t="s">
        <v>1614</v>
      </c>
      <c r="B609" s="57" t="s">
        <v>993</v>
      </c>
      <c r="C609" s="87">
        <v>85</v>
      </c>
      <c r="D609" s="57" t="s">
        <v>1008</v>
      </c>
      <c r="E609" s="58">
        <v>45116</v>
      </c>
      <c r="F609" s="57">
        <v>215</v>
      </c>
      <c r="G609" s="59">
        <v>3.5</v>
      </c>
      <c r="H609" s="57">
        <f>IF(MONTH(Call_Centre_Data[[#This Row],[Date of Call]])&lt;=6,YEAR(Call_Centre_Data[[#This Row],[Date of Call]]),YEAR(Call_Centre_Data[[#This Row],[Date of Call]])+1)</f>
        <v>2024</v>
      </c>
      <c r="I609" s="39" t="str">
        <f>TEXT(Call_Centre_Data[[#This Row],[Date of Call]],"DDDD")</f>
        <v>Sunday</v>
      </c>
      <c r="J609" s="39" t="str" cm="1">
        <f t="array" ref="J609">_xlfn.IFS(Call_Centre_Data[[#This Row],[Duration]]&lt;=10,"Under 10 Mins", Call_Centre_Data[[#This Row],[Duration]]&lt;=30,"10-30 Mins",Call_Centre_Data[[#This Row],[Duration]]&lt;=60,"30-60 Mins",Call_Centre_Data[[#This Row],[Duration]]&lt;=120,"1-2 Hours",TRUE,"More than 2 Hours")</f>
        <v>1-2 Hours</v>
      </c>
      <c r="K609" s="91">
        <f>ROUND(Call_Centre_Data[[#This Row],[Satisfaction Rating]],0)</f>
        <v>4</v>
      </c>
    </row>
    <row r="610" spans="1:11" x14ac:dyDescent="0.35">
      <c r="A610" s="56" t="s">
        <v>1615</v>
      </c>
      <c r="B610" s="57" t="s">
        <v>1019</v>
      </c>
      <c r="C610" s="87">
        <v>98</v>
      </c>
      <c r="D610" s="57" t="s">
        <v>1008</v>
      </c>
      <c r="E610" s="58">
        <v>45117</v>
      </c>
      <c r="F610" s="57">
        <v>130</v>
      </c>
      <c r="G610" s="59">
        <v>3.4</v>
      </c>
      <c r="H610" s="57">
        <f>IF(MONTH(Call_Centre_Data[[#This Row],[Date of Call]])&lt;=6,YEAR(Call_Centre_Data[[#This Row],[Date of Call]]),YEAR(Call_Centre_Data[[#This Row],[Date of Call]])+1)</f>
        <v>2024</v>
      </c>
      <c r="I610" s="39" t="str">
        <f>TEXT(Call_Centre_Data[[#This Row],[Date of Call]],"DDDD")</f>
        <v>Monday</v>
      </c>
      <c r="J610" s="39" t="str" cm="1">
        <f t="array" ref="J610">_xlfn.IFS(Call_Centre_Data[[#This Row],[Duration]]&lt;=10,"Under 10 Mins", Call_Centre_Data[[#This Row],[Duration]]&lt;=30,"10-30 Mins",Call_Centre_Data[[#This Row],[Duration]]&lt;=60,"30-60 Mins",Call_Centre_Data[[#This Row],[Duration]]&lt;=120,"1-2 Hours",TRUE,"More than 2 Hours")</f>
        <v>1-2 Hours</v>
      </c>
      <c r="K610" s="91">
        <f>ROUND(Call_Centre_Data[[#This Row],[Satisfaction Rating]],0)</f>
        <v>3</v>
      </c>
    </row>
    <row r="611" spans="1:11" x14ac:dyDescent="0.35">
      <c r="A611" s="56" t="s">
        <v>1616</v>
      </c>
      <c r="B611" s="57" t="s">
        <v>1027</v>
      </c>
      <c r="C611" s="87">
        <v>52</v>
      </c>
      <c r="D611" s="57" t="s">
        <v>1008</v>
      </c>
      <c r="E611" s="58">
        <v>45117</v>
      </c>
      <c r="F611" s="57">
        <v>190</v>
      </c>
      <c r="G611" s="59">
        <v>3.3</v>
      </c>
      <c r="H611" s="57">
        <f>IF(MONTH(Call_Centre_Data[[#This Row],[Date of Call]])&lt;=6,YEAR(Call_Centre_Data[[#This Row],[Date of Call]]),YEAR(Call_Centre_Data[[#This Row],[Date of Call]])+1)</f>
        <v>2024</v>
      </c>
      <c r="I611" s="39" t="str">
        <f>TEXT(Call_Centre_Data[[#This Row],[Date of Call]],"DDDD")</f>
        <v>Monday</v>
      </c>
      <c r="J611" s="39" t="str" cm="1">
        <f t="array" ref="J611">_xlfn.IFS(Call_Centre_Data[[#This Row],[Duration]]&lt;=10,"Under 10 Mins", Call_Centre_Data[[#This Row],[Duration]]&lt;=30,"10-30 Mins",Call_Centre_Data[[#This Row],[Duration]]&lt;=60,"30-60 Mins",Call_Centre_Data[[#This Row],[Duration]]&lt;=120,"1-2 Hours",TRUE,"More than 2 Hours")</f>
        <v>30-60 Mins</v>
      </c>
      <c r="K611" s="91">
        <f>ROUND(Call_Centre_Data[[#This Row],[Satisfaction Rating]],0)</f>
        <v>3</v>
      </c>
    </row>
    <row r="612" spans="1:11" x14ac:dyDescent="0.35">
      <c r="A612" s="56" t="s">
        <v>1617</v>
      </c>
      <c r="B612" s="57" t="s">
        <v>998</v>
      </c>
      <c r="C612" s="87">
        <v>154</v>
      </c>
      <c r="D612" s="57" t="s">
        <v>999</v>
      </c>
      <c r="E612" s="58">
        <v>45117</v>
      </c>
      <c r="F612" s="57">
        <v>164</v>
      </c>
      <c r="G612" s="59">
        <v>4.9000000000000004</v>
      </c>
      <c r="H612" s="57">
        <f>IF(MONTH(Call_Centre_Data[[#This Row],[Date of Call]])&lt;=6,YEAR(Call_Centre_Data[[#This Row],[Date of Call]]),YEAR(Call_Centre_Data[[#This Row],[Date of Call]])+1)</f>
        <v>2024</v>
      </c>
      <c r="I612" s="39" t="str">
        <f>TEXT(Call_Centre_Data[[#This Row],[Date of Call]],"DDDD")</f>
        <v>Monday</v>
      </c>
      <c r="J612" s="39" t="str" cm="1">
        <f t="array" ref="J612">_xlfn.IFS(Call_Centre_Data[[#This Row],[Duration]]&lt;=10,"Under 10 Mins", Call_Centre_Data[[#This Row],[Duration]]&lt;=30,"10-30 Mins",Call_Centre_Data[[#This Row],[Duration]]&lt;=60,"30-60 Mins",Call_Centre_Data[[#This Row],[Duration]]&lt;=120,"1-2 Hours",TRUE,"More than 2 Hours")</f>
        <v>More than 2 Hours</v>
      </c>
      <c r="K612" s="91">
        <f>ROUND(Call_Centre_Data[[#This Row],[Satisfaction Rating]],0)</f>
        <v>5</v>
      </c>
    </row>
    <row r="613" spans="1:11" x14ac:dyDescent="0.35">
      <c r="A613" s="56" t="s">
        <v>1618</v>
      </c>
      <c r="B613" s="57" t="s">
        <v>1060</v>
      </c>
      <c r="C613" s="87">
        <v>131</v>
      </c>
      <c r="D613" s="57" t="s">
        <v>994</v>
      </c>
      <c r="E613" s="58">
        <v>45118</v>
      </c>
      <c r="F613" s="57">
        <v>76</v>
      </c>
      <c r="G613" s="59">
        <v>4.5</v>
      </c>
      <c r="H613" s="57">
        <f>IF(MONTH(Call_Centre_Data[[#This Row],[Date of Call]])&lt;=6,YEAR(Call_Centre_Data[[#This Row],[Date of Call]]),YEAR(Call_Centre_Data[[#This Row],[Date of Call]])+1)</f>
        <v>2024</v>
      </c>
      <c r="I613" s="39" t="str">
        <f>TEXT(Call_Centre_Data[[#This Row],[Date of Call]],"DDDD")</f>
        <v>Tuesday</v>
      </c>
      <c r="J613" s="39" t="str" cm="1">
        <f t="array" ref="J613">_xlfn.IFS(Call_Centre_Data[[#This Row],[Duration]]&lt;=10,"Under 10 Mins", Call_Centre_Data[[#This Row],[Duration]]&lt;=30,"10-30 Mins",Call_Centre_Data[[#This Row],[Duration]]&lt;=60,"30-60 Mins",Call_Centre_Data[[#This Row],[Duration]]&lt;=120,"1-2 Hours",TRUE,"More than 2 Hours")</f>
        <v>More than 2 Hours</v>
      </c>
      <c r="K613" s="91">
        <f>ROUND(Call_Centre_Data[[#This Row],[Satisfaction Rating]],0)</f>
        <v>5</v>
      </c>
    </row>
    <row r="614" spans="1:11" x14ac:dyDescent="0.35">
      <c r="A614" s="56" t="s">
        <v>1619</v>
      </c>
      <c r="B614" s="57" t="s">
        <v>993</v>
      </c>
      <c r="C614" s="87">
        <v>73</v>
      </c>
      <c r="D614" s="57" t="s">
        <v>994</v>
      </c>
      <c r="E614" s="58">
        <v>45119</v>
      </c>
      <c r="F614" s="57">
        <v>87</v>
      </c>
      <c r="G614" s="59">
        <v>4.8</v>
      </c>
      <c r="H614" s="57">
        <f>IF(MONTH(Call_Centre_Data[[#This Row],[Date of Call]])&lt;=6,YEAR(Call_Centre_Data[[#This Row],[Date of Call]]),YEAR(Call_Centre_Data[[#This Row],[Date of Call]])+1)</f>
        <v>2024</v>
      </c>
      <c r="I614" s="39" t="str">
        <f>TEXT(Call_Centre_Data[[#This Row],[Date of Call]],"DDDD")</f>
        <v>Wednesday</v>
      </c>
      <c r="J614" s="39" t="str" cm="1">
        <f t="array" ref="J614">_xlfn.IFS(Call_Centre_Data[[#This Row],[Duration]]&lt;=10,"Under 10 Mins", Call_Centre_Data[[#This Row],[Duration]]&lt;=30,"10-30 Mins",Call_Centre_Data[[#This Row],[Duration]]&lt;=60,"30-60 Mins",Call_Centre_Data[[#This Row],[Duration]]&lt;=120,"1-2 Hours",TRUE,"More than 2 Hours")</f>
        <v>1-2 Hours</v>
      </c>
      <c r="K614" s="91">
        <f>ROUND(Call_Centre_Data[[#This Row],[Satisfaction Rating]],0)</f>
        <v>5</v>
      </c>
    </row>
    <row r="615" spans="1:11" x14ac:dyDescent="0.35">
      <c r="A615" s="56" t="s">
        <v>1620</v>
      </c>
      <c r="B615" s="57" t="s">
        <v>1011</v>
      </c>
      <c r="C615" s="87">
        <v>45</v>
      </c>
      <c r="D615" s="57" t="s">
        <v>1008</v>
      </c>
      <c r="E615" s="58">
        <v>45119</v>
      </c>
      <c r="F615" s="57">
        <v>84</v>
      </c>
      <c r="G615" s="59">
        <v>4.8</v>
      </c>
      <c r="H615" s="57">
        <f>IF(MONTH(Call_Centre_Data[[#This Row],[Date of Call]])&lt;=6,YEAR(Call_Centre_Data[[#This Row],[Date of Call]]),YEAR(Call_Centre_Data[[#This Row],[Date of Call]])+1)</f>
        <v>2024</v>
      </c>
      <c r="I615" s="39" t="str">
        <f>TEXT(Call_Centre_Data[[#This Row],[Date of Call]],"DDDD")</f>
        <v>Wednesday</v>
      </c>
      <c r="J615" s="39" t="str" cm="1">
        <f t="array" ref="J615">_xlfn.IFS(Call_Centre_Data[[#This Row],[Duration]]&lt;=10,"Under 10 Mins", Call_Centre_Data[[#This Row],[Duration]]&lt;=30,"10-30 Mins",Call_Centre_Data[[#This Row],[Duration]]&lt;=60,"30-60 Mins",Call_Centre_Data[[#This Row],[Duration]]&lt;=120,"1-2 Hours",TRUE,"More than 2 Hours")</f>
        <v>30-60 Mins</v>
      </c>
      <c r="K615" s="91">
        <f>ROUND(Call_Centre_Data[[#This Row],[Satisfaction Rating]],0)</f>
        <v>5</v>
      </c>
    </row>
    <row r="616" spans="1:11" x14ac:dyDescent="0.35">
      <c r="A616" s="56" t="s">
        <v>1621</v>
      </c>
      <c r="B616" s="57" t="s">
        <v>1022</v>
      </c>
      <c r="C616" s="87">
        <v>114</v>
      </c>
      <c r="D616" s="57" t="s">
        <v>1004</v>
      </c>
      <c r="E616" s="58">
        <v>45119</v>
      </c>
      <c r="F616" s="57">
        <v>114</v>
      </c>
      <c r="G616" s="59">
        <v>3.9</v>
      </c>
      <c r="H616" s="57">
        <f>IF(MONTH(Call_Centre_Data[[#This Row],[Date of Call]])&lt;=6,YEAR(Call_Centre_Data[[#This Row],[Date of Call]]),YEAR(Call_Centre_Data[[#This Row],[Date of Call]])+1)</f>
        <v>2024</v>
      </c>
      <c r="I616" s="39" t="str">
        <f>TEXT(Call_Centre_Data[[#This Row],[Date of Call]],"DDDD")</f>
        <v>Wednesday</v>
      </c>
      <c r="J616" s="39" t="str" cm="1">
        <f t="array" ref="J616">_xlfn.IFS(Call_Centre_Data[[#This Row],[Duration]]&lt;=10,"Under 10 Mins", Call_Centre_Data[[#This Row],[Duration]]&lt;=30,"10-30 Mins",Call_Centre_Data[[#This Row],[Duration]]&lt;=60,"30-60 Mins",Call_Centre_Data[[#This Row],[Duration]]&lt;=120,"1-2 Hours",TRUE,"More than 2 Hours")</f>
        <v>1-2 Hours</v>
      </c>
      <c r="K616" s="91">
        <f>ROUND(Call_Centre_Data[[#This Row],[Satisfaction Rating]],0)</f>
        <v>4</v>
      </c>
    </row>
    <row r="617" spans="1:11" x14ac:dyDescent="0.35">
      <c r="A617" s="56" t="s">
        <v>1622</v>
      </c>
      <c r="B617" s="57" t="s">
        <v>1019</v>
      </c>
      <c r="C617" s="87">
        <v>69</v>
      </c>
      <c r="D617" s="57" t="s">
        <v>994</v>
      </c>
      <c r="E617" s="58">
        <v>45120</v>
      </c>
      <c r="F617" s="57">
        <v>56</v>
      </c>
      <c r="G617" s="59">
        <v>3.9</v>
      </c>
      <c r="H617" s="57">
        <f>IF(MONTH(Call_Centre_Data[[#This Row],[Date of Call]])&lt;=6,YEAR(Call_Centre_Data[[#This Row],[Date of Call]]),YEAR(Call_Centre_Data[[#This Row],[Date of Call]])+1)</f>
        <v>2024</v>
      </c>
      <c r="I617" s="39" t="str">
        <f>TEXT(Call_Centre_Data[[#This Row],[Date of Call]],"DDDD")</f>
        <v>Thursday</v>
      </c>
      <c r="J617" s="39" t="str" cm="1">
        <f t="array" ref="J617">_xlfn.IFS(Call_Centre_Data[[#This Row],[Duration]]&lt;=10,"Under 10 Mins", Call_Centre_Data[[#This Row],[Duration]]&lt;=30,"10-30 Mins",Call_Centre_Data[[#This Row],[Duration]]&lt;=60,"30-60 Mins",Call_Centre_Data[[#This Row],[Duration]]&lt;=120,"1-2 Hours",TRUE,"More than 2 Hours")</f>
        <v>1-2 Hours</v>
      </c>
      <c r="K617" s="91">
        <f>ROUND(Call_Centre_Data[[#This Row],[Satisfaction Rating]],0)</f>
        <v>4</v>
      </c>
    </row>
    <row r="618" spans="1:11" x14ac:dyDescent="0.35">
      <c r="A618" s="56" t="s">
        <v>1623</v>
      </c>
      <c r="B618" s="57" t="s">
        <v>1060</v>
      </c>
      <c r="C618" s="87">
        <v>33</v>
      </c>
      <c r="D618" s="57" t="s">
        <v>999</v>
      </c>
      <c r="E618" s="58">
        <v>45120</v>
      </c>
      <c r="F618" s="57">
        <v>27</v>
      </c>
      <c r="G618" s="59">
        <v>3.7</v>
      </c>
      <c r="H618" s="57">
        <f>IF(MONTH(Call_Centre_Data[[#This Row],[Date of Call]])&lt;=6,YEAR(Call_Centre_Data[[#This Row],[Date of Call]]),YEAR(Call_Centre_Data[[#This Row],[Date of Call]])+1)</f>
        <v>2024</v>
      </c>
      <c r="I618" s="39" t="str">
        <f>TEXT(Call_Centre_Data[[#This Row],[Date of Call]],"DDDD")</f>
        <v>Thursday</v>
      </c>
      <c r="J618" s="39" t="str" cm="1">
        <f t="array" ref="J618">_xlfn.IFS(Call_Centre_Data[[#This Row],[Duration]]&lt;=10,"Under 10 Mins", Call_Centre_Data[[#This Row],[Duration]]&lt;=30,"10-30 Mins",Call_Centre_Data[[#This Row],[Duration]]&lt;=60,"30-60 Mins",Call_Centre_Data[[#This Row],[Duration]]&lt;=120,"1-2 Hours",TRUE,"More than 2 Hours")</f>
        <v>30-60 Mins</v>
      </c>
      <c r="K618" s="91">
        <f>ROUND(Call_Centre_Data[[#This Row],[Satisfaction Rating]],0)</f>
        <v>4</v>
      </c>
    </row>
    <row r="619" spans="1:11" x14ac:dyDescent="0.35">
      <c r="A619" s="56" t="s">
        <v>1624</v>
      </c>
      <c r="B619" s="57" t="s">
        <v>991</v>
      </c>
      <c r="C619" s="87">
        <v>31</v>
      </c>
      <c r="D619" s="57" t="s">
        <v>989</v>
      </c>
      <c r="E619" s="58">
        <v>45121</v>
      </c>
      <c r="F619" s="57">
        <v>84</v>
      </c>
      <c r="G619" s="59">
        <v>4.8</v>
      </c>
      <c r="H619" s="57">
        <f>IF(MONTH(Call_Centre_Data[[#This Row],[Date of Call]])&lt;=6,YEAR(Call_Centre_Data[[#This Row],[Date of Call]]),YEAR(Call_Centre_Data[[#This Row],[Date of Call]])+1)</f>
        <v>2024</v>
      </c>
      <c r="I619" s="39" t="str">
        <f>TEXT(Call_Centre_Data[[#This Row],[Date of Call]],"DDDD")</f>
        <v>Friday</v>
      </c>
      <c r="J619" s="39" t="str" cm="1">
        <f t="array" ref="J619">_xlfn.IFS(Call_Centre_Data[[#This Row],[Duration]]&lt;=10,"Under 10 Mins", Call_Centre_Data[[#This Row],[Duration]]&lt;=30,"10-30 Mins",Call_Centre_Data[[#This Row],[Duration]]&lt;=60,"30-60 Mins",Call_Centre_Data[[#This Row],[Duration]]&lt;=120,"1-2 Hours",TRUE,"More than 2 Hours")</f>
        <v>30-60 Mins</v>
      </c>
      <c r="K619" s="91">
        <f>ROUND(Call_Centre_Data[[#This Row],[Satisfaction Rating]],0)</f>
        <v>5</v>
      </c>
    </row>
    <row r="620" spans="1:11" x14ac:dyDescent="0.35">
      <c r="A620" s="56" t="s">
        <v>1625</v>
      </c>
      <c r="B620" s="57" t="s">
        <v>1011</v>
      </c>
      <c r="C620" s="87">
        <v>168</v>
      </c>
      <c r="D620" s="57" t="s">
        <v>999</v>
      </c>
      <c r="E620" s="58">
        <v>45121</v>
      </c>
      <c r="F620" s="57">
        <v>72</v>
      </c>
      <c r="G620" s="59">
        <v>3.5</v>
      </c>
      <c r="H620" s="57">
        <f>IF(MONTH(Call_Centre_Data[[#This Row],[Date of Call]])&lt;=6,YEAR(Call_Centre_Data[[#This Row],[Date of Call]]),YEAR(Call_Centre_Data[[#This Row],[Date of Call]])+1)</f>
        <v>2024</v>
      </c>
      <c r="I620" s="39" t="str">
        <f>TEXT(Call_Centre_Data[[#This Row],[Date of Call]],"DDDD")</f>
        <v>Friday</v>
      </c>
      <c r="J620" s="39" t="str" cm="1">
        <f t="array" ref="J620">_xlfn.IFS(Call_Centre_Data[[#This Row],[Duration]]&lt;=10,"Under 10 Mins", Call_Centre_Data[[#This Row],[Duration]]&lt;=30,"10-30 Mins",Call_Centre_Data[[#This Row],[Duration]]&lt;=60,"30-60 Mins",Call_Centre_Data[[#This Row],[Duration]]&lt;=120,"1-2 Hours",TRUE,"More than 2 Hours")</f>
        <v>More than 2 Hours</v>
      </c>
      <c r="K620" s="91">
        <f>ROUND(Call_Centre_Data[[#This Row],[Satisfaction Rating]],0)</f>
        <v>4</v>
      </c>
    </row>
    <row r="621" spans="1:11" x14ac:dyDescent="0.35">
      <c r="A621" s="56" t="s">
        <v>1626</v>
      </c>
      <c r="B621" s="57" t="s">
        <v>993</v>
      </c>
      <c r="C621" s="87">
        <v>111</v>
      </c>
      <c r="D621" s="57" t="s">
        <v>1004</v>
      </c>
      <c r="E621" s="58">
        <v>45122</v>
      </c>
      <c r="F621" s="57">
        <v>126</v>
      </c>
      <c r="G621" s="59">
        <v>4.2</v>
      </c>
      <c r="H621" s="57">
        <f>IF(MONTH(Call_Centre_Data[[#This Row],[Date of Call]])&lt;=6,YEAR(Call_Centre_Data[[#This Row],[Date of Call]]),YEAR(Call_Centre_Data[[#This Row],[Date of Call]])+1)</f>
        <v>2024</v>
      </c>
      <c r="I621" s="39" t="str">
        <f>TEXT(Call_Centre_Data[[#This Row],[Date of Call]],"DDDD")</f>
        <v>Saturday</v>
      </c>
      <c r="J621" s="39" t="str" cm="1">
        <f t="array" ref="J621">_xlfn.IFS(Call_Centre_Data[[#This Row],[Duration]]&lt;=10,"Under 10 Mins", Call_Centre_Data[[#This Row],[Duration]]&lt;=30,"10-30 Mins",Call_Centre_Data[[#This Row],[Duration]]&lt;=60,"30-60 Mins",Call_Centre_Data[[#This Row],[Duration]]&lt;=120,"1-2 Hours",TRUE,"More than 2 Hours")</f>
        <v>1-2 Hours</v>
      </c>
      <c r="K621" s="91">
        <f>ROUND(Call_Centre_Data[[#This Row],[Satisfaction Rating]],0)</f>
        <v>4</v>
      </c>
    </row>
    <row r="622" spans="1:11" x14ac:dyDescent="0.35">
      <c r="A622" s="56" t="s">
        <v>1627</v>
      </c>
      <c r="B622" s="57" t="s">
        <v>991</v>
      </c>
      <c r="C622" s="87">
        <v>80</v>
      </c>
      <c r="D622" s="57" t="s">
        <v>999</v>
      </c>
      <c r="E622" s="58">
        <v>45123</v>
      </c>
      <c r="F622" s="57">
        <v>88</v>
      </c>
      <c r="G622" s="59">
        <v>4.9000000000000004</v>
      </c>
      <c r="H622" s="57">
        <f>IF(MONTH(Call_Centre_Data[[#This Row],[Date of Call]])&lt;=6,YEAR(Call_Centre_Data[[#This Row],[Date of Call]]),YEAR(Call_Centre_Data[[#This Row],[Date of Call]])+1)</f>
        <v>2024</v>
      </c>
      <c r="I622" s="39" t="str">
        <f>TEXT(Call_Centre_Data[[#This Row],[Date of Call]],"DDDD")</f>
        <v>Sunday</v>
      </c>
      <c r="J622" s="39" t="str" cm="1">
        <f t="array" ref="J622">_xlfn.IFS(Call_Centre_Data[[#This Row],[Duration]]&lt;=10,"Under 10 Mins", Call_Centre_Data[[#This Row],[Duration]]&lt;=30,"10-30 Mins",Call_Centre_Data[[#This Row],[Duration]]&lt;=60,"30-60 Mins",Call_Centre_Data[[#This Row],[Duration]]&lt;=120,"1-2 Hours",TRUE,"More than 2 Hours")</f>
        <v>1-2 Hours</v>
      </c>
      <c r="K622" s="91">
        <f>ROUND(Call_Centre_Data[[#This Row],[Satisfaction Rating]],0)</f>
        <v>5</v>
      </c>
    </row>
    <row r="623" spans="1:11" x14ac:dyDescent="0.35">
      <c r="A623" s="56" t="s">
        <v>1628</v>
      </c>
      <c r="B623" s="57" t="s">
        <v>988</v>
      </c>
      <c r="C623" s="87">
        <v>37</v>
      </c>
      <c r="D623" s="57" t="s">
        <v>999</v>
      </c>
      <c r="E623" s="58">
        <v>45123</v>
      </c>
      <c r="F623" s="57">
        <v>124</v>
      </c>
      <c r="G623" s="59">
        <v>4.5999999999999996</v>
      </c>
      <c r="H623" s="57">
        <f>IF(MONTH(Call_Centre_Data[[#This Row],[Date of Call]])&lt;=6,YEAR(Call_Centre_Data[[#This Row],[Date of Call]]),YEAR(Call_Centre_Data[[#This Row],[Date of Call]])+1)</f>
        <v>2024</v>
      </c>
      <c r="I623" s="39" t="str">
        <f>TEXT(Call_Centre_Data[[#This Row],[Date of Call]],"DDDD")</f>
        <v>Sunday</v>
      </c>
      <c r="J623" s="39" t="str" cm="1">
        <f t="array" ref="J623">_xlfn.IFS(Call_Centre_Data[[#This Row],[Duration]]&lt;=10,"Under 10 Mins", Call_Centre_Data[[#This Row],[Duration]]&lt;=30,"10-30 Mins",Call_Centre_Data[[#This Row],[Duration]]&lt;=60,"30-60 Mins",Call_Centre_Data[[#This Row],[Duration]]&lt;=120,"1-2 Hours",TRUE,"More than 2 Hours")</f>
        <v>30-60 Mins</v>
      </c>
      <c r="K623" s="91">
        <f>ROUND(Call_Centre_Data[[#This Row],[Satisfaction Rating]],0)</f>
        <v>5</v>
      </c>
    </row>
    <row r="624" spans="1:11" x14ac:dyDescent="0.35">
      <c r="A624" s="56" t="s">
        <v>1629</v>
      </c>
      <c r="B624" s="57" t="s">
        <v>1040</v>
      </c>
      <c r="C624" s="87">
        <v>137</v>
      </c>
      <c r="D624" s="57" t="s">
        <v>999</v>
      </c>
      <c r="E624" s="58">
        <v>45124</v>
      </c>
      <c r="F624" s="57">
        <v>84</v>
      </c>
      <c r="G624" s="59">
        <v>2.6</v>
      </c>
      <c r="H624" s="57">
        <f>IF(MONTH(Call_Centre_Data[[#This Row],[Date of Call]])&lt;=6,YEAR(Call_Centre_Data[[#This Row],[Date of Call]]),YEAR(Call_Centre_Data[[#This Row],[Date of Call]])+1)</f>
        <v>2024</v>
      </c>
      <c r="I624" s="39" t="str">
        <f>TEXT(Call_Centre_Data[[#This Row],[Date of Call]],"DDDD")</f>
        <v>Monday</v>
      </c>
      <c r="J624" s="39" t="str" cm="1">
        <f t="array" ref="J624">_xlfn.IFS(Call_Centre_Data[[#This Row],[Duration]]&lt;=10,"Under 10 Mins", Call_Centre_Data[[#This Row],[Duration]]&lt;=30,"10-30 Mins",Call_Centre_Data[[#This Row],[Duration]]&lt;=60,"30-60 Mins",Call_Centre_Data[[#This Row],[Duration]]&lt;=120,"1-2 Hours",TRUE,"More than 2 Hours")</f>
        <v>More than 2 Hours</v>
      </c>
      <c r="K624" s="91">
        <f>ROUND(Call_Centre_Data[[#This Row],[Satisfaction Rating]],0)</f>
        <v>3</v>
      </c>
    </row>
    <row r="625" spans="1:11" x14ac:dyDescent="0.35">
      <c r="A625" s="56" t="s">
        <v>1630</v>
      </c>
      <c r="B625" s="57" t="s">
        <v>1019</v>
      </c>
      <c r="C625" s="87">
        <v>123</v>
      </c>
      <c r="D625" s="57" t="s">
        <v>1004</v>
      </c>
      <c r="E625" s="58">
        <v>45124</v>
      </c>
      <c r="F625" s="57">
        <v>80</v>
      </c>
      <c r="G625" s="59">
        <v>2.7</v>
      </c>
      <c r="H625" s="57">
        <f>IF(MONTH(Call_Centre_Data[[#This Row],[Date of Call]])&lt;=6,YEAR(Call_Centre_Data[[#This Row],[Date of Call]]),YEAR(Call_Centre_Data[[#This Row],[Date of Call]])+1)</f>
        <v>2024</v>
      </c>
      <c r="I625" s="39" t="str">
        <f>TEXT(Call_Centre_Data[[#This Row],[Date of Call]],"DDDD")</f>
        <v>Monday</v>
      </c>
      <c r="J625" s="39" t="str" cm="1">
        <f t="array" ref="J625">_xlfn.IFS(Call_Centre_Data[[#This Row],[Duration]]&lt;=10,"Under 10 Mins", Call_Centre_Data[[#This Row],[Duration]]&lt;=30,"10-30 Mins",Call_Centre_Data[[#This Row],[Duration]]&lt;=60,"30-60 Mins",Call_Centre_Data[[#This Row],[Duration]]&lt;=120,"1-2 Hours",TRUE,"More than 2 Hours")</f>
        <v>More than 2 Hours</v>
      </c>
      <c r="K625" s="91">
        <f>ROUND(Call_Centre_Data[[#This Row],[Satisfaction Rating]],0)</f>
        <v>3</v>
      </c>
    </row>
    <row r="626" spans="1:11" x14ac:dyDescent="0.35">
      <c r="A626" s="56" t="s">
        <v>1631</v>
      </c>
      <c r="B626" s="57" t="s">
        <v>1030</v>
      </c>
      <c r="C626" s="87">
        <v>105</v>
      </c>
      <c r="D626" s="57" t="s">
        <v>1004</v>
      </c>
      <c r="E626" s="58">
        <v>45125</v>
      </c>
      <c r="F626" s="57">
        <v>176</v>
      </c>
      <c r="G626" s="59">
        <v>4.7</v>
      </c>
      <c r="H626" s="57">
        <f>IF(MONTH(Call_Centre_Data[[#This Row],[Date of Call]])&lt;=6,YEAR(Call_Centre_Data[[#This Row],[Date of Call]]),YEAR(Call_Centre_Data[[#This Row],[Date of Call]])+1)</f>
        <v>2024</v>
      </c>
      <c r="I626" s="39" t="str">
        <f>TEXT(Call_Centre_Data[[#This Row],[Date of Call]],"DDDD")</f>
        <v>Tuesday</v>
      </c>
      <c r="J626" s="39" t="str" cm="1">
        <f t="array" ref="J626">_xlfn.IFS(Call_Centre_Data[[#This Row],[Duration]]&lt;=10,"Under 10 Mins", Call_Centre_Data[[#This Row],[Duration]]&lt;=30,"10-30 Mins",Call_Centre_Data[[#This Row],[Duration]]&lt;=60,"30-60 Mins",Call_Centre_Data[[#This Row],[Duration]]&lt;=120,"1-2 Hours",TRUE,"More than 2 Hours")</f>
        <v>1-2 Hours</v>
      </c>
      <c r="K626" s="91">
        <f>ROUND(Call_Centre_Data[[#This Row],[Satisfaction Rating]],0)</f>
        <v>5</v>
      </c>
    </row>
    <row r="627" spans="1:11" x14ac:dyDescent="0.35">
      <c r="A627" s="56" t="s">
        <v>1632</v>
      </c>
      <c r="B627" s="57" t="s">
        <v>988</v>
      </c>
      <c r="C627" s="87">
        <v>76</v>
      </c>
      <c r="D627" s="57" t="s">
        <v>1008</v>
      </c>
      <c r="E627" s="58">
        <v>45126</v>
      </c>
      <c r="F627" s="57">
        <v>84</v>
      </c>
      <c r="G627" s="59">
        <v>3.9</v>
      </c>
      <c r="H627" s="57">
        <f>IF(MONTH(Call_Centre_Data[[#This Row],[Date of Call]])&lt;=6,YEAR(Call_Centre_Data[[#This Row],[Date of Call]]),YEAR(Call_Centre_Data[[#This Row],[Date of Call]])+1)</f>
        <v>2024</v>
      </c>
      <c r="I627" s="39" t="str">
        <f>TEXT(Call_Centre_Data[[#This Row],[Date of Call]],"DDDD")</f>
        <v>Wednesday</v>
      </c>
      <c r="J627" s="39" t="str" cm="1">
        <f t="array" ref="J627">_xlfn.IFS(Call_Centre_Data[[#This Row],[Duration]]&lt;=10,"Under 10 Mins", Call_Centre_Data[[#This Row],[Duration]]&lt;=30,"10-30 Mins",Call_Centre_Data[[#This Row],[Duration]]&lt;=60,"30-60 Mins",Call_Centre_Data[[#This Row],[Duration]]&lt;=120,"1-2 Hours",TRUE,"More than 2 Hours")</f>
        <v>1-2 Hours</v>
      </c>
      <c r="K627" s="91">
        <f>ROUND(Call_Centre_Data[[#This Row],[Satisfaction Rating]],0)</f>
        <v>4</v>
      </c>
    </row>
    <row r="628" spans="1:11" x14ac:dyDescent="0.35">
      <c r="A628" s="56" t="s">
        <v>1633</v>
      </c>
      <c r="B628" s="57" t="s">
        <v>991</v>
      </c>
      <c r="C628" s="87">
        <v>144</v>
      </c>
      <c r="D628" s="57" t="s">
        <v>1008</v>
      </c>
      <c r="E628" s="58">
        <v>45126</v>
      </c>
      <c r="F628" s="57">
        <v>164</v>
      </c>
      <c r="G628" s="59">
        <v>2.8</v>
      </c>
      <c r="H628" s="57">
        <f>IF(MONTH(Call_Centre_Data[[#This Row],[Date of Call]])&lt;=6,YEAR(Call_Centre_Data[[#This Row],[Date of Call]]),YEAR(Call_Centre_Data[[#This Row],[Date of Call]])+1)</f>
        <v>2024</v>
      </c>
      <c r="I628" s="39" t="str">
        <f>TEXT(Call_Centre_Data[[#This Row],[Date of Call]],"DDDD")</f>
        <v>Wednesday</v>
      </c>
      <c r="J628" s="39" t="str" cm="1">
        <f t="array" ref="J628">_xlfn.IFS(Call_Centre_Data[[#This Row],[Duration]]&lt;=10,"Under 10 Mins", Call_Centre_Data[[#This Row],[Duration]]&lt;=30,"10-30 Mins",Call_Centre_Data[[#This Row],[Duration]]&lt;=60,"30-60 Mins",Call_Centre_Data[[#This Row],[Duration]]&lt;=120,"1-2 Hours",TRUE,"More than 2 Hours")</f>
        <v>More than 2 Hours</v>
      </c>
      <c r="K628" s="91">
        <f>ROUND(Call_Centre_Data[[#This Row],[Satisfaction Rating]],0)</f>
        <v>3</v>
      </c>
    </row>
    <row r="629" spans="1:11" x14ac:dyDescent="0.35">
      <c r="A629" s="56" t="s">
        <v>1634</v>
      </c>
      <c r="B629" s="57" t="s">
        <v>1060</v>
      </c>
      <c r="C629" s="87">
        <v>109</v>
      </c>
      <c r="D629" s="57" t="s">
        <v>989</v>
      </c>
      <c r="E629" s="58">
        <v>45126</v>
      </c>
      <c r="F629" s="57">
        <v>132</v>
      </c>
      <c r="G629" s="59">
        <v>3.1</v>
      </c>
      <c r="H629" s="57">
        <f>IF(MONTH(Call_Centre_Data[[#This Row],[Date of Call]])&lt;=6,YEAR(Call_Centre_Data[[#This Row],[Date of Call]]),YEAR(Call_Centre_Data[[#This Row],[Date of Call]])+1)</f>
        <v>2024</v>
      </c>
      <c r="I629" s="39" t="str">
        <f>TEXT(Call_Centre_Data[[#This Row],[Date of Call]],"DDDD")</f>
        <v>Wednesday</v>
      </c>
      <c r="J629" s="39" t="str" cm="1">
        <f t="array" ref="J629">_xlfn.IFS(Call_Centre_Data[[#This Row],[Duration]]&lt;=10,"Under 10 Mins", Call_Centre_Data[[#This Row],[Duration]]&lt;=30,"10-30 Mins",Call_Centre_Data[[#This Row],[Duration]]&lt;=60,"30-60 Mins",Call_Centre_Data[[#This Row],[Duration]]&lt;=120,"1-2 Hours",TRUE,"More than 2 Hours")</f>
        <v>1-2 Hours</v>
      </c>
      <c r="K629" s="91">
        <f>ROUND(Call_Centre_Data[[#This Row],[Satisfaction Rating]],0)</f>
        <v>3</v>
      </c>
    </row>
    <row r="630" spans="1:11" x14ac:dyDescent="0.35">
      <c r="A630" s="56" t="s">
        <v>1635</v>
      </c>
      <c r="B630" s="57" t="s">
        <v>1019</v>
      </c>
      <c r="C630" s="87">
        <v>172</v>
      </c>
      <c r="D630" s="57" t="s">
        <v>999</v>
      </c>
      <c r="E630" s="58">
        <v>45127</v>
      </c>
      <c r="F630" s="57">
        <v>27</v>
      </c>
      <c r="G630" s="59">
        <v>4.2</v>
      </c>
      <c r="H630" s="57">
        <f>IF(MONTH(Call_Centre_Data[[#This Row],[Date of Call]])&lt;=6,YEAR(Call_Centre_Data[[#This Row],[Date of Call]]),YEAR(Call_Centre_Data[[#This Row],[Date of Call]])+1)</f>
        <v>2024</v>
      </c>
      <c r="I630" s="39" t="str">
        <f>TEXT(Call_Centre_Data[[#This Row],[Date of Call]],"DDDD")</f>
        <v>Thursday</v>
      </c>
      <c r="J630" s="39" t="str" cm="1">
        <f t="array" ref="J630">_xlfn.IFS(Call_Centre_Data[[#This Row],[Duration]]&lt;=10,"Under 10 Mins", Call_Centre_Data[[#This Row],[Duration]]&lt;=30,"10-30 Mins",Call_Centre_Data[[#This Row],[Duration]]&lt;=60,"30-60 Mins",Call_Centre_Data[[#This Row],[Duration]]&lt;=120,"1-2 Hours",TRUE,"More than 2 Hours")</f>
        <v>More than 2 Hours</v>
      </c>
      <c r="K630" s="91">
        <f>ROUND(Call_Centre_Data[[#This Row],[Satisfaction Rating]],0)</f>
        <v>4</v>
      </c>
    </row>
    <row r="631" spans="1:11" x14ac:dyDescent="0.35">
      <c r="A631" s="56" t="s">
        <v>1636</v>
      </c>
      <c r="B631" s="57" t="s">
        <v>991</v>
      </c>
      <c r="C631" s="87">
        <v>56</v>
      </c>
      <c r="D631" s="57" t="s">
        <v>1004</v>
      </c>
      <c r="E631" s="58">
        <v>45127</v>
      </c>
      <c r="F631" s="57">
        <v>27</v>
      </c>
      <c r="G631" s="59">
        <v>4.3</v>
      </c>
      <c r="H631" s="57">
        <f>IF(MONTH(Call_Centre_Data[[#This Row],[Date of Call]])&lt;=6,YEAR(Call_Centre_Data[[#This Row],[Date of Call]]),YEAR(Call_Centre_Data[[#This Row],[Date of Call]])+1)</f>
        <v>2024</v>
      </c>
      <c r="I631" s="39" t="str">
        <f>TEXT(Call_Centre_Data[[#This Row],[Date of Call]],"DDDD")</f>
        <v>Thursday</v>
      </c>
      <c r="J631" s="39" t="str" cm="1">
        <f t="array" ref="J631">_xlfn.IFS(Call_Centre_Data[[#This Row],[Duration]]&lt;=10,"Under 10 Mins", Call_Centre_Data[[#This Row],[Duration]]&lt;=30,"10-30 Mins",Call_Centre_Data[[#This Row],[Duration]]&lt;=60,"30-60 Mins",Call_Centre_Data[[#This Row],[Duration]]&lt;=120,"1-2 Hours",TRUE,"More than 2 Hours")</f>
        <v>30-60 Mins</v>
      </c>
      <c r="K631" s="91">
        <f>ROUND(Call_Centre_Data[[#This Row],[Satisfaction Rating]],0)</f>
        <v>4</v>
      </c>
    </row>
    <row r="632" spans="1:11" x14ac:dyDescent="0.35">
      <c r="A632" s="56" t="s">
        <v>1637</v>
      </c>
      <c r="B632" s="57" t="s">
        <v>991</v>
      </c>
      <c r="C632" s="87">
        <v>121</v>
      </c>
      <c r="D632" s="57" t="s">
        <v>994</v>
      </c>
      <c r="E632" s="58">
        <v>45127</v>
      </c>
      <c r="F632" s="57">
        <v>20</v>
      </c>
      <c r="G632" s="59">
        <v>2.7</v>
      </c>
      <c r="H632" s="57">
        <f>IF(MONTH(Call_Centre_Data[[#This Row],[Date of Call]])&lt;=6,YEAR(Call_Centre_Data[[#This Row],[Date of Call]]),YEAR(Call_Centre_Data[[#This Row],[Date of Call]])+1)</f>
        <v>2024</v>
      </c>
      <c r="I632" s="39" t="str">
        <f>TEXT(Call_Centre_Data[[#This Row],[Date of Call]],"DDDD")</f>
        <v>Thursday</v>
      </c>
      <c r="J632" s="39" t="str" cm="1">
        <f t="array" ref="J632">_xlfn.IFS(Call_Centre_Data[[#This Row],[Duration]]&lt;=10,"Under 10 Mins", Call_Centre_Data[[#This Row],[Duration]]&lt;=30,"10-30 Mins",Call_Centre_Data[[#This Row],[Duration]]&lt;=60,"30-60 Mins",Call_Centre_Data[[#This Row],[Duration]]&lt;=120,"1-2 Hours",TRUE,"More than 2 Hours")</f>
        <v>More than 2 Hours</v>
      </c>
      <c r="K632" s="91">
        <f>ROUND(Call_Centre_Data[[#This Row],[Satisfaction Rating]],0)</f>
        <v>3</v>
      </c>
    </row>
    <row r="633" spans="1:11" x14ac:dyDescent="0.35">
      <c r="A633" s="56" t="s">
        <v>1638</v>
      </c>
      <c r="B633" s="57" t="s">
        <v>1019</v>
      </c>
      <c r="C633" s="87">
        <v>41</v>
      </c>
      <c r="D633" s="57" t="s">
        <v>1004</v>
      </c>
      <c r="E633" s="58">
        <v>45128</v>
      </c>
      <c r="F633" s="57">
        <v>112</v>
      </c>
      <c r="G633" s="59">
        <v>2.2999999999999998</v>
      </c>
      <c r="H633" s="57">
        <f>IF(MONTH(Call_Centre_Data[[#This Row],[Date of Call]])&lt;=6,YEAR(Call_Centre_Data[[#This Row],[Date of Call]]),YEAR(Call_Centre_Data[[#This Row],[Date of Call]])+1)</f>
        <v>2024</v>
      </c>
      <c r="I633" s="39" t="str">
        <f>TEXT(Call_Centre_Data[[#This Row],[Date of Call]],"DDDD")</f>
        <v>Friday</v>
      </c>
      <c r="J633" s="39" t="str" cm="1">
        <f t="array" ref="J633">_xlfn.IFS(Call_Centre_Data[[#This Row],[Duration]]&lt;=10,"Under 10 Mins", Call_Centre_Data[[#This Row],[Duration]]&lt;=30,"10-30 Mins",Call_Centre_Data[[#This Row],[Duration]]&lt;=60,"30-60 Mins",Call_Centre_Data[[#This Row],[Duration]]&lt;=120,"1-2 Hours",TRUE,"More than 2 Hours")</f>
        <v>30-60 Mins</v>
      </c>
      <c r="K633" s="91">
        <f>ROUND(Call_Centre_Data[[#This Row],[Satisfaction Rating]],0)</f>
        <v>2</v>
      </c>
    </row>
    <row r="634" spans="1:11" x14ac:dyDescent="0.35">
      <c r="A634" s="56" t="s">
        <v>1639</v>
      </c>
      <c r="B634" s="57" t="s">
        <v>996</v>
      </c>
      <c r="C634" s="87">
        <v>60</v>
      </c>
      <c r="D634" s="57" t="s">
        <v>999</v>
      </c>
      <c r="E634" s="58">
        <v>45128</v>
      </c>
      <c r="F634" s="57">
        <v>60</v>
      </c>
      <c r="G634" s="59">
        <v>2.2999999999999998</v>
      </c>
      <c r="H634" s="57">
        <f>IF(MONTH(Call_Centre_Data[[#This Row],[Date of Call]])&lt;=6,YEAR(Call_Centre_Data[[#This Row],[Date of Call]]),YEAR(Call_Centre_Data[[#This Row],[Date of Call]])+1)</f>
        <v>2024</v>
      </c>
      <c r="I634" s="39" t="str">
        <f>TEXT(Call_Centre_Data[[#This Row],[Date of Call]],"DDDD")</f>
        <v>Friday</v>
      </c>
      <c r="J634" s="39" t="str" cm="1">
        <f t="array" ref="J634">_xlfn.IFS(Call_Centre_Data[[#This Row],[Duration]]&lt;=10,"Under 10 Mins", Call_Centre_Data[[#This Row],[Duration]]&lt;=30,"10-30 Mins",Call_Centre_Data[[#This Row],[Duration]]&lt;=60,"30-60 Mins",Call_Centre_Data[[#This Row],[Duration]]&lt;=120,"1-2 Hours",TRUE,"More than 2 Hours")</f>
        <v>30-60 Mins</v>
      </c>
      <c r="K634" s="91">
        <f>ROUND(Call_Centre_Data[[#This Row],[Satisfaction Rating]],0)</f>
        <v>2</v>
      </c>
    </row>
    <row r="635" spans="1:11" x14ac:dyDescent="0.35">
      <c r="A635" s="56" t="s">
        <v>1640</v>
      </c>
      <c r="B635" s="57" t="s">
        <v>996</v>
      </c>
      <c r="C635" s="87">
        <v>144</v>
      </c>
      <c r="D635" s="57" t="s">
        <v>999</v>
      </c>
      <c r="E635" s="58">
        <v>45129</v>
      </c>
      <c r="F635" s="57">
        <v>102</v>
      </c>
      <c r="G635" s="59">
        <v>2.9</v>
      </c>
      <c r="H635" s="57">
        <f>IF(MONTH(Call_Centre_Data[[#This Row],[Date of Call]])&lt;=6,YEAR(Call_Centre_Data[[#This Row],[Date of Call]]),YEAR(Call_Centre_Data[[#This Row],[Date of Call]])+1)</f>
        <v>2024</v>
      </c>
      <c r="I635" s="39" t="str">
        <f>TEXT(Call_Centre_Data[[#This Row],[Date of Call]],"DDDD")</f>
        <v>Saturday</v>
      </c>
      <c r="J635" s="39" t="str" cm="1">
        <f t="array" ref="J635">_xlfn.IFS(Call_Centre_Data[[#This Row],[Duration]]&lt;=10,"Under 10 Mins", Call_Centre_Data[[#This Row],[Duration]]&lt;=30,"10-30 Mins",Call_Centre_Data[[#This Row],[Duration]]&lt;=60,"30-60 Mins",Call_Centre_Data[[#This Row],[Duration]]&lt;=120,"1-2 Hours",TRUE,"More than 2 Hours")</f>
        <v>More than 2 Hours</v>
      </c>
      <c r="K635" s="91">
        <f>ROUND(Call_Centre_Data[[#This Row],[Satisfaction Rating]],0)</f>
        <v>3</v>
      </c>
    </row>
    <row r="636" spans="1:11" x14ac:dyDescent="0.35">
      <c r="A636" s="56" t="s">
        <v>1641</v>
      </c>
      <c r="B636" s="57" t="s">
        <v>998</v>
      </c>
      <c r="C636" s="87">
        <v>67</v>
      </c>
      <c r="D636" s="57" t="s">
        <v>999</v>
      </c>
      <c r="E636" s="58">
        <v>45129</v>
      </c>
      <c r="F636" s="57">
        <v>38</v>
      </c>
      <c r="G636" s="59">
        <v>4.2</v>
      </c>
      <c r="H636" s="57">
        <f>IF(MONTH(Call_Centre_Data[[#This Row],[Date of Call]])&lt;=6,YEAR(Call_Centre_Data[[#This Row],[Date of Call]]),YEAR(Call_Centre_Data[[#This Row],[Date of Call]])+1)</f>
        <v>2024</v>
      </c>
      <c r="I636" s="39" t="str">
        <f>TEXT(Call_Centre_Data[[#This Row],[Date of Call]],"DDDD")</f>
        <v>Saturday</v>
      </c>
      <c r="J636" s="39" t="str" cm="1">
        <f t="array" ref="J636">_xlfn.IFS(Call_Centre_Data[[#This Row],[Duration]]&lt;=10,"Under 10 Mins", Call_Centre_Data[[#This Row],[Duration]]&lt;=30,"10-30 Mins",Call_Centre_Data[[#This Row],[Duration]]&lt;=60,"30-60 Mins",Call_Centre_Data[[#This Row],[Duration]]&lt;=120,"1-2 Hours",TRUE,"More than 2 Hours")</f>
        <v>1-2 Hours</v>
      </c>
      <c r="K636" s="91">
        <f>ROUND(Call_Centre_Data[[#This Row],[Satisfaction Rating]],0)</f>
        <v>4</v>
      </c>
    </row>
    <row r="637" spans="1:11" x14ac:dyDescent="0.35">
      <c r="A637" s="56" t="s">
        <v>1642</v>
      </c>
      <c r="B637" s="57" t="s">
        <v>1019</v>
      </c>
      <c r="C637" s="87">
        <v>162</v>
      </c>
      <c r="D637" s="57" t="s">
        <v>989</v>
      </c>
      <c r="E637" s="58">
        <v>45129</v>
      </c>
      <c r="F637" s="57">
        <v>82</v>
      </c>
      <c r="G637" s="59">
        <v>4.5999999999999996</v>
      </c>
      <c r="H637" s="57">
        <f>IF(MONTH(Call_Centre_Data[[#This Row],[Date of Call]])&lt;=6,YEAR(Call_Centre_Data[[#This Row],[Date of Call]]),YEAR(Call_Centre_Data[[#This Row],[Date of Call]])+1)</f>
        <v>2024</v>
      </c>
      <c r="I637" s="39" t="str">
        <f>TEXT(Call_Centre_Data[[#This Row],[Date of Call]],"DDDD")</f>
        <v>Saturday</v>
      </c>
      <c r="J637" s="39" t="str" cm="1">
        <f t="array" ref="J637">_xlfn.IFS(Call_Centre_Data[[#This Row],[Duration]]&lt;=10,"Under 10 Mins", Call_Centre_Data[[#This Row],[Duration]]&lt;=30,"10-30 Mins",Call_Centre_Data[[#This Row],[Duration]]&lt;=60,"30-60 Mins",Call_Centre_Data[[#This Row],[Duration]]&lt;=120,"1-2 Hours",TRUE,"More than 2 Hours")</f>
        <v>More than 2 Hours</v>
      </c>
      <c r="K637" s="91">
        <f>ROUND(Call_Centre_Data[[#This Row],[Satisfaction Rating]],0)</f>
        <v>5</v>
      </c>
    </row>
    <row r="638" spans="1:11" x14ac:dyDescent="0.35">
      <c r="A638" s="56" t="s">
        <v>1643</v>
      </c>
      <c r="B638" s="57" t="s">
        <v>996</v>
      </c>
      <c r="C638" s="87">
        <v>87</v>
      </c>
      <c r="D638" s="57" t="s">
        <v>994</v>
      </c>
      <c r="E638" s="58">
        <v>45132</v>
      </c>
      <c r="F638" s="57">
        <v>125</v>
      </c>
      <c r="G638" s="59">
        <v>4.5</v>
      </c>
      <c r="H638" s="57">
        <f>IF(MONTH(Call_Centre_Data[[#This Row],[Date of Call]])&lt;=6,YEAR(Call_Centre_Data[[#This Row],[Date of Call]]),YEAR(Call_Centre_Data[[#This Row],[Date of Call]])+1)</f>
        <v>2024</v>
      </c>
      <c r="I638" s="39" t="str">
        <f>TEXT(Call_Centre_Data[[#This Row],[Date of Call]],"DDDD")</f>
        <v>Tuesday</v>
      </c>
      <c r="J638" s="39" t="str" cm="1">
        <f t="array" ref="J638">_xlfn.IFS(Call_Centre_Data[[#This Row],[Duration]]&lt;=10,"Under 10 Mins", Call_Centre_Data[[#This Row],[Duration]]&lt;=30,"10-30 Mins",Call_Centre_Data[[#This Row],[Duration]]&lt;=60,"30-60 Mins",Call_Centre_Data[[#This Row],[Duration]]&lt;=120,"1-2 Hours",TRUE,"More than 2 Hours")</f>
        <v>1-2 Hours</v>
      </c>
      <c r="K638" s="91">
        <f>ROUND(Call_Centre_Data[[#This Row],[Satisfaction Rating]],0)</f>
        <v>5</v>
      </c>
    </row>
    <row r="639" spans="1:11" x14ac:dyDescent="0.35">
      <c r="A639" s="56" t="s">
        <v>1644</v>
      </c>
      <c r="B639" s="57" t="s">
        <v>1027</v>
      </c>
      <c r="C639" s="87">
        <v>10</v>
      </c>
      <c r="D639" s="57" t="s">
        <v>1008</v>
      </c>
      <c r="E639" s="58">
        <v>45133</v>
      </c>
      <c r="F639" s="57">
        <v>72</v>
      </c>
      <c r="G639" s="59">
        <v>3.7</v>
      </c>
      <c r="H639" s="57">
        <f>IF(MONTH(Call_Centre_Data[[#This Row],[Date of Call]])&lt;=6,YEAR(Call_Centre_Data[[#This Row],[Date of Call]]),YEAR(Call_Centre_Data[[#This Row],[Date of Call]])+1)</f>
        <v>2024</v>
      </c>
      <c r="I639" s="39" t="str">
        <f>TEXT(Call_Centre_Data[[#This Row],[Date of Call]],"DDDD")</f>
        <v>Wednesday</v>
      </c>
      <c r="J639" s="39" t="str" cm="1">
        <f t="array" ref="J639">_xlfn.IFS(Call_Centre_Data[[#This Row],[Duration]]&lt;=10,"Under 10 Mins", Call_Centre_Data[[#This Row],[Duration]]&lt;=30,"10-30 Mins",Call_Centre_Data[[#This Row],[Duration]]&lt;=60,"30-60 Mins",Call_Centre_Data[[#This Row],[Duration]]&lt;=120,"1-2 Hours",TRUE,"More than 2 Hours")</f>
        <v>Under 10 Mins</v>
      </c>
      <c r="K639" s="91">
        <f>ROUND(Call_Centre_Data[[#This Row],[Satisfaction Rating]],0)</f>
        <v>4</v>
      </c>
    </row>
    <row r="640" spans="1:11" x14ac:dyDescent="0.35">
      <c r="A640" s="56" t="s">
        <v>1645</v>
      </c>
      <c r="B640" s="57" t="s">
        <v>991</v>
      </c>
      <c r="C640" s="87">
        <v>138</v>
      </c>
      <c r="D640" s="57" t="s">
        <v>1008</v>
      </c>
      <c r="E640" s="58">
        <v>45133</v>
      </c>
      <c r="F640" s="57">
        <v>195</v>
      </c>
      <c r="G640" s="59">
        <v>4.0999999999999996</v>
      </c>
      <c r="H640" s="57">
        <f>IF(MONTH(Call_Centre_Data[[#This Row],[Date of Call]])&lt;=6,YEAR(Call_Centre_Data[[#This Row],[Date of Call]]),YEAR(Call_Centre_Data[[#This Row],[Date of Call]])+1)</f>
        <v>2024</v>
      </c>
      <c r="I640" s="39" t="str">
        <f>TEXT(Call_Centre_Data[[#This Row],[Date of Call]],"DDDD")</f>
        <v>Wednesday</v>
      </c>
      <c r="J640" s="39" t="str" cm="1">
        <f t="array" ref="J640">_xlfn.IFS(Call_Centre_Data[[#This Row],[Duration]]&lt;=10,"Under 10 Mins", Call_Centre_Data[[#This Row],[Duration]]&lt;=30,"10-30 Mins",Call_Centre_Data[[#This Row],[Duration]]&lt;=60,"30-60 Mins",Call_Centre_Data[[#This Row],[Duration]]&lt;=120,"1-2 Hours",TRUE,"More than 2 Hours")</f>
        <v>More than 2 Hours</v>
      </c>
      <c r="K640" s="91">
        <f>ROUND(Call_Centre_Data[[#This Row],[Satisfaction Rating]],0)</f>
        <v>4</v>
      </c>
    </row>
    <row r="641" spans="1:11" x14ac:dyDescent="0.35">
      <c r="A641" s="56" t="s">
        <v>1646</v>
      </c>
      <c r="B641" s="57" t="s">
        <v>1019</v>
      </c>
      <c r="C641" s="87">
        <v>31</v>
      </c>
      <c r="D641" s="57" t="s">
        <v>1008</v>
      </c>
      <c r="E641" s="58">
        <v>45134</v>
      </c>
      <c r="F641" s="57">
        <v>160</v>
      </c>
      <c r="G641" s="59">
        <v>3.4</v>
      </c>
      <c r="H641" s="57">
        <f>IF(MONTH(Call_Centre_Data[[#This Row],[Date of Call]])&lt;=6,YEAR(Call_Centre_Data[[#This Row],[Date of Call]]),YEAR(Call_Centre_Data[[#This Row],[Date of Call]])+1)</f>
        <v>2024</v>
      </c>
      <c r="I641" s="39" t="str">
        <f>TEXT(Call_Centre_Data[[#This Row],[Date of Call]],"DDDD")</f>
        <v>Thursday</v>
      </c>
      <c r="J641" s="39" t="str" cm="1">
        <f t="array" ref="J641">_xlfn.IFS(Call_Centre_Data[[#This Row],[Duration]]&lt;=10,"Under 10 Mins", Call_Centre_Data[[#This Row],[Duration]]&lt;=30,"10-30 Mins",Call_Centre_Data[[#This Row],[Duration]]&lt;=60,"30-60 Mins",Call_Centre_Data[[#This Row],[Duration]]&lt;=120,"1-2 Hours",TRUE,"More than 2 Hours")</f>
        <v>30-60 Mins</v>
      </c>
      <c r="K641" s="91">
        <f>ROUND(Call_Centre_Data[[#This Row],[Satisfaction Rating]],0)</f>
        <v>3</v>
      </c>
    </row>
    <row r="642" spans="1:11" x14ac:dyDescent="0.35">
      <c r="A642" s="56" t="s">
        <v>1647</v>
      </c>
      <c r="B642" s="57" t="s">
        <v>1030</v>
      </c>
      <c r="C642" s="87">
        <v>75</v>
      </c>
      <c r="D642" s="57" t="s">
        <v>989</v>
      </c>
      <c r="E642" s="58">
        <v>45134</v>
      </c>
      <c r="F642" s="57">
        <v>78</v>
      </c>
      <c r="G642" s="59">
        <v>3.3</v>
      </c>
      <c r="H642" s="57">
        <f>IF(MONTH(Call_Centre_Data[[#This Row],[Date of Call]])&lt;=6,YEAR(Call_Centre_Data[[#This Row],[Date of Call]]),YEAR(Call_Centre_Data[[#This Row],[Date of Call]])+1)</f>
        <v>2024</v>
      </c>
      <c r="I642" s="39" t="str">
        <f>TEXT(Call_Centre_Data[[#This Row],[Date of Call]],"DDDD")</f>
        <v>Thursday</v>
      </c>
      <c r="J642" s="39" t="str" cm="1">
        <f t="array" ref="J642">_xlfn.IFS(Call_Centre_Data[[#This Row],[Duration]]&lt;=10,"Under 10 Mins", Call_Centre_Data[[#This Row],[Duration]]&lt;=30,"10-30 Mins",Call_Centre_Data[[#This Row],[Duration]]&lt;=60,"30-60 Mins",Call_Centre_Data[[#This Row],[Duration]]&lt;=120,"1-2 Hours",TRUE,"More than 2 Hours")</f>
        <v>1-2 Hours</v>
      </c>
      <c r="K642" s="91">
        <f>ROUND(Call_Centre_Data[[#This Row],[Satisfaction Rating]],0)</f>
        <v>3</v>
      </c>
    </row>
    <row r="643" spans="1:11" x14ac:dyDescent="0.35">
      <c r="A643" s="56" t="s">
        <v>1648</v>
      </c>
      <c r="B643" s="57" t="s">
        <v>988</v>
      </c>
      <c r="C643" s="87">
        <v>65</v>
      </c>
      <c r="D643" s="57" t="s">
        <v>989</v>
      </c>
      <c r="E643" s="58">
        <v>45135</v>
      </c>
      <c r="F643" s="57">
        <v>70</v>
      </c>
      <c r="G643" s="59">
        <v>4.4000000000000004</v>
      </c>
      <c r="H643" s="57">
        <f>IF(MONTH(Call_Centre_Data[[#This Row],[Date of Call]])&lt;=6,YEAR(Call_Centre_Data[[#This Row],[Date of Call]]),YEAR(Call_Centre_Data[[#This Row],[Date of Call]])+1)</f>
        <v>2024</v>
      </c>
      <c r="I643" s="39" t="str">
        <f>TEXT(Call_Centre_Data[[#This Row],[Date of Call]],"DDDD")</f>
        <v>Friday</v>
      </c>
      <c r="J643" s="39" t="str" cm="1">
        <f t="array" ref="J643">_xlfn.IFS(Call_Centre_Data[[#This Row],[Duration]]&lt;=10,"Under 10 Mins", Call_Centre_Data[[#This Row],[Duration]]&lt;=30,"10-30 Mins",Call_Centre_Data[[#This Row],[Duration]]&lt;=60,"30-60 Mins",Call_Centre_Data[[#This Row],[Duration]]&lt;=120,"1-2 Hours",TRUE,"More than 2 Hours")</f>
        <v>1-2 Hours</v>
      </c>
      <c r="K643" s="91">
        <f>ROUND(Call_Centre_Data[[#This Row],[Satisfaction Rating]],0)</f>
        <v>4</v>
      </c>
    </row>
    <row r="644" spans="1:11" x14ac:dyDescent="0.35">
      <c r="A644" s="56" t="s">
        <v>1649</v>
      </c>
      <c r="B644" s="57" t="s">
        <v>993</v>
      </c>
      <c r="C644" s="87">
        <v>106</v>
      </c>
      <c r="D644" s="57" t="s">
        <v>1004</v>
      </c>
      <c r="E644" s="58">
        <v>45135</v>
      </c>
      <c r="F644" s="57">
        <v>105</v>
      </c>
      <c r="G644" s="59">
        <v>4.2</v>
      </c>
      <c r="H644" s="57">
        <f>IF(MONTH(Call_Centre_Data[[#This Row],[Date of Call]])&lt;=6,YEAR(Call_Centre_Data[[#This Row],[Date of Call]]),YEAR(Call_Centre_Data[[#This Row],[Date of Call]])+1)</f>
        <v>2024</v>
      </c>
      <c r="I644" s="39" t="str">
        <f>TEXT(Call_Centre_Data[[#This Row],[Date of Call]],"DDDD")</f>
        <v>Friday</v>
      </c>
      <c r="J644" s="39" t="str" cm="1">
        <f t="array" ref="J644">_xlfn.IFS(Call_Centre_Data[[#This Row],[Duration]]&lt;=10,"Under 10 Mins", Call_Centre_Data[[#This Row],[Duration]]&lt;=30,"10-30 Mins",Call_Centre_Data[[#This Row],[Duration]]&lt;=60,"30-60 Mins",Call_Centre_Data[[#This Row],[Duration]]&lt;=120,"1-2 Hours",TRUE,"More than 2 Hours")</f>
        <v>1-2 Hours</v>
      </c>
      <c r="K644" s="91">
        <f>ROUND(Call_Centre_Data[[#This Row],[Satisfaction Rating]],0)</f>
        <v>4</v>
      </c>
    </row>
    <row r="645" spans="1:11" x14ac:dyDescent="0.35">
      <c r="A645" s="56" t="s">
        <v>1650</v>
      </c>
      <c r="B645" s="57" t="s">
        <v>988</v>
      </c>
      <c r="C645" s="87">
        <v>107</v>
      </c>
      <c r="D645" s="57" t="s">
        <v>1004</v>
      </c>
      <c r="E645" s="58">
        <v>45136</v>
      </c>
      <c r="F645" s="57">
        <v>78</v>
      </c>
      <c r="G645" s="59">
        <v>3.4</v>
      </c>
      <c r="H645" s="57">
        <f>IF(MONTH(Call_Centre_Data[[#This Row],[Date of Call]])&lt;=6,YEAR(Call_Centre_Data[[#This Row],[Date of Call]]),YEAR(Call_Centre_Data[[#This Row],[Date of Call]])+1)</f>
        <v>2024</v>
      </c>
      <c r="I645" s="39" t="str">
        <f>TEXT(Call_Centre_Data[[#This Row],[Date of Call]],"DDDD")</f>
        <v>Saturday</v>
      </c>
      <c r="J645" s="39" t="str" cm="1">
        <f t="array" ref="J645">_xlfn.IFS(Call_Centre_Data[[#This Row],[Duration]]&lt;=10,"Under 10 Mins", Call_Centre_Data[[#This Row],[Duration]]&lt;=30,"10-30 Mins",Call_Centre_Data[[#This Row],[Duration]]&lt;=60,"30-60 Mins",Call_Centre_Data[[#This Row],[Duration]]&lt;=120,"1-2 Hours",TRUE,"More than 2 Hours")</f>
        <v>1-2 Hours</v>
      </c>
      <c r="K645" s="91">
        <f>ROUND(Call_Centre_Data[[#This Row],[Satisfaction Rating]],0)</f>
        <v>3</v>
      </c>
    </row>
    <row r="646" spans="1:11" x14ac:dyDescent="0.35">
      <c r="A646" s="56" t="s">
        <v>1651</v>
      </c>
      <c r="B646" s="57" t="s">
        <v>1040</v>
      </c>
      <c r="C646" s="87">
        <v>78</v>
      </c>
      <c r="D646" s="57" t="s">
        <v>1004</v>
      </c>
      <c r="E646" s="58">
        <v>45138</v>
      </c>
      <c r="F646" s="57">
        <v>205</v>
      </c>
      <c r="G646" s="59">
        <v>4.4000000000000004</v>
      </c>
      <c r="H646" s="57">
        <f>IF(MONTH(Call_Centre_Data[[#This Row],[Date of Call]])&lt;=6,YEAR(Call_Centre_Data[[#This Row],[Date of Call]]),YEAR(Call_Centre_Data[[#This Row],[Date of Call]])+1)</f>
        <v>2024</v>
      </c>
      <c r="I646" s="39" t="str">
        <f>TEXT(Call_Centre_Data[[#This Row],[Date of Call]],"DDDD")</f>
        <v>Monday</v>
      </c>
      <c r="J646" s="39" t="str" cm="1">
        <f t="array" ref="J646">_xlfn.IFS(Call_Centre_Data[[#This Row],[Duration]]&lt;=10,"Under 10 Mins", Call_Centre_Data[[#This Row],[Duration]]&lt;=30,"10-30 Mins",Call_Centre_Data[[#This Row],[Duration]]&lt;=60,"30-60 Mins",Call_Centre_Data[[#This Row],[Duration]]&lt;=120,"1-2 Hours",TRUE,"More than 2 Hours")</f>
        <v>1-2 Hours</v>
      </c>
      <c r="K646" s="91">
        <f>ROUND(Call_Centre_Data[[#This Row],[Satisfaction Rating]],0)</f>
        <v>4</v>
      </c>
    </row>
    <row r="647" spans="1:11" x14ac:dyDescent="0.35">
      <c r="A647" s="56" t="s">
        <v>1652</v>
      </c>
      <c r="B647" s="57" t="s">
        <v>1013</v>
      </c>
      <c r="C647" s="87">
        <v>122</v>
      </c>
      <c r="D647" s="57" t="s">
        <v>1004</v>
      </c>
      <c r="E647" s="58">
        <v>45138</v>
      </c>
      <c r="F647" s="57">
        <v>78</v>
      </c>
      <c r="G647" s="59">
        <v>2.7</v>
      </c>
      <c r="H647" s="57">
        <f>IF(MONTH(Call_Centre_Data[[#This Row],[Date of Call]])&lt;=6,YEAR(Call_Centre_Data[[#This Row],[Date of Call]]),YEAR(Call_Centre_Data[[#This Row],[Date of Call]])+1)</f>
        <v>2024</v>
      </c>
      <c r="I647" s="39" t="str">
        <f>TEXT(Call_Centre_Data[[#This Row],[Date of Call]],"DDDD")</f>
        <v>Monday</v>
      </c>
      <c r="J647" s="39" t="str" cm="1">
        <f t="array" ref="J647">_xlfn.IFS(Call_Centre_Data[[#This Row],[Duration]]&lt;=10,"Under 10 Mins", Call_Centre_Data[[#This Row],[Duration]]&lt;=30,"10-30 Mins",Call_Centre_Data[[#This Row],[Duration]]&lt;=60,"30-60 Mins",Call_Centre_Data[[#This Row],[Duration]]&lt;=120,"1-2 Hours",TRUE,"More than 2 Hours")</f>
        <v>More than 2 Hours</v>
      </c>
      <c r="K647" s="91">
        <f>ROUND(Call_Centre_Data[[#This Row],[Satisfaction Rating]],0)</f>
        <v>3</v>
      </c>
    </row>
    <row r="648" spans="1:11" x14ac:dyDescent="0.35">
      <c r="A648" s="56" t="s">
        <v>1653</v>
      </c>
      <c r="B648" s="57" t="s">
        <v>991</v>
      </c>
      <c r="C648" s="87">
        <v>58</v>
      </c>
      <c r="D648" s="57" t="s">
        <v>1008</v>
      </c>
      <c r="E648" s="58">
        <v>45138</v>
      </c>
      <c r="F648" s="57">
        <v>38</v>
      </c>
      <c r="G648" s="59">
        <v>4.5</v>
      </c>
      <c r="H648" s="57">
        <f>IF(MONTH(Call_Centre_Data[[#This Row],[Date of Call]])&lt;=6,YEAR(Call_Centre_Data[[#This Row],[Date of Call]]),YEAR(Call_Centre_Data[[#This Row],[Date of Call]])+1)</f>
        <v>2024</v>
      </c>
      <c r="I648" s="39" t="str">
        <f>TEXT(Call_Centre_Data[[#This Row],[Date of Call]],"DDDD")</f>
        <v>Monday</v>
      </c>
      <c r="J648" s="39" t="str" cm="1">
        <f t="array" ref="J648">_xlfn.IFS(Call_Centre_Data[[#This Row],[Duration]]&lt;=10,"Under 10 Mins", Call_Centre_Data[[#This Row],[Duration]]&lt;=30,"10-30 Mins",Call_Centre_Data[[#This Row],[Duration]]&lt;=60,"30-60 Mins",Call_Centre_Data[[#This Row],[Duration]]&lt;=120,"1-2 Hours",TRUE,"More than 2 Hours")</f>
        <v>30-60 Mins</v>
      </c>
      <c r="K648" s="91">
        <f>ROUND(Call_Centre_Data[[#This Row],[Satisfaction Rating]],0)</f>
        <v>5</v>
      </c>
    </row>
    <row r="649" spans="1:11" x14ac:dyDescent="0.35">
      <c r="A649" s="56" t="s">
        <v>1654</v>
      </c>
      <c r="B649" s="57" t="s">
        <v>1040</v>
      </c>
      <c r="C649" s="87">
        <v>33</v>
      </c>
      <c r="D649" s="57" t="s">
        <v>999</v>
      </c>
      <c r="E649" s="58">
        <v>45138</v>
      </c>
      <c r="F649" s="57">
        <v>92</v>
      </c>
      <c r="G649" s="59">
        <v>1.7</v>
      </c>
      <c r="H649" s="57">
        <f>IF(MONTH(Call_Centre_Data[[#This Row],[Date of Call]])&lt;=6,YEAR(Call_Centre_Data[[#This Row],[Date of Call]]),YEAR(Call_Centre_Data[[#This Row],[Date of Call]])+1)</f>
        <v>2024</v>
      </c>
      <c r="I649" s="39" t="str">
        <f>TEXT(Call_Centre_Data[[#This Row],[Date of Call]],"DDDD")</f>
        <v>Monday</v>
      </c>
      <c r="J649" s="39" t="str" cm="1">
        <f t="array" ref="J649">_xlfn.IFS(Call_Centre_Data[[#This Row],[Duration]]&lt;=10,"Under 10 Mins", Call_Centre_Data[[#This Row],[Duration]]&lt;=30,"10-30 Mins",Call_Centre_Data[[#This Row],[Duration]]&lt;=60,"30-60 Mins",Call_Centre_Data[[#This Row],[Duration]]&lt;=120,"1-2 Hours",TRUE,"More than 2 Hours")</f>
        <v>30-60 Mins</v>
      </c>
      <c r="K649" s="91">
        <f>ROUND(Call_Centre_Data[[#This Row],[Satisfaction Rating]],0)</f>
        <v>2</v>
      </c>
    </row>
    <row r="650" spans="1:11" x14ac:dyDescent="0.35">
      <c r="A650" s="56" t="s">
        <v>1655</v>
      </c>
      <c r="B650" s="57" t="s">
        <v>1060</v>
      </c>
      <c r="C650" s="87">
        <v>164</v>
      </c>
      <c r="D650" s="57" t="s">
        <v>989</v>
      </c>
      <c r="E650" s="58">
        <v>45138</v>
      </c>
      <c r="F650" s="57">
        <v>36</v>
      </c>
      <c r="G650" s="59">
        <v>4.7</v>
      </c>
      <c r="H650" s="57">
        <f>IF(MONTH(Call_Centre_Data[[#This Row],[Date of Call]])&lt;=6,YEAR(Call_Centre_Data[[#This Row],[Date of Call]]),YEAR(Call_Centre_Data[[#This Row],[Date of Call]])+1)</f>
        <v>2024</v>
      </c>
      <c r="I650" s="39" t="str">
        <f>TEXT(Call_Centre_Data[[#This Row],[Date of Call]],"DDDD")</f>
        <v>Monday</v>
      </c>
      <c r="J650" s="39" t="str" cm="1">
        <f t="array" ref="J650">_xlfn.IFS(Call_Centre_Data[[#This Row],[Duration]]&lt;=10,"Under 10 Mins", Call_Centre_Data[[#This Row],[Duration]]&lt;=30,"10-30 Mins",Call_Centre_Data[[#This Row],[Duration]]&lt;=60,"30-60 Mins",Call_Centre_Data[[#This Row],[Duration]]&lt;=120,"1-2 Hours",TRUE,"More than 2 Hours")</f>
        <v>More than 2 Hours</v>
      </c>
      <c r="K650" s="91">
        <f>ROUND(Call_Centre_Data[[#This Row],[Satisfaction Rating]],0)</f>
        <v>5</v>
      </c>
    </row>
    <row r="651" spans="1:11" x14ac:dyDescent="0.35">
      <c r="A651" s="56" t="s">
        <v>1656</v>
      </c>
      <c r="B651" s="57" t="s">
        <v>1030</v>
      </c>
      <c r="C651" s="87">
        <v>163</v>
      </c>
      <c r="D651" s="57" t="s">
        <v>994</v>
      </c>
      <c r="E651" s="58">
        <v>45138</v>
      </c>
      <c r="F651" s="57">
        <v>76</v>
      </c>
      <c r="G651" s="59">
        <v>4.4000000000000004</v>
      </c>
      <c r="H651" s="57">
        <f>IF(MONTH(Call_Centre_Data[[#This Row],[Date of Call]])&lt;=6,YEAR(Call_Centre_Data[[#This Row],[Date of Call]]),YEAR(Call_Centre_Data[[#This Row],[Date of Call]])+1)</f>
        <v>2024</v>
      </c>
      <c r="I651" s="39" t="str">
        <f>TEXT(Call_Centre_Data[[#This Row],[Date of Call]],"DDDD")</f>
        <v>Monday</v>
      </c>
      <c r="J651" s="39" t="str" cm="1">
        <f t="array" ref="J651">_xlfn.IFS(Call_Centre_Data[[#This Row],[Duration]]&lt;=10,"Under 10 Mins", Call_Centre_Data[[#This Row],[Duration]]&lt;=30,"10-30 Mins",Call_Centre_Data[[#This Row],[Duration]]&lt;=60,"30-60 Mins",Call_Centre_Data[[#This Row],[Duration]]&lt;=120,"1-2 Hours",TRUE,"More than 2 Hours")</f>
        <v>More than 2 Hours</v>
      </c>
      <c r="K651" s="91">
        <f>ROUND(Call_Centre_Data[[#This Row],[Satisfaction Rating]],0)</f>
        <v>4</v>
      </c>
    </row>
    <row r="652" spans="1:11" x14ac:dyDescent="0.35">
      <c r="A652" s="56" t="s">
        <v>1657</v>
      </c>
      <c r="B652" s="57" t="s">
        <v>1002</v>
      </c>
      <c r="C652" s="87">
        <v>71</v>
      </c>
      <c r="D652" s="57" t="s">
        <v>989</v>
      </c>
      <c r="E652" s="58">
        <v>45140</v>
      </c>
      <c r="F652" s="57">
        <v>170</v>
      </c>
      <c r="G652" s="59">
        <v>3.5</v>
      </c>
      <c r="H652" s="57">
        <f>IF(MONTH(Call_Centre_Data[[#This Row],[Date of Call]])&lt;=6,YEAR(Call_Centre_Data[[#This Row],[Date of Call]]),YEAR(Call_Centre_Data[[#This Row],[Date of Call]])+1)</f>
        <v>2024</v>
      </c>
      <c r="I652" s="39" t="str">
        <f>TEXT(Call_Centre_Data[[#This Row],[Date of Call]],"DDDD")</f>
        <v>Wednesday</v>
      </c>
      <c r="J652" s="39" t="str" cm="1">
        <f t="array" ref="J652">_xlfn.IFS(Call_Centre_Data[[#This Row],[Duration]]&lt;=10,"Under 10 Mins", Call_Centre_Data[[#This Row],[Duration]]&lt;=30,"10-30 Mins",Call_Centre_Data[[#This Row],[Duration]]&lt;=60,"30-60 Mins",Call_Centre_Data[[#This Row],[Duration]]&lt;=120,"1-2 Hours",TRUE,"More than 2 Hours")</f>
        <v>1-2 Hours</v>
      </c>
      <c r="K652" s="91">
        <f>ROUND(Call_Centre_Data[[#This Row],[Satisfaction Rating]],0)</f>
        <v>4</v>
      </c>
    </row>
    <row r="653" spans="1:11" x14ac:dyDescent="0.35">
      <c r="A653" s="56" t="s">
        <v>1658</v>
      </c>
      <c r="B653" s="57" t="s">
        <v>1040</v>
      </c>
      <c r="C653" s="87">
        <v>103</v>
      </c>
      <c r="D653" s="57" t="s">
        <v>1008</v>
      </c>
      <c r="E653" s="58">
        <v>45141</v>
      </c>
      <c r="F653" s="57">
        <v>117</v>
      </c>
      <c r="G653" s="59">
        <v>4.7</v>
      </c>
      <c r="H653" s="57">
        <f>IF(MONTH(Call_Centre_Data[[#This Row],[Date of Call]])&lt;=6,YEAR(Call_Centre_Data[[#This Row],[Date of Call]]),YEAR(Call_Centre_Data[[#This Row],[Date of Call]])+1)</f>
        <v>2024</v>
      </c>
      <c r="I653" s="39" t="str">
        <f>TEXT(Call_Centre_Data[[#This Row],[Date of Call]],"DDDD")</f>
        <v>Thursday</v>
      </c>
      <c r="J653" s="39" t="str" cm="1">
        <f t="array" ref="J653">_xlfn.IFS(Call_Centre_Data[[#This Row],[Duration]]&lt;=10,"Under 10 Mins", Call_Centre_Data[[#This Row],[Duration]]&lt;=30,"10-30 Mins",Call_Centre_Data[[#This Row],[Duration]]&lt;=60,"30-60 Mins",Call_Centre_Data[[#This Row],[Duration]]&lt;=120,"1-2 Hours",TRUE,"More than 2 Hours")</f>
        <v>1-2 Hours</v>
      </c>
      <c r="K653" s="91">
        <f>ROUND(Call_Centre_Data[[#This Row],[Satisfaction Rating]],0)</f>
        <v>5</v>
      </c>
    </row>
    <row r="654" spans="1:11" x14ac:dyDescent="0.35">
      <c r="A654" s="56" t="s">
        <v>1659</v>
      </c>
      <c r="B654" s="57" t="s">
        <v>1022</v>
      </c>
      <c r="C654" s="87">
        <v>69</v>
      </c>
      <c r="D654" s="57" t="s">
        <v>994</v>
      </c>
      <c r="E654" s="58">
        <v>45141</v>
      </c>
      <c r="F654" s="57">
        <v>20</v>
      </c>
      <c r="G654" s="59">
        <v>4.3</v>
      </c>
      <c r="H654" s="57">
        <f>IF(MONTH(Call_Centre_Data[[#This Row],[Date of Call]])&lt;=6,YEAR(Call_Centre_Data[[#This Row],[Date of Call]]),YEAR(Call_Centre_Data[[#This Row],[Date of Call]])+1)</f>
        <v>2024</v>
      </c>
      <c r="I654" s="39" t="str">
        <f>TEXT(Call_Centre_Data[[#This Row],[Date of Call]],"DDDD")</f>
        <v>Thursday</v>
      </c>
      <c r="J654" s="39" t="str" cm="1">
        <f t="array" ref="J654">_xlfn.IFS(Call_Centre_Data[[#This Row],[Duration]]&lt;=10,"Under 10 Mins", Call_Centre_Data[[#This Row],[Duration]]&lt;=30,"10-30 Mins",Call_Centre_Data[[#This Row],[Duration]]&lt;=60,"30-60 Mins",Call_Centre_Data[[#This Row],[Duration]]&lt;=120,"1-2 Hours",TRUE,"More than 2 Hours")</f>
        <v>1-2 Hours</v>
      </c>
      <c r="K654" s="91">
        <f>ROUND(Call_Centre_Data[[#This Row],[Satisfaction Rating]],0)</f>
        <v>4</v>
      </c>
    </row>
    <row r="655" spans="1:11" x14ac:dyDescent="0.35">
      <c r="A655" s="56" t="s">
        <v>1660</v>
      </c>
      <c r="B655" s="57" t="s">
        <v>1030</v>
      </c>
      <c r="C655" s="87">
        <v>111</v>
      </c>
      <c r="D655" s="57" t="s">
        <v>1008</v>
      </c>
      <c r="E655" s="58">
        <v>45141</v>
      </c>
      <c r="F655" s="57">
        <v>99</v>
      </c>
      <c r="G655" s="59">
        <v>4.0999999999999996</v>
      </c>
      <c r="H655" s="57">
        <f>IF(MONTH(Call_Centre_Data[[#This Row],[Date of Call]])&lt;=6,YEAR(Call_Centre_Data[[#This Row],[Date of Call]]),YEAR(Call_Centre_Data[[#This Row],[Date of Call]])+1)</f>
        <v>2024</v>
      </c>
      <c r="I655" s="39" t="str">
        <f>TEXT(Call_Centre_Data[[#This Row],[Date of Call]],"DDDD")</f>
        <v>Thursday</v>
      </c>
      <c r="J655" s="39" t="str" cm="1">
        <f t="array" ref="J655">_xlfn.IFS(Call_Centre_Data[[#This Row],[Duration]]&lt;=10,"Under 10 Mins", Call_Centre_Data[[#This Row],[Duration]]&lt;=30,"10-30 Mins",Call_Centre_Data[[#This Row],[Duration]]&lt;=60,"30-60 Mins",Call_Centre_Data[[#This Row],[Duration]]&lt;=120,"1-2 Hours",TRUE,"More than 2 Hours")</f>
        <v>1-2 Hours</v>
      </c>
      <c r="K655" s="91">
        <f>ROUND(Call_Centre_Data[[#This Row],[Satisfaction Rating]],0)</f>
        <v>4</v>
      </c>
    </row>
    <row r="656" spans="1:11" x14ac:dyDescent="0.35">
      <c r="A656" s="56" t="s">
        <v>1661</v>
      </c>
      <c r="B656" s="57" t="s">
        <v>1007</v>
      </c>
      <c r="C656" s="87">
        <v>97</v>
      </c>
      <c r="D656" s="57" t="s">
        <v>994</v>
      </c>
      <c r="E656" s="58">
        <v>45142</v>
      </c>
      <c r="F656" s="57">
        <v>105</v>
      </c>
      <c r="G656" s="59">
        <v>2.9</v>
      </c>
      <c r="H656" s="57">
        <f>IF(MONTH(Call_Centre_Data[[#This Row],[Date of Call]])&lt;=6,YEAR(Call_Centre_Data[[#This Row],[Date of Call]]),YEAR(Call_Centre_Data[[#This Row],[Date of Call]])+1)</f>
        <v>2024</v>
      </c>
      <c r="I656" s="39" t="str">
        <f>TEXT(Call_Centre_Data[[#This Row],[Date of Call]],"DDDD")</f>
        <v>Friday</v>
      </c>
      <c r="J656" s="39" t="str" cm="1">
        <f t="array" ref="J656">_xlfn.IFS(Call_Centre_Data[[#This Row],[Duration]]&lt;=10,"Under 10 Mins", Call_Centre_Data[[#This Row],[Duration]]&lt;=30,"10-30 Mins",Call_Centre_Data[[#This Row],[Duration]]&lt;=60,"30-60 Mins",Call_Centre_Data[[#This Row],[Duration]]&lt;=120,"1-2 Hours",TRUE,"More than 2 Hours")</f>
        <v>1-2 Hours</v>
      </c>
      <c r="K656" s="91">
        <f>ROUND(Call_Centre_Data[[#This Row],[Satisfaction Rating]],0)</f>
        <v>3</v>
      </c>
    </row>
    <row r="657" spans="1:11" x14ac:dyDescent="0.35">
      <c r="A657" s="56" t="s">
        <v>1662</v>
      </c>
      <c r="B657" s="57" t="s">
        <v>1011</v>
      </c>
      <c r="C657" s="87">
        <v>144</v>
      </c>
      <c r="D657" s="57" t="s">
        <v>1004</v>
      </c>
      <c r="E657" s="58">
        <v>45142</v>
      </c>
      <c r="F657" s="57">
        <v>195</v>
      </c>
      <c r="G657" s="59">
        <v>3.4</v>
      </c>
      <c r="H657" s="57">
        <f>IF(MONTH(Call_Centre_Data[[#This Row],[Date of Call]])&lt;=6,YEAR(Call_Centre_Data[[#This Row],[Date of Call]]),YEAR(Call_Centre_Data[[#This Row],[Date of Call]])+1)</f>
        <v>2024</v>
      </c>
      <c r="I657" s="39" t="str">
        <f>TEXT(Call_Centre_Data[[#This Row],[Date of Call]],"DDDD")</f>
        <v>Friday</v>
      </c>
      <c r="J657" s="39" t="str" cm="1">
        <f t="array" ref="J657">_xlfn.IFS(Call_Centre_Data[[#This Row],[Duration]]&lt;=10,"Under 10 Mins", Call_Centre_Data[[#This Row],[Duration]]&lt;=30,"10-30 Mins",Call_Centre_Data[[#This Row],[Duration]]&lt;=60,"30-60 Mins",Call_Centre_Data[[#This Row],[Duration]]&lt;=120,"1-2 Hours",TRUE,"More than 2 Hours")</f>
        <v>More than 2 Hours</v>
      </c>
      <c r="K657" s="91">
        <f>ROUND(Call_Centre_Data[[#This Row],[Satisfaction Rating]],0)</f>
        <v>3</v>
      </c>
    </row>
    <row r="658" spans="1:11" x14ac:dyDescent="0.35">
      <c r="A658" s="56" t="s">
        <v>1663</v>
      </c>
      <c r="B658" s="57" t="s">
        <v>993</v>
      </c>
      <c r="C658" s="87">
        <v>56</v>
      </c>
      <c r="D658" s="57" t="s">
        <v>994</v>
      </c>
      <c r="E658" s="58">
        <v>45143</v>
      </c>
      <c r="F658" s="57">
        <v>152</v>
      </c>
      <c r="G658" s="59">
        <v>4.5999999999999996</v>
      </c>
      <c r="H658" s="57">
        <f>IF(MONTH(Call_Centre_Data[[#This Row],[Date of Call]])&lt;=6,YEAR(Call_Centre_Data[[#This Row],[Date of Call]]),YEAR(Call_Centre_Data[[#This Row],[Date of Call]])+1)</f>
        <v>2024</v>
      </c>
      <c r="I658" s="39" t="str">
        <f>TEXT(Call_Centre_Data[[#This Row],[Date of Call]],"DDDD")</f>
        <v>Saturday</v>
      </c>
      <c r="J658" s="39" t="str" cm="1">
        <f t="array" ref="J658">_xlfn.IFS(Call_Centre_Data[[#This Row],[Duration]]&lt;=10,"Under 10 Mins", Call_Centre_Data[[#This Row],[Duration]]&lt;=30,"10-30 Mins",Call_Centre_Data[[#This Row],[Duration]]&lt;=60,"30-60 Mins",Call_Centre_Data[[#This Row],[Duration]]&lt;=120,"1-2 Hours",TRUE,"More than 2 Hours")</f>
        <v>30-60 Mins</v>
      </c>
      <c r="K658" s="91">
        <f>ROUND(Call_Centre_Data[[#This Row],[Satisfaction Rating]],0)</f>
        <v>5</v>
      </c>
    </row>
    <row r="659" spans="1:11" x14ac:dyDescent="0.35">
      <c r="A659" s="56" t="s">
        <v>1664</v>
      </c>
      <c r="B659" s="57" t="s">
        <v>1011</v>
      </c>
      <c r="C659" s="87">
        <v>132</v>
      </c>
      <c r="D659" s="57" t="s">
        <v>1004</v>
      </c>
      <c r="E659" s="58">
        <v>45144</v>
      </c>
      <c r="F659" s="57">
        <v>195</v>
      </c>
      <c r="G659" s="59">
        <v>4.9000000000000004</v>
      </c>
      <c r="H659" s="57">
        <f>IF(MONTH(Call_Centre_Data[[#This Row],[Date of Call]])&lt;=6,YEAR(Call_Centre_Data[[#This Row],[Date of Call]]),YEAR(Call_Centre_Data[[#This Row],[Date of Call]])+1)</f>
        <v>2024</v>
      </c>
      <c r="I659" s="39" t="str">
        <f>TEXT(Call_Centre_Data[[#This Row],[Date of Call]],"DDDD")</f>
        <v>Sunday</v>
      </c>
      <c r="J659" s="39" t="str" cm="1">
        <f t="array" ref="J659">_xlfn.IFS(Call_Centre_Data[[#This Row],[Duration]]&lt;=10,"Under 10 Mins", Call_Centre_Data[[#This Row],[Duration]]&lt;=30,"10-30 Mins",Call_Centre_Data[[#This Row],[Duration]]&lt;=60,"30-60 Mins",Call_Centre_Data[[#This Row],[Duration]]&lt;=120,"1-2 Hours",TRUE,"More than 2 Hours")</f>
        <v>More than 2 Hours</v>
      </c>
      <c r="K659" s="91">
        <f>ROUND(Call_Centre_Data[[#This Row],[Satisfaction Rating]],0)</f>
        <v>5</v>
      </c>
    </row>
    <row r="660" spans="1:11" x14ac:dyDescent="0.35">
      <c r="A660" s="56" t="s">
        <v>1665</v>
      </c>
      <c r="B660" s="57" t="s">
        <v>1002</v>
      </c>
      <c r="C660" s="87">
        <v>72</v>
      </c>
      <c r="D660" s="57" t="s">
        <v>999</v>
      </c>
      <c r="E660" s="58">
        <v>45144</v>
      </c>
      <c r="F660" s="57">
        <v>70</v>
      </c>
      <c r="G660" s="59">
        <v>3.6</v>
      </c>
      <c r="H660" s="57">
        <f>IF(MONTH(Call_Centre_Data[[#This Row],[Date of Call]])&lt;=6,YEAR(Call_Centre_Data[[#This Row],[Date of Call]]),YEAR(Call_Centre_Data[[#This Row],[Date of Call]])+1)</f>
        <v>2024</v>
      </c>
      <c r="I660" s="39" t="str">
        <f>TEXT(Call_Centre_Data[[#This Row],[Date of Call]],"DDDD")</f>
        <v>Sunday</v>
      </c>
      <c r="J660" s="39" t="str" cm="1">
        <f t="array" ref="J660">_xlfn.IFS(Call_Centre_Data[[#This Row],[Duration]]&lt;=10,"Under 10 Mins", Call_Centre_Data[[#This Row],[Duration]]&lt;=30,"10-30 Mins",Call_Centre_Data[[#This Row],[Duration]]&lt;=60,"30-60 Mins",Call_Centre_Data[[#This Row],[Duration]]&lt;=120,"1-2 Hours",TRUE,"More than 2 Hours")</f>
        <v>1-2 Hours</v>
      </c>
      <c r="K660" s="91">
        <f>ROUND(Call_Centre_Data[[#This Row],[Satisfaction Rating]],0)</f>
        <v>4</v>
      </c>
    </row>
    <row r="661" spans="1:11" x14ac:dyDescent="0.35">
      <c r="A661" s="56" t="s">
        <v>1666</v>
      </c>
      <c r="B661" s="57" t="s">
        <v>1030</v>
      </c>
      <c r="C661" s="87">
        <v>18</v>
      </c>
      <c r="D661" s="57" t="s">
        <v>999</v>
      </c>
      <c r="E661" s="58">
        <v>45144</v>
      </c>
      <c r="F661" s="57">
        <v>22</v>
      </c>
      <c r="G661" s="59">
        <v>3.5</v>
      </c>
      <c r="H661" s="57">
        <f>IF(MONTH(Call_Centre_Data[[#This Row],[Date of Call]])&lt;=6,YEAR(Call_Centre_Data[[#This Row],[Date of Call]]),YEAR(Call_Centre_Data[[#This Row],[Date of Call]])+1)</f>
        <v>2024</v>
      </c>
      <c r="I661" s="39" t="str">
        <f>TEXT(Call_Centre_Data[[#This Row],[Date of Call]],"DDDD")</f>
        <v>Sunday</v>
      </c>
      <c r="J661" s="39" t="str" cm="1">
        <f t="array" ref="J661">_xlfn.IFS(Call_Centre_Data[[#This Row],[Duration]]&lt;=10,"Under 10 Mins", Call_Centre_Data[[#This Row],[Duration]]&lt;=30,"10-30 Mins",Call_Centre_Data[[#This Row],[Duration]]&lt;=60,"30-60 Mins",Call_Centre_Data[[#This Row],[Duration]]&lt;=120,"1-2 Hours",TRUE,"More than 2 Hours")</f>
        <v>10-30 Mins</v>
      </c>
      <c r="K661" s="91">
        <f>ROUND(Call_Centre_Data[[#This Row],[Satisfaction Rating]],0)</f>
        <v>4</v>
      </c>
    </row>
    <row r="662" spans="1:11" x14ac:dyDescent="0.35">
      <c r="A662" s="56" t="s">
        <v>1667</v>
      </c>
      <c r="B662" s="57" t="s">
        <v>998</v>
      </c>
      <c r="C662" s="87">
        <v>115</v>
      </c>
      <c r="D662" s="57" t="s">
        <v>1008</v>
      </c>
      <c r="E662" s="58">
        <v>45145</v>
      </c>
      <c r="F662" s="57">
        <v>40</v>
      </c>
      <c r="G662" s="59">
        <v>3.3</v>
      </c>
      <c r="H662" s="57">
        <f>IF(MONTH(Call_Centre_Data[[#This Row],[Date of Call]])&lt;=6,YEAR(Call_Centre_Data[[#This Row],[Date of Call]]),YEAR(Call_Centre_Data[[#This Row],[Date of Call]])+1)</f>
        <v>2024</v>
      </c>
      <c r="I662" s="39" t="str">
        <f>TEXT(Call_Centre_Data[[#This Row],[Date of Call]],"DDDD")</f>
        <v>Monday</v>
      </c>
      <c r="J662" s="39" t="str" cm="1">
        <f t="array" ref="J662">_xlfn.IFS(Call_Centre_Data[[#This Row],[Duration]]&lt;=10,"Under 10 Mins", Call_Centre_Data[[#This Row],[Duration]]&lt;=30,"10-30 Mins",Call_Centre_Data[[#This Row],[Duration]]&lt;=60,"30-60 Mins",Call_Centre_Data[[#This Row],[Duration]]&lt;=120,"1-2 Hours",TRUE,"More than 2 Hours")</f>
        <v>1-2 Hours</v>
      </c>
      <c r="K662" s="91">
        <f>ROUND(Call_Centre_Data[[#This Row],[Satisfaction Rating]],0)</f>
        <v>3</v>
      </c>
    </row>
    <row r="663" spans="1:11" x14ac:dyDescent="0.35">
      <c r="A663" s="56" t="s">
        <v>1668</v>
      </c>
      <c r="B663" s="57" t="s">
        <v>998</v>
      </c>
      <c r="C663" s="87">
        <v>124</v>
      </c>
      <c r="D663" s="57" t="s">
        <v>994</v>
      </c>
      <c r="E663" s="58">
        <v>45146</v>
      </c>
      <c r="F663" s="57">
        <v>54</v>
      </c>
      <c r="G663" s="59">
        <v>3.8</v>
      </c>
      <c r="H663" s="57">
        <f>IF(MONTH(Call_Centre_Data[[#This Row],[Date of Call]])&lt;=6,YEAR(Call_Centre_Data[[#This Row],[Date of Call]]),YEAR(Call_Centre_Data[[#This Row],[Date of Call]])+1)</f>
        <v>2024</v>
      </c>
      <c r="I663" s="39" t="str">
        <f>TEXT(Call_Centre_Data[[#This Row],[Date of Call]],"DDDD")</f>
        <v>Tuesday</v>
      </c>
      <c r="J663" s="39" t="str" cm="1">
        <f t="array" ref="J663">_xlfn.IFS(Call_Centre_Data[[#This Row],[Duration]]&lt;=10,"Under 10 Mins", Call_Centre_Data[[#This Row],[Duration]]&lt;=30,"10-30 Mins",Call_Centre_Data[[#This Row],[Duration]]&lt;=60,"30-60 Mins",Call_Centre_Data[[#This Row],[Duration]]&lt;=120,"1-2 Hours",TRUE,"More than 2 Hours")</f>
        <v>More than 2 Hours</v>
      </c>
      <c r="K663" s="91">
        <f>ROUND(Call_Centre_Data[[#This Row],[Satisfaction Rating]],0)</f>
        <v>4</v>
      </c>
    </row>
    <row r="664" spans="1:11" x14ac:dyDescent="0.35">
      <c r="A664" s="56" t="s">
        <v>1669</v>
      </c>
      <c r="B664" s="57" t="s">
        <v>991</v>
      </c>
      <c r="C664" s="87">
        <v>130</v>
      </c>
      <c r="D664" s="57" t="s">
        <v>994</v>
      </c>
      <c r="E664" s="58">
        <v>45146</v>
      </c>
      <c r="F664" s="57">
        <v>60</v>
      </c>
      <c r="G664" s="59">
        <v>2.5</v>
      </c>
      <c r="H664" s="57">
        <f>IF(MONTH(Call_Centre_Data[[#This Row],[Date of Call]])&lt;=6,YEAR(Call_Centre_Data[[#This Row],[Date of Call]]),YEAR(Call_Centre_Data[[#This Row],[Date of Call]])+1)</f>
        <v>2024</v>
      </c>
      <c r="I664" s="39" t="str">
        <f>TEXT(Call_Centre_Data[[#This Row],[Date of Call]],"DDDD")</f>
        <v>Tuesday</v>
      </c>
      <c r="J664" s="39" t="str" cm="1">
        <f t="array" ref="J664">_xlfn.IFS(Call_Centre_Data[[#This Row],[Duration]]&lt;=10,"Under 10 Mins", Call_Centre_Data[[#This Row],[Duration]]&lt;=30,"10-30 Mins",Call_Centre_Data[[#This Row],[Duration]]&lt;=60,"30-60 Mins",Call_Centre_Data[[#This Row],[Duration]]&lt;=120,"1-2 Hours",TRUE,"More than 2 Hours")</f>
        <v>More than 2 Hours</v>
      </c>
      <c r="K664" s="91">
        <f>ROUND(Call_Centre_Data[[#This Row],[Satisfaction Rating]],0)</f>
        <v>3</v>
      </c>
    </row>
    <row r="665" spans="1:11" x14ac:dyDescent="0.35">
      <c r="A665" s="56" t="s">
        <v>1670</v>
      </c>
      <c r="B665" s="57" t="s">
        <v>1027</v>
      </c>
      <c r="C665" s="87">
        <v>120</v>
      </c>
      <c r="D665" s="57" t="s">
        <v>989</v>
      </c>
      <c r="E665" s="58">
        <v>45148</v>
      </c>
      <c r="F665" s="57">
        <v>58</v>
      </c>
      <c r="G665" s="59">
        <v>4.5999999999999996</v>
      </c>
      <c r="H665" s="57">
        <f>IF(MONTH(Call_Centre_Data[[#This Row],[Date of Call]])&lt;=6,YEAR(Call_Centre_Data[[#This Row],[Date of Call]]),YEAR(Call_Centre_Data[[#This Row],[Date of Call]])+1)</f>
        <v>2024</v>
      </c>
      <c r="I665" s="39" t="str">
        <f>TEXT(Call_Centre_Data[[#This Row],[Date of Call]],"DDDD")</f>
        <v>Thursday</v>
      </c>
      <c r="J665" s="39" t="str" cm="1">
        <f t="array" ref="J665">_xlfn.IFS(Call_Centre_Data[[#This Row],[Duration]]&lt;=10,"Under 10 Mins", Call_Centre_Data[[#This Row],[Duration]]&lt;=30,"10-30 Mins",Call_Centre_Data[[#This Row],[Duration]]&lt;=60,"30-60 Mins",Call_Centre_Data[[#This Row],[Duration]]&lt;=120,"1-2 Hours",TRUE,"More than 2 Hours")</f>
        <v>1-2 Hours</v>
      </c>
      <c r="K665" s="91">
        <f>ROUND(Call_Centre_Data[[#This Row],[Satisfaction Rating]],0)</f>
        <v>5</v>
      </c>
    </row>
    <row r="666" spans="1:11" x14ac:dyDescent="0.35">
      <c r="A666" s="56" t="s">
        <v>1671</v>
      </c>
      <c r="B666" s="57" t="s">
        <v>1007</v>
      </c>
      <c r="C666" s="87">
        <v>75</v>
      </c>
      <c r="D666" s="57" t="s">
        <v>1008</v>
      </c>
      <c r="E666" s="58">
        <v>45148</v>
      </c>
      <c r="F666" s="57">
        <v>220</v>
      </c>
      <c r="G666" s="59">
        <v>4.7</v>
      </c>
      <c r="H666" s="57">
        <f>IF(MONTH(Call_Centre_Data[[#This Row],[Date of Call]])&lt;=6,YEAR(Call_Centre_Data[[#This Row],[Date of Call]]),YEAR(Call_Centre_Data[[#This Row],[Date of Call]])+1)</f>
        <v>2024</v>
      </c>
      <c r="I666" s="39" t="str">
        <f>TEXT(Call_Centre_Data[[#This Row],[Date of Call]],"DDDD")</f>
        <v>Thursday</v>
      </c>
      <c r="J666" s="39" t="str" cm="1">
        <f t="array" ref="J666">_xlfn.IFS(Call_Centre_Data[[#This Row],[Duration]]&lt;=10,"Under 10 Mins", Call_Centre_Data[[#This Row],[Duration]]&lt;=30,"10-30 Mins",Call_Centre_Data[[#This Row],[Duration]]&lt;=60,"30-60 Mins",Call_Centre_Data[[#This Row],[Duration]]&lt;=120,"1-2 Hours",TRUE,"More than 2 Hours")</f>
        <v>1-2 Hours</v>
      </c>
      <c r="K666" s="91">
        <f>ROUND(Call_Centre_Data[[#This Row],[Satisfaction Rating]],0)</f>
        <v>5</v>
      </c>
    </row>
    <row r="667" spans="1:11" x14ac:dyDescent="0.35">
      <c r="A667" s="56" t="s">
        <v>1672</v>
      </c>
      <c r="B667" s="57" t="s">
        <v>988</v>
      </c>
      <c r="C667" s="87">
        <v>63</v>
      </c>
      <c r="D667" s="57" t="s">
        <v>1008</v>
      </c>
      <c r="E667" s="58">
        <v>45148</v>
      </c>
      <c r="F667" s="57">
        <v>27</v>
      </c>
      <c r="G667" s="59">
        <v>3.6</v>
      </c>
      <c r="H667" s="57">
        <f>IF(MONTH(Call_Centre_Data[[#This Row],[Date of Call]])&lt;=6,YEAR(Call_Centre_Data[[#This Row],[Date of Call]]),YEAR(Call_Centre_Data[[#This Row],[Date of Call]])+1)</f>
        <v>2024</v>
      </c>
      <c r="I667" s="39" t="str">
        <f>TEXT(Call_Centre_Data[[#This Row],[Date of Call]],"DDDD")</f>
        <v>Thursday</v>
      </c>
      <c r="J667" s="39" t="str" cm="1">
        <f t="array" ref="J667">_xlfn.IFS(Call_Centre_Data[[#This Row],[Duration]]&lt;=10,"Under 10 Mins", Call_Centre_Data[[#This Row],[Duration]]&lt;=30,"10-30 Mins",Call_Centre_Data[[#This Row],[Duration]]&lt;=60,"30-60 Mins",Call_Centre_Data[[#This Row],[Duration]]&lt;=120,"1-2 Hours",TRUE,"More than 2 Hours")</f>
        <v>1-2 Hours</v>
      </c>
      <c r="K667" s="91">
        <f>ROUND(Call_Centre_Data[[#This Row],[Satisfaction Rating]],0)</f>
        <v>4</v>
      </c>
    </row>
    <row r="668" spans="1:11" x14ac:dyDescent="0.35">
      <c r="A668" s="56" t="s">
        <v>1673</v>
      </c>
      <c r="B668" s="57" t="s">
        <v>1011</v>
      </c>
      <c r="C668" s="87">
        <v>74</v>
      </c>
      <c r="D668" s="57" t="s">
        <v>1008</v>
      </c>
      <c r="E668" s="58">
        <v>45150</v>
      </c>
      <c r="F668" s="57">
        <v>26</v>
      </c>
      <c r="G668" s="59">
        <v>4.3</v>
      </c>
      <c r="H668" s="57">
        <f>IF(MONTH(Call_Centre_Data[[#This Row],[Date of Call]])&lt;=6,YEAR(Call_Centre_Data[[#This Row],[Date of Call]]),YEAR(Call_Centre_Data[[#This Row],[Date of Call]])+1)</f>
        <v>2024</v>
      </c>
      <c r="I668" s="39" t="str">
        <f>TEXT(Call_Centre_Data[[#This Row],[Date of Call]],"DDDD")</f>
        <v>Saturday</v>
      </c>
      <c r="J668" s="39" t="str" cm="1">
        <f t="array" ref="J668">_xlfn.IFS(Call_Centre_Data[[#This Row],[Duration]]&lt;=10,"Under 10 Mins", Call_Centre_Data[[#This Row],[Duration]]&lt;=30,"10-30 Mins",Call_Centre_Data[[#This Row],[Duration]]&lt;=60,"30-60 Mins",Call_Centre_Data[[#This Row],[Duration]]&lt;=120,"1-2 Hours",TRUE,"More than 2 Hours")</f>
        <v>1-2 Hours</v>
      </c>
      <c r="K668" s="91">
        <f>ROUND(Call_Centre_Data[[#This Row],[Satisfaction Rating]],0)</f>
        <v>4</v>
      </c>
    </row>
    <row r="669" spans="1:11" x14ac:dyDescent="0.35">
      <c r="A669" s="56" t="s">
        <v>1674</v>
      </c>
      <c r="B669" s="57" t="s">
        <v>1022</v>
      </c>
      <c r="C669" s="87">
        <v>134</v>
      </c>
      <c r="D669" s="57" t="s">
        <v>1004</v>
      </c>
      <c r="E669" s="58">
        <v>45151</v>
      </c>
      <c r="F669" s="57">
        <v>160</v>
      </c>
      <c r="G669" s="59">
        <v>4.7</v>
      </c>
      <c r="H669" s="57">
        <f>IF(MONTH(Call_Centre_Data[[#This Row],[Date of Call]])&lt;=6,YEAR(Call_Centre_Data[[#This Row],[Date of Call]]),YEAR(Call_Centre_Data[[#This Row],[Date of Call]])+1)</f>
        <v>2024</v>
      </c>
      <c r="I669" s="39" t="str">
        <f>TEXT(Call_Centre_Data[[#This Row],[Date of Call]],"DDDD")</f>
        <v>Sunday</v>
      </c>
      <c r="J669" s="39" t="str" cm="1">
        <f t="array" ref="J669">_xlfn.IFS(Call_Centre_Data[[#This Row],[Duration]]&lt;=10,"Under 10 Mins", Call_Centre_Data[[#This Row],[Duration]]&lt;=30,"10-30 Mins",Call_Centre_Data[[#This Row],[Duration]]&lt;=60,"30-60 Mins",Call_Centre_Data[[#This Row],[Duration]]&lt;=120,"1-2 Hours",TRUE,"More than 2 Hours")</f>
        <v>More than 2 Hours</v>
      </c>
      <c r="K669" s="91">
        <f>ROUND(Call_Centre_Data[[#This Row],[Satisfaction Rating]],0)</f>
        <v>5</v>
      </c>
    </row>
    <row r="670" spans="1:11" x14ac:dyDescent="0.35">
      <c r="A670" s="56" t="s">
        <v>1675</v>
      </c>
      <c r="B670" s="57" t="s">
        <v>1030</v>
      </c>
      <c r="C670" s="87">
        <v>103</v>
      </c>
      <c r="D670" s="57" t="s">
        <v>994</v>
      </c>
      <c r="E670" s="58">
        <v>45151</v>
      </c>
      <c r="F670" s="57">
        <v>200</v>
      </c>
      <c r="G670" s="59">
        <v>4.9000000000000004</v>
      </c>
      <c r="H670" s="57">
        <f>IF(MONTH(Call_Centre_Data[[#This Row],[Date of Call]])&lt;=6,YEAR(Call_Centre_Data[[#This Row],[Date of Call]]),YEAR(Call_Centre_Data[[#This Row],[Date of Call]])+1)</f>
        <v>2024</v>
      </c>
      <c r="I670" s="39" t="str">
        <f>TEXT(Call_Centre_Data[[#This Row],[Date of Call]],"DDDD")</f>
        <v>Sunday</v>
      </c>
      <c r="J670" s="39" t="str" cm="1">
        <f t="array" ref="J670">_xlfn.IFS(Call_Centre_Data[[#This Row],[Duration]]&lt;=10,"Under 10 Mins", Call_Centre_Data[[#This Row],[Duration]]&lt;=30,"10-30 Mins",Call_Centre_Data[[#This Row],[Duration]]&lt;=60,"30-60 Mins",Call_Centre_Data[[#This Row],[Duration]]&lt;=120,"1-2 Hours",TRUE,"More than 2 Hours")</f>
        <v>1-2 Hours</v>
      </c>
      <c r="K670" s="91">
        <f>ROUND(Call_Centre_Data[[#This Row],[Satisfaction Rating]],0)</f>
        <v>5</v>
      </c>
    </row>
    <row r="671" spans="1:11" x14ac:dyDescent="0.35">
      <c r="A671" s="56" t="s">
        <v>1676</v>
      </c>
      <c r="B671" s="57" t="s">
        <v>1030</v>
      </c>
      <c r="C671" s="87">
        <v>155</v>
      </c>
      <c r="D671" s="57" t="s">
        <v>989</v>
      </c>
      <c r="E671" s="58">
        <v>45154</v>
      </c>
      <c r="F671" s="57">
        <v>135</v>
      </c>
      <c r="G671" s="59">
        <v>4.9000000000000004</v>
      </c>
      <c r="H671" s="57">
        <f>IF(MONTH(Call_Centre_Data[[#This Row],[Date of Call]])&lt;=6,YEAR(Call_Centre_Data[[#This Row],[Date of Call]]),YEAR(Call_Centre_Data[[#This Row],[Date of Call]])+1)</f>
        <v>2024</v>
      </c>
      <c r="I671" s="39" t="str">
        <f>TEXT(Call_Centre_Data[[#This Row],[Date of Call]],"DDDD")</f>
        <v>Wednesday</v>
      </c>
      <c r="J671" s="39" t="str" cm="1">
        <f t="array" ref="J671">_xlfn.IFS(Call_Centre_Data[[#This Row],[Duration]]&lt;=10,"Under 10 Mins", Call_Centre_Data[[#This Row],[Duration]]&lt;=30,"10-30 Mins",Call_Centre_Data[[#This Row],[Duration]]&lt;=60,"30-60 Mins",Call_Centre_Data[[#This Row],[Duration]]&lt;=120,"1-2 Hours",TRUE,"More than 2 Hours")</f>
        <v>More than 2 Hours</v>
      </c>
      <c r="K671" s="91">
        <f>ROUND(Call_Centre_Data[[#This Row],[Satisfaction Rating]],0)</f>
        <v>5</v>
      </c>
    </row>
    <row r="672" spans="1:11" x14ac:dyDescent="0.35">
      <c r="A672" s="56" t="s">
        <v>1677</v>
      </c>
      <c r="B672" s="57" t="s">
        <v>988</v>
      </c>
      <c r="C672" s="87">
        <v>128</v>
      </c>
      <c r="D672" s="57" t="s">
        <v>994</v>
      </c>
      <c r="E672" s="58">
        <v>45155</v>
      </c>
      <c r="F672" s="57">
        <v>22</v>
      </c>
      <c r="G672" s="59">
        <v>1.9</v>
      </c>
      <c r="H672" s="57">
        <f>IF(MONTH(Call_Centre_Data[[#This Row],[Date of Call]])&lt;=6,YEAR(Call_Centre_Data[[#This Row],[Date of Call]]),YEAR(Call_Centre_Data[[#This Row],[Date of Call]])+1)</f>
        <v>2024</v>
      </c>
      <c r="I672" s="39" t="str">
        <f>TEXT(Call_Centre_Data[[#This Row],[Date of Call]],"DDDD")</f>
        <v>Thursday</v>
      </c>
      <c r="J672" s="39" t="str" cm="1">
        <f t="array" ref="J672">_xlfn.IFS(Call_Centre_Data[[#This Row],[Duration]]&lt;=10,"Under 10 Mins", Call_Centre_Data[[#This Row],[Duration]]&lt;=30,"10-30 Mins",Call_Centre_Data[[#This Row],[Duration]]&lt;=60,"30-60 Mins",Call_Centre_Data[[#This Row],[Duration]]&lt;=120,"1-2 Hours",TRUE,"More than 2 Hours")</f>
        <v>More than 2 Hours</v>
      </c>
      <c r="K672" s="91">
        <f>ROUND(Call_Centre_Data[[#This Row],[Satisfaction Rating]],0)</f>
        <v>2</v>
      </c>
    </row>
    <row r="673" spans="1:11" x14ac:dyDescent="0.35">
      <c r="A673" s="56" t="s">
        <v>1678</v>
      </c>
      <c r="B673" s="57" t="s">
        <v>1007</v>
      </c>
      <c r="C673" s="87">
        <v>89</v>
      </c>
      <c r="D673" s="57" t="s">
        <v>1004</v>
      </c>
      <c r="E673" s="58">
        <v>45156</v>
      </c>
      <c r="F673" s="57">
        <v>164</v>
      </c>
      <c r="G673" s="59">
        <v>4.5</v>
      </c>
      <c r="H673" s="57">
        <f>IF(MONTH(Call_Centre_Data[[#This Row],[Date of Call]])&lt;=6,YEAR(Call_Centre_Data[[#This Row],[Date of Call]]),YEAR(Call_Centre_Data[[#This Row],[Date of Call]])+1)</f>
        <v>2024</v>
      </c>
      <c r="I673" s="39" t="str">
        <f>TEXT(Call_Centre_Data[[#This Row],[Date of Call]],"DDDD")</f>
        <v>Friday</v>
      </c>
      <c r="J673" s="39" t="str" cm="1">
        <f t="array" ref="J673">_xlfn.IFS(Call_Centre_Data[[#This Row],[Duration]]&lt;=10,"Under 10 Mins", Call_Centre_Data[[#This Row],[Duration]]&lt;=30,"10-30 Mins",Call_Centre_Data[[#This Row],[Duration]]&lt;=60,"30-60 Mins",Call_Centre_Data[[#This Row],[Duration]]&lt;=120,"1-2 Hours",TRUE,"More than 2 Hours")</f>
        <v>1-2 Hours</v>
      </c>
      <c r="K673" s="91">
        <f>ROUND(Call_Centre_Data[[#This Row],[Satisfaction Rating]],0)</f>
        <v>5</v>
      </c>
    </row>
    <row r="674" spans="1:11" x14ac:dyDescent="0.35">
      <c r="A674" s="56" t="s">
        <v>1679</v>
      </c>
      <c r="B674" s="57" t="s">
        <v>998</v>
      </c>
      <c r="C674" s="87">
        <v>81</v>
      </c>
      <c r="D674" s="57" t="s">
        <v>989</v>
      </c>
      <c r="E674" s="58">
        <v>45156</v>
      </c>
      <c r="F674" s="57">
        <v>21</v>
      </c>
      <c r="G674" s="59">
        <v>4.9000000000000004</v>
      </c>
      <c r="H674" s="57">
        <f>IF(MONTH(Call_Centre_Data[[#This Row],[Date of Call]])&lt;=6,YEAR(Call_Centre_Data[[#This Row],[Date of Call]]),YEAR(Call_Centre_Data[[#This Row],[Date of Call]])+1)</f>
        <v>2024</v>
      </c>
      <c r="I674" s="39" t="str">
        <f>TEXT(Call_Centre_Data[[#This Row],[Date of Call]],"DDDD")</f>
        <v>Friday</v>
      </c>
      <c r="J674" s="39" t="str" cm="1">
        <f t="array" ref="J674">_xlfn.IFS(Call_Centre_Data[[#This Row],[Duration]]&lt;=10,"Under 10 Mins", Call_Centre_Data[[#This Row],[Duration]]&lt;=30,"10-30 Mins",Call_Centre_Data[[#This Row],[Duration]]&lt;=60,"30-60 Mins",Call_Centre_Data[[#This Row],[Duration]]&lt;=120,"1-2 Hours",TRUE,"More than 2 Hours")</f>
        <v>1-2 Hours</v>
      </c>
      <c r="K674" s="91">
        <f>ROUND(Call_Centre_Data[[#This Row],[Satisfaction Rating]],0)</f>
        <v>5</v>
      </c>
    </row>
    <row r="675" spans="1:11" x14ac:dyDescent="0.35">
      <c r="A675" s="56" t="s">
        <v>1680</v>
      </c>
      <c r="B675" s="57" t="s">
        <v>1007</v>
      </c>
      <c r="C675" s="87">
        <v>66</v>
      </c>
      <c r="D675" s="57" t="s">
        <v>1004</v>
      </c>
      <c r="E675" s="58">
        <v>45157</v>
      </c>
      <c r="F675" s="57">
        <v>120</v>
      </c>
      <c r="G675" s="59">
        <v>4.5</v>
      </c>
      <c r="H675" s="57">
        <f>IF(MONTH(Call_Centre_Data[[#This Row],[Date of Call]])&lt;=6,YEAR(Call_Centre_Data[[#This Row],[Date of Call]]),YEAR(Call_Centre_Data[[#This Row],[Date of Call]])+1)</f>
        <v>2024</v>
      </c>
      <c r="I675" s="39" t="str">
        <f>TEXT(Call_Centre_Data[[#This Row],[Date of Call]],"DDDD")</f>
        <v>Saturday</v>
      </c>
      <c r="J675" s="39" t="str" cm="1">
        <f t="array" ref="J675">_xlfn.IFS(Call_Centre_Data[[#This Row],[Duration]]&lt;=10,"Under 10 Mins", Call_Centre_Data[[#This Row],[Duration]]&lt;=30,"10-30 Mins",Call_Centre_Data[[#This Row],[Duration]]&lt;=60,"30-60 Mins",Call_Centre_Data[[#This Row],[Duration]]&lt;=120,"1-2 Hours",TRUE,"More than 2 Hours")</f>
        <v>1-2 Hours</v>
      </c>
      <c r="K675" s="91">
        <f>ROUND(Call_Centre_Data[[#This Row],[Satisfaction Rating]],0)</f>
        <v>5</v>
      </c>
    </row>
    <row r="676" spans="1:11" x14ac:dyDescent="0.35">
      <c r="A676" s="56" t="s">
        <v>1681</v>
      </c>
      <c r="B676" s="57" t="s">
        <v>1002</v>
      </c>
      <c r="C676" s="87">
        <v>61</v>
      </c>
      <c r="D676" s="57" t="s">
        <v>999</v>
      </c>
      <c r="E676" s="58">
        <v>45157</v>
      </c>
      <c r="F676" s="57">
        <v>93</v>
      </c>
      <c r="G676" s="59">
        <v>2.7</v>
      </c>
      <c r="H676" s="57">
        <f>IF(MONTH(Call_Centre_Data[[#This Row],[Date of Call]])&lt;=6,YEAR(Call_Centre_Data[[#This Row],[Date of Call]]),YEAR(Call_Centre_Data[[#This Row],[Date of Call]])+1)</f>
        <v>2024</v>
      </c>
      <c r="I676" s="39" t="str">
        <f>TEXT(Call_Centre_Data[[#This Row],[Date of Call]],"DDDD")</f>
        <v>Saturday</v>
      </c>
      <c r="J676" s="39" t="str" cm="1">
        <f t="array" ref="J676">_xlfn.IFS(Call_Centre_Data[[#This Row],[Duration]]&lt;=10,"Under 10 Mins", Call_Centre_Data[[#This Row],[Duration]]&lt;=30,"10-30 Mins",Call_Centre_Data[[#This Row],[Duration]]&lt;=60,"30-60 Mins",Call_Centre_Data[[#This Row],[Duration]]&lt;=120,"1-2 Hours",TRUE,"More than 2 Hours")</f>
        <v>1-2 Hours</v>
      </c>
      <c r="K676" s="91">
        <f>ROUND(Call_Centre_Data[[#This Row],[Satisfaction Rating]],0)</f>
        <v>3</v>
      </c>
    </row>
    <row r="677" spans="1:11" x14ac:dyDescent="0.35">
      <c r="A677" s="56" t="s">
        <v>1682</v>
      </c>
      <c r="B677" s="57" t="s">
        <v>998</v>
      </c>
      <c r="C677" s="87">
        <v>128</v>
      </c>
      <c r="D677" s="57" t="s">
        <v>999</v>
      </c>
      <c r="E677" s="58">
        <v>45157</v>
      </c>
      <c r="F677" s="57">
        <v>135</v>
      </c>
      <c r="G677" s="59">
        <v>2.1</v>
      </c>
      <c r="H677" s="57">
        <f>IF(MONTH(Call_Centre_Data[[#This Row],[Date of Call]])&lt;=6,YEAR(Call_Centre_Data[[#This Row],[Date of Call]]),YEAR(Call_Centre_Data[[#This Row],[Date of Call]])+1)</f>
        <v>2024</v>
      </c>
      <c r="I677" s="39" t="str">
        <f>TEXT(Call_Centre_Data[[#This Row],[Date of Call]],"DDDD")</f>
        <v>Saturday</v>
      </c>
      <c r="J677" s="39" t="str" cm="1">
        <f t="array" ref="J677">_xlfn.IFS(Call_Centre_Data[[#This Row],[Duration]]&lt;=10,"Under 10 Mins", Call_Centre_Data[[#This Row],[Duration]]&lt;=30,"10-30 Mins",Call_Centre_Data[[#This Row],[Duration]]&lt;=60,"30-60 Mins",Call_Centre_Data[[#This Row],[Duration]]&lt;=120,"1-2 Hours",TRUE,"More than 2 Hours")</f>
        <v>More than 2 Hours</v>
      </c>
      <c r="K677" s="91">
        <f>ROUND(Call_Centre_Data[[#This Row],[Satisfaction Rating]],0)</f>
        <v>2</v>
      </c>
    </row>
    <row r="678" spans="1:11" x14ac:dyDescent="0.35">
      <c r="A678" s="56" t="s">
        <v>1683</v>
      </c>
      <c r="B678" s="57" t="s">
        <v>1030</v>
      </c>
      <c r="C678" s="87">
        <v>30</v>
      </c>
      <c r="D678" s="57" t="s">
        <v>989</v>
      </c>
      <c r="E678" s="58">
        <v>45157</v>
      </c>
      <c r="F678" s="57">
        <v>210</v>
      </c>
      <c r="G678" s="59">
        <v>4.2</v>
      </c>
      <c r="H678" s="57">
        <f>IF(MONTH(Call_Centre_Data[[#This Row],[Date of Call]])&lt;=6,YEAR(Call_Centre_Data[[#This Row],[Date of Call]]),YEAR(Call_Centre_Data[[#This Row],[Date of Call]])+1)</f>
        <v>2024</v>
      </c>
      <c r="I678" s="39" t="str">
        <f>TEXT(Call_Centre_Data[[#This Row],[Date of Call]],"DDDD")</f>
        <v>Saturday</v>
      </c>
      <c r="J678" s="39" t="str" cm="1">
        <f t="array" ref="J678">_xlfn.IFS(Call_Centre_Data[[#This Row],[Duration]]&lt;=10,"Under 10 Mins", Call_Centre_Data[[#This Row],[Duration]]&lt;=30,"10-30 Mins",Call_Centre_Data[[#This Row],[Duration]]&lt;=60,"30-60 Mins",Call_Centre_Data[[#This Row],[Duration]]&lt;=120,"1-2 Hours",TRUE,"More than 2 Hours")</f>
        <v>10-30 Mins</v>
      </c>
      <c r="K678" s="91">
        <f>ROUND(Call_Centre_Data[[#This Row],[Satisfaction Rating]],0)</f>
        <v>4</v>
      </c>
    </row>
    <row r="679" spans="1:11" x14ac:dyDescent="0.35">
      <c r="A679" s="56" t="s">
        <v>1684</v>
      </c>
      <c r="B679" s="57" t="s">
        <v>1060</v>
      </c>
      <c r="C679" s="87">
        <v>63</v>
      </c>
      <c r="D679" s="57" t="s">
        <v>999</v>
      </c>
      <c r="E679" s="58">
        <v>45158</v>
      </c>
      <c r="F679" s="57">
        <v>29</v>
      </c>
      <c r="G679" s="59">
        <v>4.7</v>
      </c>
      <c r="H679" s="57">
        <f>IF(MONTH(Call_Centre_Data[[#This Row],[Date of Call]])&lt;=6,YEAR(Call_Centre_Data[[#This Row],[Date of Call]]),YEAR(Call_Centre_Data[[#This Row],[Date of Call]])+1)</f>
        <v>2024</v>
      </c>
      <c r="I679" s="39" t="str">
        <f>TEXT(Call_Centre_Data[[#This Row],[Date of Call]],"DDDD")</f>
        <v>Sunday</v>
      </c>
      <c r="J679" s="39" t="str" cm="1">
        <f t="array" ref="J679">_xlfn.IFS(Call_Centre_Data[[#This Row],[Duration]]&lt;=10,"Under 10 Mins", Call_Centre_Data[[#This Row],[Duration]]&lt;=30,"10-30 Mins",Call_Centre_Data[[#This Row],[Duration]]&lt;=60,"30-60 Mins",Call_Centre_Data[[#This Row],[Duration]]&lt;=120,"1-2 Hours",TRUE,"More than 2 Hours")</f>
        <v>1-2 Hours</v>
      </c>
      <c r="K679" s="91">
        <f>ROUND(Call_Centre_Data[[#This Row],[Satisfaction Rating]],0)</f>
        <v>5</v>
      </c>
    </row>
    <row r="680" spans="1:11" x14ac:dyDescent="0.35">
      <c r="A680" s="56" t="s">
        <v>1685</v>
      </c>
      <c r="B680" s="57" t="s">
        <v>1013</v>
      </c>
      <c r="C680" s="87">
        <v>64</v>
      </c>
      <c r="D680" s="57" t="s">
        <v>1008</v>
      </c>
      <c r="E680" s="58">
        <v>45158</v>
      </c>
      <c r="F680" s="57">
        <v>111</v>
      </c>
      <c r="G680" s="59">
        <v>3.9</v>
      </c>
      <c r="H680" s="57">
        <f>IF(MONTH(Call_Centre_Data[[#This Row],[Date of Call]])&lt;=6,YEAR(Call_Centre_Data[[#This Row],[Date of Call]]),YEAR(Call_Centre_Data[[#This Row],[Date of Call]])+1)</f>
        <v>2024</v>
      </c>
      <c r="I680" s="39" t="str">
        <f>TEXT(Call_Centre_Data[[#This Row],[Date of Call]],"DDDD")</f>
        <v>Sunday</v>
      </c>
      <c r="J680" s="39" t="str" cm="1">
        <f t="array" ref="J680">_xlfn.IFS(Call_Centre_Data[[#This Row],[Duration]]&lt;=10,"Under 10 Mins", Call_Centre_Data[[#This Row],[Duration]]&lt;=30,"10-30 Mins",Call_Centre_Data[[#This Row],[Duration]]&lt;=60,"30-60 Mins",Call_Centre_Data[[#This Row],[Duration]]&lt;=120,"1-2 Hours",TRUE,"More than 2 Hours")</f>
        <v>1-2 Hours</v>
      </c>
      <c r="K680" s="91">
        <f>ROUND(Call_Centre_Data[[#This Row],[Satisfaction Rating]],0)</f>
        <v>4</v>
      </c>
    </row>
    <row r="681" spans="1:11" x14ac:dyDescent="0.35">
      <c r="A681" s="56" t="s">
        <v>1686</v>
      </c>
      <c r="B681" s="57" t="s">
        <v>996</v>
      </c>
      <c r="C681" s="87">
        <v>151</v>
      </c>
      <c r="D681" s="57" t="s">
        <v>994</v>
      </c>
      <c r="E681" s="58">
        <v>45159</v>
      </c>
      <c r="F681" s="57">
        <v>63</v>
      </c>
      <c r="G681" s="59">
        <v>4.0999999999999996</v>
      </c>
      <c r="H681" s="57">
        <f>IF(MONTH(Call_Centre_Data[[#This Row],[Date of Call]])&lt;=6,YEAR(Call_Centre_Data[[#This Row],[Date of Call]]),YEAR(Call_Centre_Data[[#This Row],[Date of Call]])+1)</f>
        <v>2024</v>
      </c>
      <c r="I681" s="39" t="str">
        <f>TEXT(Call_Centre_Data[[#This Row],[Date of Call]],"DDDD")</f>
        <v>Monday</v>
      </c>
      <c r="J681" s="39" t="str" cm="1">
        <f t="array" ref="J681">_xlfn.IFS(Call_Centre_Data[[#This Row],[Duration]]&lt;=10,"Under 10 Mins", Call_Centre_Data[[#This Row],[Duration]]&lt;=30,"10-30 Mins",Call_Centre_Data[[#This Row],[Duration]]&lt;=60,"30-60 Mins",Call_Centre_Data[[#This Row],[Duration]]&lt;=120,"1-2 Hours",TRUE,"More than 2 Hours")</f>
        <v>More than 2 Hours</v>
      </c>
      <c r="K681" s="91">
        <f>ROUND(Call_Centre_Data[[#This Row],[Satisfaction Rating]],0)</f>
        <v>4</v>
      </c>
    </row>
    <row r="682" spans="1:11" x14ac:dyDescent="0.35">
      <c r="A682" s="56" t="s">
        <v>1687</v>
      </c>
      <c r="B682" s="57" t="s">
        <v>1040</v>
      </c>
      <c r="C682" s="87">
        <v>116</v>
      </c>
      <c r="D682" s="57" t="s">
        <v>1004</v>
      </c>
      <c r="E682" s="58">
        <v>45159</v>
      </c>
      <c r="F682" s="57">
        <v>44</v>
      </c>
      <c r="G682" s="59">
        <v>3.8</v>
      </c>
      <c r="H682" s="57">
        <f>IF(MONTH(Call_Centre_Data[[#This Row],[Date of Call]])&lt;=6,YEAR(Call_Centre_Data[[#This Row],[Date of Call]]),YEAR(Call_Centre_Data[[#This Row],[Date of Call]])+1)</f>
        <v>2024</v>
      </c>
      <c r="I682" s="39" t="str">
        <f>TEXT(Call_Centre_Data[[#This Row],[Date of Call]],"DDDD")</f>
        <v>Monday</v>
      </c>
      <c r="J682" s="39" t="str" cm="1">
        <f t="array" ref="J682">_xlfn.IFS(Call_Centre_Data[[#This Row],[Duration]]&lt;=10,"Under 10 Mins", Call_Centre_Data[[#This Row],[Duration]]&lt;=30,"10-30 Mins",Call_Centre_Data[[#This Row],[Duration]]&lt;=60,"30-60 Mins",Call_Centre_Data[[#This Row],[Duration]]&lt;=120,"1-2 Hours",TRUE,"More than 2 Hours")</f>
        <v>1-2 Hours</v>
      </c>
      <c r="K682" s="91">
        <f>ROUND(Call_Centre_Data[[#This Row],[Satisfaction Rating]],0)</f>
        <v>4</v>
      </c>
    </row>
    <row r="683" spans="1:11" x14ac:dyDescent="0.35">
      <c r="A683" s="56" t="s">
        <v>1688</v>
      </c>
      <c r="B683" s="57" t="s">
        <v>996</v>
      </c>
      <c r="C683" s="87">
        <v>111</v>
      </c>
      <c r="D683" s="57" t="s">
        <v>1004</v>
      </c>
      <c r="E683" s="58">
        <v>45161</v>
      </c>
      <c r="F683" s="57">
        <v>120</v>
      </c>
      <c r="G683" s="59">
        <v>1.8</v>
      </c>
      <c r="H683" s="57">
        <f>IF(MONTH(Call_Centre_Data[[#This Row],[Date of Call]])&lt;=6,YEAR(Call_Centre_Data[[#This Row],[Date of Call]]),YEAR(Call_Centre_Data[[#This Row],[Date of Call]])+1)</f>
        <v>2024</v>
      </c>
      <c r="I683" s="39" t="str">
        <f>TEXT(Call_Centre_Data[[#This Row],[Date of Call]],"DDDD")</f>
        <v>Wednesday</v>
      </c>
      <c r="J683" s="39" t="str" cm="1">
        <f t="array" ref="J683">_xlfn.IFS(Call_Centre_Data[[#This Row],[Duration]]&lt;=10,"Under 10 Mins", Call_Centre_Data[[#This Row],[Duration]]&lt;=30,"10-30 Mins",Call_Centre_Data[[#This Row],[Duration]]&lt;=60,"30-60 Mins",Call_Centre_Data[[#This Row],[Duration]]&lt;=120,"1-2 Hours",TRUE,"More than 2 Hours")</f>
        <v>1-2 Hours</v>
      </c>
      <c r="K683" s="91">
        <f>ROUND(Call_Centre_Data[[#This Row],[Satisfaction Rating]],0)</f>
        <v>2</v>
      </c>
    </row>
    <row r="684" spans="1:11" x14ac:dyDescent="0.35">
      <c r="A684" s="56" t="s">
        <v>1689</v>
      </c>
      <c r="B684" s="57" t="s">
        <v>998</v>
      </c>
      <c r="C684" s="87">
        <v>15</v>
      </c>
      <c r="D684" s="57" t="s">
        <v>1004</v>
      </c>
      <c r="E684" s="58">
        <v>45161</v>
      </c>
      <c r="F684" s="57">
        <v>120</v>
      </c>
      <c r="G684" s="59">
        <v>4.0999999999999996</v>
      </c>
      <c r="H684" s="57">
        <f>IF(MONTH(Call_Centre_Data[[#This Row],[Date of Call]])&lt;=6,YEAR(Call_Centre_Data[[#This Row],[Date of Call]]),YEAR(Call_Centre_Data[[#This Row],[Date of Call]])+1)</f>
        <v>2024</v>
      </c>
      <c r="I684" s="39" t="str">
        <f>TEXT(Call_Centre_Data[[#This Row],[Date of Call]],"DDDD")</f>
        <v>Wednesday</v>
      </c>
      <c r="J684" s="39" t="str" cm="1">
        <f t="array" ref="J684">_xlfn.IFS(Call_Centre_Data[[#This Row],[Duration]]&lt;=10,"Under 10 Mins", Call_Centre_Data[[#This Row],[Duration]]&lt;=30,"10-30 Mins",Call_Centre_Data[[#This Row],[Duration]]&lt;=60,"30-60 Mins",Call_Centre_Data[[#This Row],[Duration]]&lt;=120,"1-2 Hours",TRUE,"More than 2 Hours")</f>
        <v>10-30 Mins</v>
      </c>
      <c r="K684" s="91">
        <f>ROUND(Call_Centre_Data[[#This Row],[Satisfaction Rating]],0)</f>
        <v>4</v>
      </c>
    </row>
    <row r="685" spans="1:11" x14ac:dyDescent="0.35">
      <c r="A685" s="56" t="s">
        <v>1690</v>
      </c>
      <c r="B685" s="57" t="s">
        <v>1013</v>
      </c>
      <c r="C685" s="87">
        <v>18</v>
      </c>
      <c r="D685" s="57" t="s">
        <v>994</v>
      </c>
      <c r="E685" s="58">
        <v>45162</v>
      </c>
      <c r="F685" s="57">
        <v>40</v>
      </c>
      <c r="G685" s="59">
        <v>4.4000000000000004</v>
      </c>
      <c r="H685" s="57">
        <f>IF(MONTH(Call_Centre_Data[[#This Row],[Date of Call]])&lt;=6,YEAR(Call_Centre_Data[[#This Row],[Date of Call]]),YEAR(Call_Centre_Data[[#This Row],[Date of Call]])+1)</f>
        <v>2024</v>
      </c>
      <c r="I685" s="39" t="str">
        <f>TEXT(Call_Centre_Data[[#This Row],[Date of Call]],"DDDD")</f>
        <v>Thursday</v>
      </c>
      <c r="J685" s="39" t="str" cm="1">
        <f t="array" ref="J685">_xlfn.IFS(Call_Centre_Data[[#This Row],[Duration]]&lt;=10,"Under 10 Mins", Call_Centre_Data[[#This Row],[Duration]]&lt;=30,"10-30 Mins",Call_Centre_Data[[#This Row],[Duration]]&lt;=60,"30-60 Mins",Call_Centre_Data[[#This Row],[Duration]]&lt;=120,"1-2 Hours",TRUE,"More than 2 Hours")</f>
        <v>10-30 Mins</v>
      </c>
      <c r="K685" s="91">
        <f>ROUND(Call_Centre_Data[[#This Row],[Satisfaction Rating]],0)</f>
        <v>4</v>
      </c>
    </row>
    <row r="686" spans="1:11" x14ac:dyDescent="0.35">
      <c r="A686" s="56" t="s">
        <v>1691</v>
      </c>
      <c r="B686" s="57" t="s">
        <v>1002</v>
      </c>
      <c r="C686" s="87">
        <v>146</v>
      </c>
      <c r="D686" s="57" t="s">
        <v>999</v>
      </c>
      <c r="E686" s="58">
        <v>45162</v>
      </c>
      <c r="F686" s="57">
        <v>160</v>
      </c>
      <c r="G686" s="59">
        <v>4.0999999999999996</v>
      </c>
      <c r="H686" s="57">
        <f>IF(MONTH(Call_Centre_Data[[#This Row],[Date of Call]])&lt;=6,YEAR(Call_Centre_Data[[#This Row],[Date of Call]]),YEAR(Call_Centre_Data[[#This Row],[Date of Call]])+1)</f>
        <v>2024</v>
      </c>
      <c r="I686" s="39" t="str">
        <f>TEXT(Call_Centre_Data[[#This Row],[Date of Call]],"DDDD")</f>
        <v>Thursday</v>
      </c>
      <c r="J686" s="39" t="str" cm="1">
        <f t="array" ref="J686">_xlfn.IFS(Call_Centre_Data[[#This Row],[Duration]]&lt;=10,"Under 10 Mins", Call_Centre_Data[[#This Row],[Duration]]&lt;=30,"10-30 Mins",Call_Centre_Data[[#This Row],[Duration]]&lt;=60,"30-60 Mins",Call_Centre_Data[[#This Row],[Duration]]&lt;=120,"1-2 Hours",TRUE,"More than 2 Hours")</f>
        <v>More than 2 Hours</v>
      </c>
      <c r="K686" s="91">
        <f>ROUND(Call_Centre_Data[[#This Row],[Satisfaction Rating]],0)</f>
        <v>4</v>
      </c>
    </row>
    <row r="687" spans="1:11" x14ac:dyDescent="0.35">
      <c r="A687" s="56" t="s">
        <v>1692</v>
      </c>
      <c r="B687" s="57" t="s">
        <v>1030</v>
      </c>
      <c r="C687" s="87">
        <v>73</v>
      </c>
      <c r="D687" s="57" t="s">
        <v>1004</v>
      </c>
      <c r="E687" s="58">
        <v>45163</v>
      </c>
      <c r="F687" s="57">
        <v>44</v>
      </c>
      <c r="G687" s="59">
        <v>3.8</v>
      </c>
      <c r="H687" s="57">
        <f>IF(MONTH(Call_Centre_Data[[#This Row],[Date of Call]])&lt;=6,YEAR(Call_Centre_Data[[#This Row],[Date of Call]]),YEAR(Call_Centre_Data[[#This Row],[Date of Call]])+1)</f>
        <v>2024</v>
      </c>
      <c r="I687" s="39" t="str">
        <f>TEXT(Call_Centre_Data[[#This Row],[Date of Call]],"DDDD")</f>
        <v>Friday</v>
      </c>
      <c r="J687" s="39" t="str" cm="1">
        <f t="array" ref="J687">_xlfn.IFS(Call_Centre_Data[[#This Row],[Duration]]&lt;=10,"Under 10 Mins", Call_Centre_Data[[#This Row],[Duration]]&lt;=30,"10-30 Mins",Call_Centre_Data[[#This Row],[Duration]]&lt;=60,"30-60 Mins",Call_Centre_Data[[#This Row],[Duration]]&lt;=120,"1-2 Hours",TRUE,"More than 2 Hours")</f>
        <v>1-2 Hours</v>
      </c>
      <c r="K687" s="91">
        <f>ROUND(Call_Centre_Data[[#This Row],[Satisfaction Rating]],0)</f>
        <v>4</v>
      </c>
    </row>
    <row r="688" spans="1:11" x14ac:dyDescent="0.35">
      <c r="A688" s="56" t="s">
        <v>1693</v>
      </c>
      <c r="B688" s="57" t="s">
        <v>996</v>
      </c>
      <c r="C688" s="87">
        <v>108</v>
      </c>
      <c r="D688" s="57" t="s">
        <v>994</v>
      </c>
      <c r="E688" s="58">
        <v>45163</v>
      </c>
      <c r="F688" s="57">
        <v>80</v>
      </c>
      <c r="G688" s="59">
        <v>4.3</v>
      </c>
      <c r="H688" s="57">
        <f>IF(MONTH(Call_Centre_Data[[#This Row],[Date of Call]])&lt;=6,YEAR(Call_Centre_Data[[#This Row],[Date of Call]]),YEAR(Call_Centre_Data[[#This Row],[Date of Call]])+1)</f>
        <v>2024</v>
      </c>
      <c r="I688" s="39" t="str">
        <f>TEXT(Call_Centre_Data[[#This Row],[Date of Call]],"DDDD")</f>
        <v>Friday</v>
      </c>
      <c r="J688" s="39" t="str" cm="1">
        <f t="array" ref="J688">_xlfn.IFS(Call_Centre_Data[[#This Row],[Duration]]&lt;=10,"Under 10 Mins", Call_Centre_Data[[#This Row],[Duration]]&lt;=30,"10-30 Mins",Call_Centre_Data[[#This Row],[Duration]]&lt;=60,"30-60 Mins",Call_Centre_Data[[#This Row],[Duration]]&lt;=120,"1-2 Hours",TRUE,"More than 2 Hours")</f>
        <v>1-2 Hours</v>
      </c>
      <c r="K688" s="91">
        <f>ROUND(Call_Centre_Data[[#This Row],[Satisfaction Rating]],0)</f>
        <v>4</v>
      </c>
    </row>
    <row r="689" spans="1:11" x14ac:dyDescent="0.35">
      <c r="A689" s="56" t="s">
        <v>1694</v>
      </c>
      <c r="B689" s="57" t="s">
        <v>1022</v>
      </c>
      <c r="C689" s="87">
        <v>52</v>
      </c>
      <c r="D689" s="57" t="s">
        <v>994</v>
      </c>
      <c r="E689" s="58">
        <v>45164</v>
      </c>
      <c r="F689" s="57">
        <v>66</v>
      </c>
      <c r="G689" s="59">
        <v>4.5</v>
      </c>
      <c r="H689" s="57">
        <f>IF(MONTH(Call_Centre_Data[[#This Row],[Date of Call]])&lt;=6,YEAR(Call_Centre_Data[[#This Row],[Date of Call]]),YEAR(Call_Centre_Data[[#This Row],[Date of Call]])+1)</f>
        <v>2024</v>
      </c>
      <c r="I689" s="39" t="str">
        <f>TEXT(Call_Centre_Data[[#This Row],[Date of Call]],"DDDD")</f>
        <v>Saturday</v>
      </c>
      <c r="J689" s="39" t="str" cm="1">
        <f t="array" ref="J689">_xlfn.IFS(Call_Centre_Data[[#This Row],[Duration]]&lt;=10,"Under 10 Mins", Call_Centre_Data[[#This Row],[Duration]]&lt;=30,"10-30 Mins",Call_Centre_Data[[#This Row],[Duration]]&lt;=60,"30-60 Mins",Call_Centre_Data[[#This Row],[Duration]]&lt;=120,"1-2 Hours",TRUE,"More than 2 Hours")</f>
        <v>30-60 Mins</v>
      </c>
      <c r="K689" s="91">
        <f>ROUND(Call_Centre_Data[[#This Row],[Satisfaction Rating]],0)</f>
        <v>5</v>
      </c>
    </row>
    <row r="690" spans="1:11" x14ac:dyDescent="0.35">
      <c r="A690" s="56" t="s">
        <v>1695</v>
      </c>
      <c r="B690" s="57" t="s">
        <v>1040</v>
      </c>
      <c r="C690" s="87">
        <v>165</v>
      </c>
      <c r="D690" s="57" t="s">
        <v>1008</v>
      </c>
      <c r="E690" s="58">
        <v>45164</v>
      </c>
      <c r="F690" s="57">
        <v>82</v>
      </c>
      <c r="G690" s="59">
        <v>3.4</v>
      </c>
      <c r="H690" s="57">
        <f>IF(MONTH(Call_Centre_Data[[#This Row],[Date of Call]])&lt;=6,YEAR(Call_Centre_Data[[#This Row],[Date of Call]]),YEAR(Call_Centre_Data[[#This Row],[Date of Call]])+1)</f>
        <v>2024</v>
      </c>
      <c r="I690" s="39" t="str">
        <f>TEXT(Call_Centre_Data[[#This Row],[Date of Call]],"DDDD")</f>
        <v>Saturday</v>
      </c>
      <c r="J690" s="39" t="str" cm="1">
        <f t="array" ref="J690">_xlfn.IFS(Call_Centre_Data[[#This Row],[Duration]]&lt;=10,"Under 10 Mins", Call_Centre_Data[[#This Row],[Duration]]&lt;=30,"10-30 Mins",Call_Centre_Data[[#This Row],[Duration]]&lt;=60,"30-60 Mins",Call_Centre_Data[[#This Row],[Duration]]&lt;=120,"1-2 Hours",TRUE,"More than 2 Hours")</f>
        <v>More than 2 Hours</v>
      </c>
      <c r="K690" s="91">
        <f>ROUND(Call_Centre_Data[[#This Row],[Satisfaction Rating]],0)</f>
        <v>3</v>
      </c>
    </row>
    <row r="691" spans="1:11" x14ac:dyDescent="0.35">
      <c r="A691" s="56" t="s">
        <v>1696</v>
      </c>
      <c r="B691" s="57" t="s">
        <v>1002</v>
      </c>
      <c r="C691" s="87">
        <v>104</v>
      </c>
      <c r="D691" s="57" t="s">
        <v>1004</v>
      </c>
      <c r="E691" s="58">
        <v>45164</v>
      </c>
      <c r="F691" s="57">
        <v>66</v>
      </c>
      <c r="G691" s="59">
        <v>4.8</v>
      </c>
      <c r="H691" s="57">
        <f>IF(MONTH(Call_Centre_Data[[#This Row],[Date of Call]])&lt;=6,YEAR(Call_Centre_Data[[#This Row],[Date of Call]]),YEAR(Call_Centre_Data[[#This Row],[Date of Call]])+1)</f>
        <v>2024</v>
      </c>
      <c r="I691" s="39" t="str">
        <f>TEXT(Call_Centre_Data[[#This Row],[Date of Call]],"DDDD")</f>
        <v>Saturday</v>
      </c>
      <c r="J691" s="39" t="str" cm="1">
        <f t="array" ref="J691">_xlfn.IFS(Call_Centre_Data[[#This Row],[Duration]]&lt;=10,"Under 10 Mins", Call_Centre_Data[[#This Row],[Duration]]&lt;=30,"10-30 Mins",Call_Centre_Data[[#This Row],[Duration]]&lt;=60,"30-60 Mins",Call_Centre_Data[[#This Row],[Duration]]&lt;=120,"1-2 Hours",TRUE,"More than 2 Hours")</f>
        <v>1-2 Hours</v>
      </c>
      <c r="K691" s="91">
        <f>ROUND(Call_Centre_Data[[#This Row],[Satisfaction Rating]],0)</f>
        <v>5</v>
      </c>
    </row>
    <row r="692" spans="1:11" x14ac:dyDescent="0.35">
      <c r="A692" s="56" t="s">
        <v>1697</v>
      </c>
      <c r="B692" s="57" t="s">
        <v>1030</v>
      </c>
      <c r="C692" s="87">
        <v>131</v>
      </c>
      <c r="D692" s="57" t="s">
        <v>999</v>
      </c>
      <c r="E692" s="58">
        <v>45164</v>
      </c>
      <c r="F692" s="57">
        <v>92</v>
      </c>
      <c r="G692" s="59">
        <v>4.9000000000000004</v>
      </c>
      <c r="H692" s="57">
        <f>IF(MONTH(Call_Centre_Data[[#This Row],[Date of Call]])&lt;=6,YEAR(Call_Centre_Data[[#This Row],[Date of Call]]),YEAR(Call_Centre_Data[[#This Row],[Date of Call]])+1)</f>
        <v>2024</v>
      </c>
      <c r="I692" s="39" t="str">
        <f>TEXT(Call_Centre_Data[[#This Row],[Date of Call]],"DDDD")</f>
        <v>Saturday</v>
      </c>
      <c r="J692" s="39" t="str" cm="1">
        <f t="array" ref="J692">_xlfn.IFS(Call_Centre_Data[[#This Row],[Duration]]&lt;=10,"Under 10 Mins", Call_Centre_Data[[#This Row],[Duration]]&lt;=30,"10-30 Mins",Call_Centre_Data[[#This Row],[Duration]]&lt;=60,"30-60 Mins",Call_Centre_Data[[#This Row],[Duration]]&lt;=120,"1-2 Hours",TRUE,"More than 2 Hours")</f>
        <v>More than 2 Hours</v>
      </c>
      <c r="K692" s="91">
        <f>ROUND(Call_Centre_Data[[#This Row],[Satisfaction Rating]],0)</f>
        <v>5</v>
      </c>
    </row>
    <row r="693" spans="1:11" x14ac:dyDescent="0.35">
      <c r="A693" s="56" t="s">
        <v>1698</v>
      </c>
      <c r="B693" s="57" t="s">
        <v>1027</v>
      </c>
      <c r="C693" s="87">
        <v>80</v>
      </c>
      <c r="D693" s="57" t="s">
        <v>1008</v>
      </c>
      <c r="E693" s="58">
        <v>45165</v>
      </c>
      <c r="F693" s="57">
        <v>104</v>
      </c>
      <c r="G693" s="59">
        <v>4.7</v>
      </c>
      <c r="H693" s="57">
        <f>IF(MONTH(Call_Centre_Data[[#This Row],[Date of Call]])&lt;=6,YEAR(Call_Centre_Data[[#This Row],[Date of Call]]),YEAR(Call_Centre_Data[[#This Row],[Date of Call]])+1)</f>
        <v>2024</v>
      </c>
      <c r="I693" s="39" t="str">
        <f>TEXT(Call_Centre_Data[[#This Row],[Date of Call]],"DDDD")</f>
        <v>Sunday</v>
      </c>
      <c r="J693" s="39" t="str" cm="1">
        <f t="array" ref="J693">_xlfn.IFS(Call_Centre_Data[[#This Row],[Duration]]&lt;=10,"Under 10 Mins", Call_Centre_Data[[#This Row],[Duration]]&lt;=30,"10-30 Mins",Call_Centre_Data[[#This Row],[Duration]]&lt;=60,"30-60 Mins",Call_Centre_Data[[#This Row],[Duration]]&lt;=120,"1-2 Hours",TRUE,"More than 2 Hours")</f>
        <v>1-2 Hours</v>
      </c>
      <c r="K693" s="91">
        <f>ROUND(Call_Centre_Data[[#This Row],[Satisfaction Rating]],0)</f>
        <v>5</v>
      </c>
    </row>
    <row r="694" spans="1:11" x14ac:dyDescent="0.35">
      <c r="A694" s="56" t="s">
        <v>1699</v>
      </c>
      <c r="B694" s="57" t="s">
        <v>998</v>
      </c>
      <c r="C694" s="87">
        <v>49</v>
      </c>
      <c r="D694" s="57" t="s">
        <v>1004</v>
      </c>
      <c r="E694" s="58">
        <v>45165</v>
      </c>
      <c r="F694" s="57">
        <v>105</v>
      </c>
      <c r="G694" s="59">
        <v>3.3</v>
      </c>
      <c r="H694" s="57">
        <f>IF(MONTH(Call_Centre_Data[[#This Row],[Date of Call]])&lt;=6,YEAR(Call_Centre_Data[[#This Row],[Date of Call]]),YEAR(Call_Centre_Data[[#This Row],[Date of Call]])+1)</f>
        <v>2024</v>
      </c>
      <c r="I694" s="39" t="str">
        <f>TEXT(Call_Centre_Data[[#This Row],[Date of Call]],"DDDD")</f>
        <v>Sunday</v>
      </c>
      <c r="J694" s="39" t="str" cm="1">
        <f t="array" ref="J694">_xlfn.IFS(Call_Centre_Data[[#This Row],[Duration]]&lt;=10,"Under 10 Mins", Call_Centre_Data[[#This Row],[Duration]]&lt;=30,"10-30 Mins",Call_Centre_Data[[#This Row],[Duration]]&lt;=60,"30-60 Mins",Call_Centre_Data[[#This Row],[Duration]]&lt;=120,"1-2 Hours",TRUE,"More than 2 Hours")</f>
        <v>30-60 Mins</v>
      </c>
      <c r="K694" s="91">
        <f>ROUND(Call_Centre_Data[[#This Row],[Satisfaction Rating]],0)</f>
        <v>3</v>
      </c>
    </row>
    <row r="695" spans="1:11" x14ac:dyDescent="0.35">
      <c r="A695" s="56" t="s">
        <v>1700</v>
      </c>
      <c r="B695" s="57" t="s">
        <v>1040</v>
      </c>
      <c r="C695" s="87">
        <v>73</v>
      </c>
      <c r="D695" s="57" t="s">
        <v>1004</v>
      </c>
      <c r="E695" s="58">
        <v>45165</v>
      </c>
      <c r="F695" s="57">
        <v>100</v>
      </c>
      <c r="G695" s="59">
        <v>2.8</v>
      </c>
      <c r="H695" s="57">
        <f>IF(MONTH(Call_Centre_Data[[#This Row],[Date of Call]])&lt;=6,YEAR(Call_Centre_Data[[#This Row],[Date of Call]]),YEAR(Call_Centre_Data[[#This Row],[Date of Call]])+1)</f>
        <v>2024</v>
      </c>
      <c r="I695" s="39" t="str">
        <f>TEXT(Call_Centre_Data[[#This Row],[Date of Call]],"DDDD")</f>
        <v>Sunday</v>
      </c>
      <c r="J695" s="39" t="str" cm="1">
        <f t="array" ref="J695">_xlfn.IFS(Call_Centre_Data[[#This Row],[Duration]]&lt;=10,"Under 10 Mins", Call_Centre_Data[[#This Row],[Duration]]&lt;=30,"10-30 Mins",Call_Centre_Data[[#This Row],[Duration]]&lt;=60,"30-60 Mins",Call_Centre_Data[[#This Row],[Duration]]&lt;=120,"1-2 Hours",TRUE,"More than 2 Hours")</f>
        <v>1-2 Hours</v>
      </c>
      <c r="K695" s="91">
        <f>ROUND(Call_Centre_Data[[#This Row],[Satisfaction Rating]],0)</f>
        <v>3</v>
      </c>
    </row>
    <row r="696" spans="1:11" x14ac:dyDescent="0.35">
      <c r="A696" s="56" t="s">
        <v>1701</v>
      </c>
      <c r="B696" s="57" t="s">
        <v>1002</v>
      </c>
      <c r="C696" s="87">
        <v>117</v>
      </c>
      <c r="D696" s="57" t="s">
        <v>1008</v>
      </c>
      <c r="E696" s="58">
        <v>45165</v>
      </c>
      <c r="F696" s="57">
        <v>90</v>
      </c>
      <c r="G696" s="59">
        <v>4.0999999999999996</v>
      </c>
      <c r="H696" s="57">
        <f>IF(MONTH(Call_Centre_Data[[#This Row],[Date of Call]])&lt;=6,YEAR(Call_Centre_Data[[#This Row],[Date of Call]]),YEAR(Call_Centre_Data[[#This Row],[Date of Call]])+1)</f>
        <v>2024</v>
      </c>
      <c r="I696" s="39" t="str">
        <f>TEXT(Call_Centre_Data[[#This Row],[Date of Call]],"DDDD")</f>
        <v>Sunday</v>
      </c>
      <c r="J696" s="39" t="str" cm="1">
        <f t="array" ref="J696">_xlfn.IFS(Call_Centre_Data[[#This Row],[Duration]]&lt;=10,"Under 10 Mins", Call_Centre_Data[[#This Row],[Duration]]&lt;=30,"10-30 Mins",Call_Centre_Data[[#This Row],[Duration]]&lt;=60,"30-60 Mins",Call_Centre_Data[[#This Row],[Duration]]&lt;=120,"1-2 Hours",TRUE,"More than 2 Hours")</f>
        <v>1-2 Hours</v>
      </c>
      <c r="K696" s="91">
        <f>ROUND(Call_Centre_Data[[#This Row],[Satisfaction Rating]],0)</f>
        <v>4</v>
      </c>
    </row>
    <row r="697" spans="1:11" x14ac:dyDescent="0.35">
      <c r="A697" s="56" t="s">
        <v>1702</v>
      </c>
      <c r="B697" s="57" t="s">
        <v>993</v>
      </c>
      <c r="C697" s="87">
        <v>38</v>
      </c>
      <c r="D697" s="57" t="s">
        <v>989</v>
      </c>
      <c r="E697" s="58">
        <v>45165</v>
      </c>
      <c r="F697" s="57">
        <v>110</v>
      </c>
      <c r="G697" s="59">
        <v>3.5</v>
      </c>
      <c r="H697" s="57">
        <f>IF(MONTH(Call_Centre_Data[[#This Row],[Date of Call]])&lt;=6,YEAR(Call_Centre_Data[[#This Row],[Date of Call]]),YEAR(Call_Centre_Data[[#This Row],[Date of Call]])+1)</f>
        <v>2024</v>
      </c>
      <c r="I697" s="39" t="str">
        <f>TEXT(Call_Centre_Data[[#This Row],[Date of Call]],"DDDD")</f>
        <v>Sunday</v>
      </c>
      <c r="J697" s="39" t="str" cm="1">
        <f t="array" ref="J697">_xlfn.IFS(Call_Centre_Data[[#This Row],[Duration]]&lt;=10,"Under 10 Mins", Call_Centre_Data[[#This Row],[Duration]]&lt;=30,"10-30 Mins",Call_Centre_Data[[#This Row],[Duration]]&lt;=60,"30-60 Mins",Call_Centre_Data[[#This Row],[Duration]]&lt;=120,"1-2 Hours",TRUE,"More than 2 Hours")</f>
        <v>30-60 Mins</v>
      </c>
      <c r="K697" s="91">
        <f>ROUND(Call_Centre_Data[[#This Row],[Satisfaction Rating]],0)</f>
        <v>4</v>
      </c>
    </row>
    <row r="698" spans="1:11" x14ac:dyDescent="0.35">
      <c r="A698" s="56" t="s">
        <v>1703</v>
      </c>
      <c r="B698" s="57" t="s">
        <v>1022</v>
      </c>
      <c r="C698" s="87">
        <v>109</v>
      </c>
      <c r="D698" s="57" t="s">
        <v>1008</v>
      </c>
      <c r="E698" s="58">
        <v>45167</v>
      </c>
      <c r="F698" s="57">
        <v>68</v>
      </c>
      <c r="G698" s="59">
        <v>2.2999999999999998</v>
      </c>
      <c r="H698" s="57">
        <f>IF(MONTH(Call_Centre_Data[[#This Row],[Date of Call]])&lt;=6,YEAR(Call_Centre_Data[[#This Row],[Date of Call]]),YEAR(Call_Centre_Data[[#This Row],[Date of Call]])+1)</f>
        <v>2024</v>
      </c>
      <c r="I698" s="39" t="str">
        <f>TEXT(Call_Centre_Data[[#This Row],[Date of Call]],"DDDD")</f>
        <v>Tuesday</v>
      </c>
      <c r="J698" s="39" t="str" cm="1">
        <f t="array" ref="J698">_xlfn.IFS(Call_Centre_Data[[#This Row],[Duration]]&lt;=10,"Under 10 Mins", Call_Centre_Data[[#This Row],[Duration]]&lt;=30,"10-30 Mins",Call_Centre_Data[[#This Row],[Duration]]&lt;=60,"30-60 Mins",Call_Centre_Data[[#This Row],[Duration]]&lt;=120,"1-2 Hours",TRUE,"More than 2 Hours")</f>
        <v>1-2 Hours</v>
      </c>
      <c r="K698" s="91">
        <f>ROUND(Call_Centre_Data[[#This Row],[Satisfaction Rating]],0)</f>
        <v>2</v>
      </c>
    </row>
    <row r="699" spans="1:11" x14ac:dyDescent="0.35">
      <c r="A699" s="56" t="s">
        <v>1704</v>
      </c>
      <c r="B699" s="57" t="s">
        <v>998</v>
      </c>
      <c r="C699" s="87">
        <v>70</v>
      </c>
      <c r="D699" s="57" t="s">
        <v>994</v>
      </c>
      <c r="E699" s="58">
        <v>45168</v>
      </c>
      <c r="F699" s="57">
        <v>210</v>
      </c>
      <c r="G699" s="59">
        <v>4.0999999999999996</v>
      </c>
      <c r="H699" s="57">
        <f>IF(MONTH(Call_Centre_Data[[#This Row],[Date of Call]])&lt;=6,YEAR(Call_Centre_Data[[#This Row],[Date of Call]]),YEAR(Call_Centre_Data[[#This Row],[Date of Call]])+1)</f>
        <v>2024</v>
      </c>
      <c r="I699" s="39" t="str">
        <f>TEXT(Call_Centre_Data[[#This Row],[Date of Call]],"DDDD")</f>
        <v>Wednesday</v>
      </c>
      <c r="J699" s="39" t="str" cm="1">
        <f t="array" ref="J699">_xlfn.IFS(Call_Centre_Data[[#This Row],[Duration]]&lt;=10,"Under 10 Mins", Call_Centre_Data[[#This Row],[Duration]]&lt;=30,"10-30 Mins",Call_Centre_Data[[#This Row],[Duration]]&lt;=60,"30-60 Mins",Call_Centre_Data[[#This Row],[Duration]]&lt;=120,"1-2 Hours",TRUE,"More than 2 Hours")</f>
        <v>1-2 Hours</v>
      </c>
      <c r="K699" s="91">
        <f>ROUND(Call_Centre_Data[[#This Row],[Satisfaction Rating]],0)</f>
        <v>4</v>
      </c>
    </row>
    <row r="700" spans="1:11" x14ac:dyDescent="0.35">
      <c r="A700" s="56" t="s">
        <v>1705</v>
      </c>
      <c r="B700" s="57" t="s">
        <v>991</v>
      </c>
      <c r="C700" s="87">
        <v>51</v>
      </c>
      <c r="D700" s="57" t="s">
        <v>989</v>
      </c>
      <c r="E700" s="58">
        <v>45168</v>
      </c>
      <c r="F700" s="57">
        <v>111</v>
      </c>
      <c r="G700" s="59">
        <v>4.3</v>
      </c>
      <c r="H700" s="57">
        <f>IF(MONTH(Call_Centre_Data[[#This Row],[Date of Call]])&lt;=6,YEAR(Call_Centre_Data[[#This Row],[Date of Call]]),YEAR(Call_Centre_Data[[#This Row],[Date of Call]])+1)</f>
        <v>2024</v>
      </c>
      <c r="I700" s="39" t="str">
        <f>TEXT(Call_Centre_Data[[#This Row],[Date of Call]],"DDDD")</f>
        <v>Wednesday</v>
      </c>
      <c r="J700" s="39" t="str" cm="1">
        <f t="array" ref="J700">_xlfn.IFS(Call_Centre_Data[[#This Row],[Duration]]&lt;=10,"Under 10 Mins", Call_Centre_Data[[#This Row],[Duration]]&lt;=30,"10-30 Mins",Call_Centre_Data[[#This Row],[Duration]]&lt;=60,"30-60 Mins",Call_Centre_Data[[#This Row],[Duration]]&lt;=120,"1-2 Hours",TRUE,"More than 2 Hours")</f>
        <v>30-60 Mins</v>
      </c>
      <c r="K700" s="91">
        <f>ROUND(Call_Centre_Data[[#This Row],[Satisfaction Rating]],0)</f>
        <v>4</v>
      </c>
    </row>
    <row r="701" spans="1:11" x14ac:dyDescent="0.35">
      <c r="A701" s="56" t="s">
        <v>1706</v>
      </c>
      <c r="B701" s="57" t="s">
        <v>991</v>
      </c>
      <c r="C701" s="87">
        <v>100</v>
      </c>
      <c r="D701" s="57" t="s">
        <v>994</v>
      </c>
      <c r="E701" s="58">
        <v>45169</v>
      </c>
      <c r="F701" s="57">
        <v>45</v>
      </c>
      <c r="G701" s="59">
        <v>4.9000000000000004</v>
      </c>
      <c r="H701" s="57">
        <f>IF(MONTH(Call_Centre_Data[[#This Row],[Date of Call]])&lt;=6,YEAR(Call_Centre_Data[[#This Row],[Date of Call]]),YEAR(Call_Centre_Data[[#This Row],[Date of Call]])+1)</f>
        <v>2024</v>
      </c>
      <c r="I701" s="39" t="str">
        <f>TEXT(Call_Centre_Data[[#This Row],[Date of Call]],"DDDD")</f>
        <v>Thursday</v>
      </c>
      <c r="J701" s="39" t="str" cm="1">
        <f t="array" ref="J701">_xlfn.IFS(Call_Centre_Data[[#This Row],[Duration]]&lt;=10,"Under 10 Mins", Call_Centre_Data[[#This Row],[Duration]]&lt;=30,"10-30 Mins",Call_Centre_Data[[#This Row],[Duration]]&lt;=60,"30-60 Mins",Call_Centre_Data[[#This Row],[Duration]]&lt;=120,"1-2 Hours",TRUE,"More than 2 Hours")</f>
        <v>1-2 Hours</v>
      </c>
      <c r="K701" s="91">
        <f>ROUND(Call_Centre_Data[[#This Row],[Satisfaction Rating]],0)</f>
        <v>5</v>
      </c>
    </row>
    <row r="702" spans="1:11" x14ac:dyDescent="0.35">
      <c r="A702" s="56" t="s">
        <v>1707</v>
      </c>
      <c r="B702" s="57" t="s">
        <v>1011</v>
      </c>
      <c r="C702" s="87">
        <v>124</v>
      </c>
      <c r="D702" s="57" t="s">
        <v>989</v>
      </c>
      <c r="E702" s="58">
        <v>45170</v>
      </c>
      <c r="F702" s="57">
        <v>132</v>
      </c>
      <c r="G702" s="59">
        <v>4</v>
      </c>
      <c r="H702" s="57">
        <f>IF(MONTH(Call_Centre_Data[[#This Row],[Date of Call]])&lt;=6,YEAR(Call_Centre_Data[[#This Row],[Date of Call]]),YEAR(Call_Centre_Data[[#This Row],[Date of Call]])+1)</f>
        <v>2024</v>
      </c>
      <c r="I702" s="39" t="str">
        <f>TEXT(Call_Centre_Data[[#This Row],[Date of Call]],"DDDD")</f>
        <v>Friday</v>
      </c>
      <c r="J702" s="39" t="str" cm="1">
        <f t="array" ref="J702">_xlfn.IFS(Call_Centre_Data[[#This Row],[Duration]]&lt;=10,"Under 10 Mins", Call_Centre_Data[[#This Row],[Duration]]&lt;=30,"10-30 Mins",Call_Centre_Data[[#This Row],[Duration]]&lt;=60,"30-60 Mins",Call_Centre_Data[[#This Row],[Duration]]&lt;=120,"1-2 Hours",TRUE,"More than 2 Hours")</f>
        <v>More than 2 Hours</v>
      </c>
      <c r="K702" s="91">
        <f>ROUND(Call_Centre_Data[[#This Row],[Satisfaction Rating]],0)</f>
        <v>4</v>
      </c>
    </row>
    <row r="703" spans="1:11" x14ac:dyDescent="0.35">
      <c r="A703" s="56" t="s">
        <v>1708</v>
      </c>
      <c r="B703" s="57" t="s">
        <v>988</v>
      </c>
      <c r="C703" s="87">
        <v>143</v>
      </c>
      <c r="D703" s="57" t="s">
        <v>1008</v>
      </c>
      <c r="E703" s="58">
        <v>45170</v>
      </c>
      <c r="F703" s="57">
        <v>20</v>
      </c>
      <c r="G703" s="59">
        <v>4.7</v>
      </c>
      <c r="H703" s="57">
        <f>IF(MONTH(Call_Centre_Data[[#This Row],[Date of Call]])&lt;=6,YEAR(Call_Centre_Data[[#This Row],[Date of Call]]),YEAR(Call_Centre_Data[[#This Row],[Date of Call]])+1)</f>
        <v>2024</v>
      </c>
      <c r="I703" s="39" t="str">
        <f>TEXT(Call_Centre_Data[[#This Row],[Date of Call]],"DDDD")</f>
        <v>Friday</v>
      </c>
      <c r="J703" s="39" t="str" cm="1">
        <f t="array" ref="J703">_xlfn.IFS(Call_Centre_Data[[#This Row],[Duration]]&lt;=10,"Under 10 Mins", Call_Centre_Data[[#This Row],[Duration]]&lt;=30,"10-30 Mins",Call_Centre_Data[[#This Row],[Duration]]&lt;=60,"30-60 Mins",Call_Centre_Data[[#This Row],[Duration]]&lt;=120,"1-2 Hours",TRUE,"More than 2 Hours")</f>
        <v>More than 2 Hours</v>
      </c>
      <c r="K703" s="91">
        <f>ROUND(Call_Centre_Data[[#This Row],[Satisfaction Rating]],0)</f>
        <v>5</v>
      </c>
    </row>
    <row r="704" spans="1:11" x14ac:dyDescent="0.35">
      <c r="A704" s="56" t="s">
        <v>1709</v>
      </c>
      <c r="B704" s="57" t="s">
        <v>1007</v>
      </c>
      <c r="C704" s="87">
        <v>96</v>
      </c>
      <c r="D704" s="57" t="s">
        <v>1004</v>
      </c>
      <c r="E704" s="58">
        <v>45170</v>
      </c>
      <c r="F704" s="57">
        <v>36</v>
      </c>
      <c r="G704" s="59">
        <v>3.4</v>
      </c>
      <c r="H704" s="57">
        <f>IF(MONTH(Call_Centre_Data[[#This Row],[Date of Call]])&lt;=6,YEAR(Call_Centre_Data[[#This Row],[Date of Call]]),YEAR(Call_Centre_Data[[#This Row],[Date of Call]])+1)</f>
        <v>2024</v>
      </c>
      <c r="I704" s="39" t="str">
        <f>TEXT(Call_Centre_Data[[#This Row],[Date of Call]],"DDDD")</f>
        <v>Friday</v>
      </c>
      <c r="J704" s="39" t="str" cm="1">
        <f t="array" ref="J704">_xlfn.IFS(Call_Centre_Data[[#This Row],[Duration]]&lt;=10,"Under 10 Mins", Call_Centre_Data[[#This Row],[Duration]]&lt;=30,"10-30 Mins",Call_Centre_Data[[#This Row],[Duration]]&lt;=60,"30-60 Mins",Call_Centre_Data[[#This Row],[Duration]]&lt;=120,"1-2 Hours",TRUE,"More than 2 Hours")</f>
        <v>1-2 Hours</v>
      </c>
      <c r="K704" s="91">
        <f>ROUND(Call_Centre_Data[[#This Row],[Satisfaction Rating]],0)</f>
        <v>3</v>
      </c>
    </row>
    <row r="705" spans="1:11" x14ac:dyDescent="0.35">
      <c r="A705" s="56" t="s">
        <v>1710</v>
      </c>
      <c r="B705" s="57" t="s">
        <v>1040</v>
      </c>
      <c r="C705" s="87">
        <v>84</v>
      </c>
      <c r="D705" s="57" t="s">
        <v>994</v>
      </c>
      <c r="E705" s="58">
        <v>45172</v>
      </c>
      <c r="F705" s="57">
        <v>72</v>
      </c>
      <c r="G705" s="59">
        <v>4</v>
      </c>
      <c r="H705" s="57">
        <f>IF(MONTH(Call_Centre_Data[[#This Row],[Date of Call]])&lt;=6,YEAR(Call_Centre_Data[[#This Row],[Date of Call]]),YEAR(Call_Centre_Data[[#This Row],[Date of Call]])+1)</f>
        <v>2024</v>
      </c>
      <c r="I705" s="39" t="str">
        <f>TEXT(Call_Centre_Data[[#This Row],[Date of Call]],"DDDD")</f>
        <v>Sunday</v>
      </c>
      <c r="J705" s="39" t="str" cm="1">
        <f t="array" ref="J705">_xlfn.IFS(Call_Centre_Data[[#This Row],[Duration]]&lt;=10,"Under 10 Mins", Call_Centre_Data[[#This Row],[Duration]]&lt;=30,"10-30 Mins",Call_Centre_Data[[#This Row],[Duration]]&lt;=60,"30-60 Mins",Call_Centre_Data[[#This Row],[Duration]]&lt;=120,"1-2 Hours",TRUE,"More than 2 Hours")</f>
        <v>1-2 Hours</v>
      </c>
      <c r="K705" s="91">
        <f>ROUND(Call_Centre_Data[[#This Row],[Satisfaction Rating]],0)</f>
        <v>4</v>
      </c>
    </row>
    <row r="706" spans="1:11" x14ac:dyDescent="0.35">
      <c r="A706" s="56" t="s">
        <v>1711</v>
      </c>
      <c r="B706" s="57" t="s">
        <v>1019</v>
      </c>
      <c r="C706" s="87">
        <v>111</v>
      </c>
      <c r="D706" s="57" t="s">
        <v>994</v>
      </c>
      <c r="E706" s="58">
        <v>45172</v>
      </c>
      <c r="F706" s="57">
        <v>63</v>
      </c>
      <c r="G706" s="59">
        <v>4.5</v>
      </c>
      <c r="H706" s="57">
        <f>IF(MONTH(Call_Centre_Data[[#This Row],[Date of Call]])&lt;=6,YEAR(Call_Centre_Data[[#This Row],[Date of Call]]),YEAR(Call_Centre_Data[[#This Row],[Date of Call]])+1)</f>
        <v>2024</v>
      </c>
      <c r="I706" s="39" t="str">
        <f>TEXT(Call_Centre_Data[[#This Row],[Date of Call]],"DDDD")</f>
        <v>Sunday</v>
      </c>
      <c r="J706" s="39" t="str" cm="1">
        <f t="array" ref="J706">_xlfn.IFS(Call_Centre_Data[[#This Row],[Duration]]&lt;=10,"Under 10 Mins", Call_Centre_Data[[#This Row],[Duration]]&lt;=30,"10-30 Mins",Call_Centre_Data[[#This Row],[Duration]]&lt;=60,"30-60 Mins",Call_Centre_Data[[#This Row],[Duration]]&lt;=120,"1-2 Hours",TRUE,"More than 2 Hours")</f>
        <v>1-2 Hours</v>
      </c>
      <c r="K706" s="91">
        <f>ROUND(Call_Centre_Data[[#This Row],[Satisfaction Rating]],0)</f>
        <v>5</v>
      </c>
    </row>
    <row r="707" spans="1:11" x14ac:dyDescent="0.35">
      <c r="A707" s="56" t="s">
        <v>1712</v>
      </c>
      <c r="B707" s="57" t="s">
        <v>1019</v>
      </c>
      <c r="C707" s="87">
        <v>103</v>
      </c>
      <c r="D707" s="57" t="s">
        <v>989</v>
      </c>
      <c r="E707" s="58">
        <v>45173</v>
      </c>
      <c r="F707" s="57">
        <v>44</v>
      </c>
      <c r="G707" s="59">
        <v>4.5</v>
      </c>
      <c r="H707" s="57">
        <f>IF(MONTH(Call_Centre_Data[[#This Row],[Date of Call]])&lt;=6,YEAR(Call_Centre_Data[[#This Row],[Date of Call]]),YEAR(Call_Centre_Data[[#This Row],[Date of Call]])+1)</f>
        <v>2024</v>
      </c>
      <c r="I707" s="39" t="str">
        <f>TEXT(Call_Centre_Data[[#This Row],[Date of Call]],"DDDD")</f>
        <v>Monday</v>
      </c>
      <c r="J707" s="39" t="str" cm="1">
        <f t="array" ref="J707">_xlfn.IFS(Call_Centre_Data[[#This Row],[Duration]]&lt;=10,"Under 10 Mins", Call_Centre_Data[[#This Row],[Duration]]&lt;=30,"10-30 Mins",Call_Centre_Data[[#This Row],[Duration]]&lt;=60,"30-60 Mins",Call_Centre_Data[[#This Row],[Duration]]&lt;=120,"1-2 Hours",TRUE,"More than 2 Hours")</f>
        <v>1-2 Hours</v>
      </c>
      <c r="K707" s="91">
        <f>ROUND(Call_Centre_Data[[#This Row],[Satisfaction Rating]],0)</f>
        <v>5</v>
      </c>
    </row>
    <row r="708" spans="1:11" x14ac:dyDescent="0.35">
      <c r="A708" s="56" t="s">
        <v>1713</v>
      </c>
      <c r="B708" s="57" t="s">
        <v>988</v>
      </c>
      <c r="C708" s="87">
        <v>61</v>
      </c>
      <c r="D708" s="57" t="s">
        <v>999</v>
      </c>
      <c r="E708" s="58">
        <v>45173</v>
      </c>
      <c r="F708" s="57">
        <v>132</v>
      </c>
      <c r="G708" s="59">
        <v>4.9000000000000004</v>
      </c>
      <c r="H708" s="57">
        <f>IF(MONTH(Call_Centre_Data[[#This Row],[Date of Call]])&lt;=6,YEAR(Call_Centre_Data[[#This Row],[Date of Call]]),YEAR(Call_Centre_Data[[#This Row],[Date of Call]])+1)</f>
        <v>2024</v>
      </c>
      <c r="I708" s="39" t="str">
        <f>TEXT(Call_Centre_Data[[#This Row],[Date of Call]],"DDDD")</f>
        <v>Monday</v>
      </c>
      <c r="J708" s="39" t="str" cm="1">
        <f t="array" ref="J708">_xlfn.IFS(Call_Centre_Data[[#This Row],[Duration]]&lt;=10,"Under 10 Mins", Call_Centre_Data[[#This Row],[Duration]]&lt;=30,"10-30 Mins",Call_Centre_Data[[#This Row],[Duration]]&lt;=60,"30-60 Mins",Call_Centre_Data[[#This Row],[Duration]]&lt;=120,"1-2 Hours",TRUE,"More than 2 Hours")</f>
        <v>1-2 Hours</v>
      </c>
      <c r="K708" s="91">
        <f>ROUND(Call_Centre_Data[[#This Row],[Satisfaction Rating]],0)</f>
        <v>5</v>
      </c>
    </row>
    <row r="709" spans="1:11" x14ac:dyDescent="0.35">
      <c r="A709" s="56" t="s">
        <v>1714</v>
      </c>
      <c r="B709" s="57" t="s">
        <v>1030</v>
      </c>
      <c r="C709" s="87">
        <v>113</v>
      </c>
      <c r="D709" s="57" t="s">
        <v>1004</v>
      </c>
      <c r="E709" s="58">
        <v>45173</v>
      </c>
      <c r="F709" s="57">
        <v>46</v>
      </c>
      <c r="G709" s="59">
        <v>4.4000000000000004</v>
      </c>
      <c r="H709" s="57">
        <f>IF(MONTH(Call_Centre_Data[[#This Row],[Date of Call]])&lt;=6,YEAR(Call_Centre_Data[[#This Row],[Date of Call]]),YEAR(Call_Centre_Data[[#This Row],[Date of Call]])+1)</f>
        <v>2024</v>
      </c>
      <c r="I709" s="39" t="str">
        <f>TEXT(Call_Centre_Data[[#This Row],[Date of Call]],"DDDD")</f>
        <v>Monday</v>
      </c>
      <c r="J709" s="39" t="str" cm="1">
        <f t="array" ref="J709">_xlfn.IFS(Call_Centre_Data[[#This Row],[Duration]]&lt;=10,"Under 10 Mins", Call_Centre_Data[[#This Row],[Duration]]&lt;=30,"10-30 Mins",Call_Centre_Data[[#This Row],[Duration]]&lt;=60,"30-60 Mins",Call_Centre_Data[[#This Row],[Duration]]&lt;=120,"1-2 Hours",TRUE,"More than 2 Hours")</f>
        <v>1-2 Hours</v>
      </c>
      <c r="K709" s="91">
        <f>ROUND(Call_Centre_Data[[#This Row],[Satisfaction Rating]],0)</f>
        <v>4</v>
      </c>
    </row>
    <row r="710" spans="1:11" x14ac:dyDescent="0.35">
      <c r="A710" s="56" t="s">
        <v>1715</v>
      </c>
      <c r="B710" s="57" t="s">
        <v>1030</v>
      </c>
      <c r="C710" s="87">
        <v>96</v>
      </c>
      <c r="D710" s="57" t="s">
        <v>1004</v>
      </c>
      <c r="E710" s="58">
        <v>45173</v>
      </c>
      <c r="F710" s="57">
        <v>96</v>
      </c>
      <c r="G710" s="59">
        <v>2.9</v>
      </c>
      <c r="H710" s="57">
        <f>IF(MONTH(Call_Centre_Data[[#This Row],[Date of Call]])&lt;=6,YEAR(Call_Centre_Data[[#This Row],[Date of Call]]),YEAR(Call_Centre_Data[[#This Row],[Date of Call]])+1)</f>
        <v>2024</v>
      </c>
      <c r="I710" s="39" t="str">
        <f>TEXT(Call_Centre_Data[[#This Row],[Date of Call]],"DDDD")</f>
        <v>Monday</v>
      </c>
      <c r="J710" s="39" t="str" cm="1">
        <f t="array" ref="J710">_xlfn.IFS(Call_Centre_Data[[#This Row],[Duration]]&lt;=10,"Under 10 Mins", Call_Centre_Data[[#This Row],[Duration]]&lt;=30,"10-30 Mins",Call_Centre_Data[[#This Row],[Duration]]&lt;=60,"30-60 Mins",Call_Centre_Data[[#This Row],[Duration]]&lt;=120,"1-2 Hours",TRUE,"More than 2 Hours")</f>
        <v>1-2 Hours</v>
      </c>
      <c r="K710" s="91">
        <f>ROUND(Call_Centre_Data[[#This Row],[Satisfaction Rating]],0)</f>
        <v>3</v>
      </c>
    </row>
    <row r="711" spans="1:11" x14ac:dyDescent="0.35">
      <c r="A711" s="56" t="s">
        <v>1716</v>
      </c>
      <c r="B711" s="57" t="s">
        <v>1013</v>
      </c>
      <c r="C711" s="87">
        <v>131</v>
      </c>
      <c r="D711" s="57" t="s">
        <v>989</v>
      </c>
      <c r="E711" s="58">
        <v>45174</v>
      </c>
      <c r="F711" s="57">
        <v>75</v>
      </c>
      <c r="G711" s="59">
        <v>4.4000000000000004</v>
      </c>
      <c r="H711" s="57">
        <f>IF(MONTH(Call_Centre_Data[[#This Row],[Date of Call]])&lt;=6,YEAR(Call_Centre_Data[[#This Row],[Date of Call]]),YEAR(Call_Centre_Data[[#This Row],[Date of Call]])+1)</f>
        <v>2024</v>
      </c>
      <c r="I711" s="39" t="str">
        <f>TEXT(Call_Centre_Data[[#This Row],[Date of Call]],"DDDD")</f>
        <v>Tuesday</v>
      </c>
      <c r="J711" s="39" t="str" cm="1">
        <f t="array" ref="J711">_xlfn.IFS(Call_Centre_Data[[#This Row],[Duration]]&lt;=10,"Under 10 Mins", Call_Centre_Data[[#This Row],[Duration]]&lt;=30,"10-30 Mins",Call_Centre_Data[[#This Row],[Duration]]&lt;=60,"30-60 Mins",Call_Centre_Data[[#This Row],[Duration]]&lt;=120,"1-2 Hours",TRUE,"More than 2 Hours")</f>
        <v>More than 2 Hours</v>
      </c>
      <c r="K711" s="91">
        <f>ROUND(Call_Centre_Data[[#This Row],[Satisfaction Rating]],0)</f>
        <v>4</v>
      </c>
    </row>
    <row r="712" spans="1:11" x14ac:dyDescent="0.35">
      <c r="A712" s="56" t="s">
        <v>1717</v>
      </c>
      <c r="B712" s="57" t="s">
        <v>1002</v>
      </c>
      <c r="C712" s="87">
        <v>52</v>
      </c>
      <c r="D712" s="57" t="s">
        <v>1004</v>
      </c>
      <c r="E712" s="58">
        <v>45175</v>
      </c>
      <c r="F712" s="57">
        <v>88</v>
      </c>
      <c r="G712" s="59">
        <v>4.3</v>
      </c>
      <c r="H712" s="57">
        <f>IF(MONTH(Call_Centre_Data[[#This Row],[Date of Call]])&lt;=6,YEAR(Call_Centre_Data[[#This Row],[Date of Call]]),YEAR(Call_Centre_Data[[#This Row],[Date of Call]])+1)</f>
        <v>2024</v>
      </c>
      <c r="I712" s="39" t="str">
        <f>TEXT(Call_Centre_Data[[#This Row],[Date of Call]],"DDDD")</f>
        <v>Wednesday</v>
      </c>
      <c r="J712" s="39" t="str" cm="1">
        <f t="array" ref="J712">_xlfn.IFS(Call_Centre_Data[[#This Row],[Duration]]&lt;=10,"Under 10 Mins", Call_Centre_Data[[#This Row],[Duration]]&lt;=30,"10-30 Mins",Call_Centre_Data[[#This Row],[Duration]]&lt;=60,"30-60 Mins",Call_Centre_Data[[#This Row],[Duration]]&lt;=120,"1-2 Hours",TRUE,"More than 2 Hours")</f>
        <v>30-60 Mins</v>
      </c>
      <c r="K712" s="91">
        <f>ROUND(Call_Centre_Data[[#This Row],[Satisfaction Rating]],0)</f>
        <v>4</v>
      </c>
    </row>
    <row r="713" spans="1:11" x14ac:dyDescent="0.35">
      <c r="A713" s="56" t="s">
        <v>1718</v>
      </c>
      <c r="B713" s="57" t="s">
        <v>991</v>
      </c>
      <c r="C713" s="87">
        <v>100</v>
      </c>
      <c r="D713" s="57" t="s">
        <v>989</v>
      </c>
      <c r="E713" s="58">
        <v>45175</v>
      </c>
      <c r="F713" s="57">
        <v>24</v>
      </c>
      <c r="G713" s="59">
        <v>4.7</v>
      </c>
      <c r="H713" s="57">
        <f>IF(MONTH(Call_Centre_Data[[#This Row],[Date of Call]])&lt;=6,YEAR(Call_Centre_Data[[#This Row],[Date of Call]]),YEAR(Call_Centre_Data[[#This Row],[Date of Call]])+1)</f>
        <v>2024</v>
      </c>
      <c r="I713" s="39" t="str">
        <f>TEXT(Call_Centre_Data[[#This Row],[Date of Call]],"DDDD")</f>
        <v>Wednesday</v>
      </c>
      <c r="J713" s="39" t="str" cm="1">
        <f t="array" ref="J713">_xlfn.IFS(Call_Centre_Data[[#This Row],[Duration]]&lt;=10,"Under 10 Mins", Call_Centre_Data[[#This Row],[Duration]]&lt;=30,"10-30 Mins",Call_Centre_Data[[#This Row],[Duration]]&lt;=60,"30-60 Mins",Call_Centre_Data[[#This Row],[Duration]]&lt;=120,"1-2 Hours",TRUE,"More than 2 Hours")</f>
        <v>1-2 Hours</v>
      </c>
      <c r="K713" s="91">
        <f>ROUND(Call_Centre_Data[[#This Row],[Satisfaction Rating]],0)</f>
        <v>5</v>
      </c>
    </row>
    <row r="714" spans="1:11" x14ac:dyDescent="0.35">
      <c r="A714" s="56" t="s">
        <v>1719</v>
      </c>
      <c r="B714" s="57" t="s">
        <v>996</v>
      </c>
      <c r="C714" s="87">
        <v>58</v>
      </c>
      <c r="D714" s="57" t="s">
        <v>1008</v>
      </c>
      <c r="E714" s="58">
        <v>45175</v>
      </c>
      <c r="F714" s="57">
        <v>96</v>
      </c>
      <c r="G714" s="59">
        <v>3.2</v>
      </c>
      <c r="H714" s="57">
        <f>IF(MONTH(Call_Centre_Data[[#This Row],[Date of Call]])&lt;=6,YEAR(Call_Centre_Data[[#This Row],[Date of Call]]),YEAR(Call_Centre_Data[[#This Row],[Date of Call]])+1)</f>
        <v>2024</v>
      </c>
      <c r="I714" s="39" t="str">
        <f>TEXT(Call_Centre_Data[[#This Row],[Date of Call]],"DDDD")</f>
        <v>Wednesday</v>
      </c>
      <c r="J714" s="39" t="str" cm="1">
        <f t="array" ref="J714">_xlfn.IFS(Call_Centre_Data[[#This Row],[Duration]]&lt;=10,"Under 10 Mins", Call_Centre_Data[[#This Row],[Duration]]&lt;=30,"10-30 Mins",Call_Centre_Data[[#This Row],[Duration]]&lt;=60,"30-60 Mins",Call_Centre_Data[[#This Row],[Duration]]&lt;=120,"1-2 Hours",TRUE,"More than 2 Hours")</f>
        <v>30-60 Mins</v>
      </c>
      <c r="K714" s="91">
        <f>ROUND(Call_Centre_Data[[#This Row],[Satisfaction Rating]],0)</f>
        <v>3</v>
      </c>
    </row>
    <row r="715" spans="1:11" x14ac:dyDescent="0.35">
      <c r="A715" s="56" t="s">
        <v>1720</v>
      </c>
      <c r="B715" s="57" t="s">
        <v>998</v>
      </c>
      <c r="C715" s="87">
        <v>144</v>
      </c>
      <c r="D715" s="57" t="s">
        <v>1008</v>
      </c>
      <c r="E715" s="58">
        <v>45176</v>
      </c>
      <c r="F715" s="57">
        <v>124</v>
      </c>
      <c r="G715" s="59">
        <v>2.2999999999999998</v>
      </c>
      <c r="H715" s="57">
        <f>IF(MONTH(Call_Centre_Data[[#This Row],[Date of Call]])&lt;=6,YEAR(Call_Centre_Data[[#This Row],[Date of Call]]),YEAR(Call_Centre_Data[[#This Row],[Date of Call]])+1)</f>
        <v>2024</v>
      </c>
      <c r="I715" s="39" t="str">
        <f>TEXT(Call_Centre_Data[[#This Row],[Date of Call]],"DDDD")</f>
        <v>Thursday</v>
      </c>
      <c r="J715" s="39" t="str" cm="1">
        <f t="array" ref="J715">_xlfn.IFS(Call_Centre_Data[[#This Row],[Duration]]&lt;=10,"Under 10 Mins", Call_Centre_Data[[#This Row],[Duration]]&lt;=30,"10-30 Mins",Call_Centre_Data[[#This Row],[Duration]]&lt;=60,"30-60 Mins",Call_Centre_Data[[#This Row],[Duration]]&lt;=120,"1-2 Hours",TRUE,"More than 2 Hours")</f>
        <v>More than 2 Hours</v>
      </c>
      <c r="K715" s="91">
        <f>ROUND(Call_Centre_Data[[#This Row],[Satisfaction Rating]],0)</f>
        <v>2</v>
      </c>
    </row>
    <row r="716" spans="1:11" x14ac:dyDescent="0.35">
      <c r="A716" s="56" t="s">
        <v>1721</v>
      </c>
      <c r="B716" s="57" t="s">
        <v>996</v>
      </c>
      <c r="C716" s="87">
        <v>53</v>
      </c>
      <c r="D716" s="57" t="s">
        <v>999</v>
      </c>
      <c r="E716" s="58">
        <v>45177</v>
      </c>
      <c r="F716" s="57">
        <v>130</v>
      </c>
      <c r="G716" s="59">
        <v>3.6</v>
      </c>
      <c r="H716" s="57">
        <f>IF(MONTH(Call_Centre_Data[[#This Row],[Date of Call]])&lt;=6,YEAR(Call_Centre_Data[[#This Row],[Date of Call]]),YEAR(Call_Centre_Data[[#This Row],[Date of Call]])+1)</f>
        <v>2024</v>
      </c>
      <c r="I716" s="39" t="str">
        <f>TEXT(Call_Centre_Data[[#This Row],[Date of Call]],"DDDD")</f>
        <v>Friday</v>
      </c>
      <c r="J716" s="39" t="str" cm="1">
        <f t="array" ref="J716">_xlfn.IFS(Call_Centre_Data[[#This Row],[Duration]]&lt;=10,"Under 10 Mins", Call_Centre_Data[[#This Row],[Duration]]&lt;=30,"10-30 Mins",Call_Centre_Data[[#This Row],[Duration]]&lt;=60,"30-60 Mins",Call_Centre_Data[[#This Row],[Duration]]&lt;=120,"1-2 Hours",TRUE,"More than 2 Hours")</f>
        <v>30-60 Mins</v>
      </c>
      <c r="K716" s="91">
        <f>ROUND(Call_Centre_Data[[#This Row],[Satisfaction Rating]],0)</f>
        <v>4</v>
      </c>
    </row>
    <row r="717" spans="1:11" x14ac:dyDescent="0.35">
      <c r="A717" s="56" t="s">
        <v>1722</v>
      </c>
      <c r="B717" s="57" t="s">
        <v>1030</v>
      </c>
      <c r="C717" s="87">
        <v>97</v>
      </c>
      <c r="D717" s="57" t="s">
        <v>994</v>
      </c>
      <c r="E717" s="58">
        <v>45177</v>
      </c>
      <c r="F717" s="57">
        <v>45</v>
      </c>
      <c r="G717" s="59">
        <v>4.5999999999999996</v>
      </c>
      <c r="H717" s="57">
        <f>IF(MONTH(Call_Centre_Data[[#This Row],[Date of Call]])&lt;=6,YEAR(Call_Centre_Data[[#This Row],[Date of Call]]),YEAR(Call_Centre_Data[[#This Row],[Date of Call]])+1)</f>
        <v>2024</v>
      </c>
      <c r="I717" s="39" t="str">
        <f>TEXT(Call_Centre_Data[[#This Row],[Date of Call]],"DDDD")</f>
        <v>Friday</v>
      </c>
      <c r="J717" s="39" t="str" cm="1">
        <f t="array" ref="J717">_xlfn.IFS(Call_Centre_Data[[#This Row],[Duration]]&lt;=10,"Under 10 Mins", Call_Centre_Data[[#This Row],[Duration]]&lt;=30,"10-30 Mins",Call_Centre_Data[[#This Row],[Duration]]&lt;=60,"30-60 Mins",Call_Centre_Data[[#This Row],[Duration]]&lt;=120,"1-2 Hours",TRUE,"More than 2 Hours")</f>
        <v>1-2 Hours</v>
      </c>
      <c r="K717" s="91">
        <f>ROUND(Call_Centre_Data[[#This Row],[Satisfaction Rating]],0)</f>
        <v>5</v>
      </c>
    </row>
    <row r="718" spans="1:11" x14ac:dyDescent="0.35">
      <c r="A718" s="56" t="s">
        <v>1723</v>
      </c>
      <c r="B718" s="57" t="s">
        <v>993</v>
      </c>
      <c r="C718" s="87">
        <v>64</v>
      </c>
      <c r="D718" s="57" t="s">
        <v>1008</v>
      </c>
      <c r="E718" s="58">
        <v>45177</v>
      </c>
      <c r="F718" s="57">
        <v>66</v>
      </c>
      <c r="G718" s="59">
        <v>4</v>
      </c>
      <c r="H718" s="57">
        <f>IF(MONTH(Call_Centre_Data[[#This Row],[Date of Call]])&lt;=6,YEAR(Call_Centre_Data[[#This Row],[Date of Call]]),YEAR(Call_Centre_Data[[#This Row],[Date of Call]])+1)</f>
        <v>2024</v>
      </c>
      <c r="I718" s="39" t="str">
        <f>TEXT(Call_Centre_Data[[#This Row],[Date of Call]],"DDDD")</f>
        <v>Friday</v>
      </c>
      <c r="J718" s="39" t="str" cm="1">
        <f t="array" ref="J718">_xlfn.IFS(Call_Centre_Data[[#This Row],[Duration]]&lt;=10,"Under 10 Mins", Call_Centre_Data[[#This Row],[Duration]]&lt;=30,"10-30 Mins",Call_Centre_Data[[#This Row],[Duration]]&lt;=60,"30-60 Mins",Call_Centre_Data[[#This Row],[Duration]]&lt;=120,"1-2 Hours",TRUE,"More than 2 Hours")</f>
        <v>1-2 Hours</v>
      </c>
      <c r="K718" s="91">
        <f>ROUND(Call_Centre_Data[[#This Row],[Satisfaction Rating]],0)</f>
        <v>4</v>
      </c>
    </row>
    <row r="719" spans="1:11" x14ac:dyDescent="0.35">
      <c r="A719" s="56" t="s">
        <v>1724</v>
      </c>
      <c r="B719" s="57" t="s">
        <v>988</v>
      </c>
      <c r="C719" s="87">
        <v>106</v>
      </c>
      <c r="D719" s="57" t="s">
        <v>989</v>
      </c>
      <c r="E719" s="58">
        <v>45177</v>
      </c>
      <c r="F719" s="57">
        <v>58</v>
      </c>
      <c r="G719" s="59">
        <v>4.7</v>
      </c>
      <c r="H719" s="57">
        <f>IF(MONTH(Call_Centre_Data[[#This Row],[Date of Call]])&lt;=6,YEAR(Call_Centre_Data[[#This Row],[Date of Call]]),YEAR(Call_Centre_Data[[#This Row],[Date of Call]])+1)</f>
        <v>2024</v>
      </c>
      <c r="I719" s="39" t="str">
        <f>TEXT(Call_Centre_Data[[#This Row],[Date of Call]],"DDDD")</f>
        <v>Friday</v>
      </c>
      <c r="J719" s="39" t="str" cm="1">
        <f t="array" ref="J719">_xlfn.IFS(Call_Centre_Data[[#This Row],[Duration]]&lt;=10,"Under 10 Mins", Call_Centre_Data[[#This Row],[Duration]]&lt;=30,"10-30 Mins",Call_Centre_Data[[#This Row],[Duration]]&lt;=60,"30-60 Mins",Call_Centre_Data[[#This Row],[Duration]]&lt;=120,"1-2 Hours",TRUE,"More than 2 Hours")</f>
        <v>1-2 Hours</v>
      </c>
      <c r="K719" s="91">
        <f>ROUND(Call_Centre_Data[[#This Row],[Satisfaction Rating]],0)</f>
        <v>5</v>
      </c>
    </row>
    <row r="720" spans="1:11" x14ac:dyDescent="0.35">
      <c r="A720" s="56" t="s">
        <v>1725</v>
      </c>
      <c r="B720" s="57" t="s">
        <v>1040</v>
      </c>
      <c r="C720" s="87">
        <v>36</v>
      </c>
      <c r="D720" s="57" t="s">
        <v>1008</v>
      </c>
      <c r="E720" s="58">
        <v>45178</v>
      </c>
      <c r="F720" s="57">
        <v>152</v>
      </c>
      <c r="G720" s="59">
        <v>4.3</v>
      </c>
      <c r="H720" s="57">
        <f>IF(MONTH(Call_Centre_Data[[#This Row],[Date of Call]])&lt;=6,YEAR(Call_Centre_Data[[#This Row],[Date of Call]]),YEAR(Call_Centre_Data[[#This Row],[Date of Call]])+1)</f>
        <v>2024</v>
      </c>
      <c r="I720" s="39" t="str">
        <f>TEXT(Call_Centre_Data[[#This Row],[Date of Call]],"DDDD")</f>
        <v>Saturday</v>
      </c>
      <c r="J720" s="39" t="str" cm="1">
        <f t="array" ref="J720">_xlfn.IFS(Call_Centre_Data[[#This Row],[Duration]]&lt;=10,"Under 10 Mins", Call_Centre_Data[[#This Row],[Duration]]&lt;=30,"10-30 Mins",Call_Centre_Data[[#This Row],[Duration]]&lt;=60,"30-60 Mins",Call_Centre_Data[[#This Row],[Duration]]&lt;=120,"1-2 Hours",TRUE,"More than 2 Hours")</f>
        <v>30-60 Mins</v>
      </c>
      <c r="K720" s="91">
        <f>ROUND(Call_Centre_Data[[#This Row],[Satisfaction Rating]],0)</f>
        <v>4</v>
      </c>
    </row>
    <row r="721" spans="1:11" x14ac:dyDescent="0.35">
      <c r="A721" s="56" t="s">
        <v>1726</v>
      </c>
      <c r="B721" s="57" t="s">
        <v>998</v>
      </c>
      <c r="C721" s="87">
        <v>74</v>
      </c>
      <c r="D721" s="57" t="s">
        <v>1004</v>
      </c>
      <c r="E721" s="58">
        <v>45178</v>
      </c>
      <c r="F721" s="57">
        <v>75</v>
      </c>
      <c r="G721" s="59">
        <v>2.8</v>
      </c>
      <c r="H721" s="57">
        <f>IF(MONTH(Call_Centre_Data[[#This Row],[Date of Call]])&lt;=6,YEAR(Call_Centre_Data[[#This Row],[Date of Call]]),YEAR(Call_Centre_Data[[#This Row],[Date of Call]])+1)</f>
        <v>2024</v>
      </c>
      <c r="I721" s="39" t="str">
        <f>TEXT(Call_Centre_Data[[#This Row],[Date of Call]],"DDDD")</f>
        <v>Saturday</v>
      </c>
      <c r="J721" s="39" t="str" cm="1">
        <f t="array" ref="J721">_xlfn.IFS(Call_Centre_Data[[#This Row],[Duration]]&lt;=10,"Under 10 Mins", Call_Centre_Data[[#This Row],[Duration]]&lt;=30,"10-30 Mins",Call_Centre_Data[[#This Row],[Duration]]&lt;=60,"30-60 Mins",Call_Centre_Data[[#This Row],[Duration]]&lt;=120,"1-2 Hours",TRUE,"More than 2 Hours")</f>
        <v>1-2 Hours</v>
      </c>
      <c r="K721" s="91">
        <f>ROUND(Call_Centre_Data[[#This Row],[Satisfaction Rating]],0)</f>
        <v>3</v>
      </c>
    </row>
    <row r="722" spans="1:11" x14ac:dyDescent="0.35">
      <c r="A722" s="56" t="s">
        <v>1727</v>
      </c>
      <c r="B722" s="57" t="s">
        <v>1022</v>
      </c>
      <c r="C722" s="87">
        <v>143</v>
      </c>
      <c r="D722" s="57" t="s">
        <v>994</v>
      </c>
      <c r="E722" s="58">
        <v>45178</v>
      </c>
      <c r="F722" s="57">
        <v>78</v>
      </c>
      <c r="G722" s="59">
        <v>4</v>
      </c>
      <c r="H722" s="57">
        <f>IF(MONTH(Call_Centre_Data[[#This Row],[Date of Call]])&lt;=6,YEAR(Call_Centre_Data[[#This Row],[Date of Call]]),YEAR(Call_Centre_Data[[#This Row],[Date of Call]])+1)</f>
        <v>2024</v>
      </c>
      <c r="I722" s="39" t="str">
        <f>TEXT(Call_Centre_Data[[#This Row],[Date of Call]],"DDDD")</f>
        <v>Saturday</v>
      </c>
      <c r="J722" s="39" t="str" cm="1">
        <f t="array" ref="J722">_xlfn.IFS(Call_Centre_Data[[#This Row],[Duration]]&lt;=10,"Under 10 Mins", Call_Centre_Data[[#This Row],[Duration]]&lt;=30,"10-30 Mins",Call_Centre_Data[[#This Row],[Duration]]&lt;=60,"30-60 Mins",Call_Centre_Data[[#This Row],[Duration]]&lt;=120,"1-2 Hours",TRUE,"More than 2 Hours")</f>
        <v>More than 2 Hours</v>
      </c>
      <c r="K722" s="91">
        <f>ROUND(Call_Centre_Data[[#This Row],[Satisfaction Rating]],0)</f>
        <v>4</v>
      </c>
    </row>
    <row r="723" spans="1:11" x14ac:dyDescent="0.35">
      <c r="A723" s="56" t="s">
        <v>1728</v>
      </c>
      <c r="B723" s="57" t="s">
        <v>988</v>
      </c>
      <c r="C723" s="87">
        <v>94</v>
      </c>
      <c r="D723" s="57" t="s">
        <v>999</v>
      </c>
      <c r="E723" s="58">
        <v>45178</v>
      </c>
      <c r="F723" s="57">
        <v>69</v>
      </c>
      <c r="G723" s="59">
        <v>3.9</v>
      </c>
      <c r="H723" s="57">
        <f>IF(MONTH(Call_Centre_Data[[#This Row],[Date of Call]])&lt;=6,YEAR(Call_Centre_Data[[#This Row],[Date of Call]]),YEAR(Call_Centre_Data[[#This Row],[Date of Call]])+1)</f>
        <v>2024</v>
      </c>
      <c r="I723" s="39" t="str">
        <f>TEXT(Call_Centre_Data[[#This Row],[Date of Call]],"DDDD")</f>
        <v>Saturday</v>
      </c>
      <c r="J723" s="39" t="str" cm="1">
        <f t="array" ref="J723">_xlfn.IFS(Call_Centre_Data[[#This Row],[Duration]]&lt;=10,"Under 10 Mins", Call_Centre_Data[[#This Row],[Duration]]&lt;=30,"10-30 Mins",Call_Centre_Data[[#This Row],[Duration]]&lt;=60,"30-60 Mins",Call_Centre_Data[[#This Row],[Duration]]&lt;=120,"1-2 Hours",TRUE,"More than 2 Hours")</f>
        <v>1-2 Hours</v>
      </c>
      <c r="K723" s="91">
        <f>ROUND(Call_Centre_Data[[#This Row],[Satisfaction Rating]],0)</f>
        <v>4</v>
      </c>
    </row>
    <row r="724" spans="1:11" x14ac:dyDescent="0.35">
      <c r="A724" s="56" t="s">
        <v>1729</v>
      </c>
      <c r="B724" s="57" t="s">
        <v>1027</v>
      </c>
      <c r="C724" s="87">
        <v>124</v>
      </c>
      <c r="D724" s="57" t="s">
        <v>989</v>
      </c>
      <c r="E724" s="58">
        <v>45179</v>
      </c>
      <c r="F724" s="57">
        <v>46</v>
      </c>
      <c r="G724" s="59">
        <v>3.1</v>
      </c>
      <c r="H724" s="57">
        <f>IF(MONTH(Call_Centre_Data[[#This Row],[Date of Call]])&lt;=6,YEAR(Call_Centre_Data[[#This Row],[Date of Call]]),YEAR(Call_Centre_Data[[#This Row],[Date of Call]])+1)</f>
        <v>2024</v>
      </c>
      <c r="I724" s="39" t="str">
        <f>TEXT(Call_Centre_Data[[#This Row],[Date of Call]],"DDDD")</f>
        <v>Sunday</v>
      </c>
      <c r="J724" s="39" t="str" cm="1">
        <f t="array" ref="J724">_xlfn.IFS(Call_Centre_Data[[#This Row],[Duration]]&lt;=10,"Under 10 Mins", Call_Centre_Data[[#This Row],[Duration]]&lt;=30,"10-30 Mins",Call_Centre_Data[[#This Row],[Duration]]&lt;=60,"30-60 Mins",Call_Centre_Data[[#This Row],[Duration]]&lt;=120,"1-2 Hours",TRUE,"More than 2 Hours")</f>
        <v>More than 2 Hours</v>
      </c>
      <c r="K724" s="91">
        <f>ROUND(Call_Centre_Data[[#This Row],[Satisfaction Rating]],0)</f>
        <v>3</v>
      </c>
    </row>
    <row r="725" spans="1:11" x14ac:dyDescent="0.35">
      <c r="A725" s="56" t="s">
        <v>1730</v>
      </c>
      <c r="B725" s="57" t="s">
        <v>1040</v>
      </c>
      <c r="C725" s="87">
        <v>156</v>
      </c>
      <c r="D725" s="57" t="s">
        <v>1008</v>
      </c>
      <c r="E725" s="58">
        <v>45179</v>
      </c>
      <c r="F725" s="57">
        <v>64</v>
      </c>
      <c r="G725" s="59">
        <v>2.7</v>
      </c>
      <c r="H725" s="57">
        <f>IF(MONTH(Call_Centre_Data[[#This Row],[Date of Call]])&lt;=6,YEAR(Call_Centre_Data[[#This Row],[Date of Call]]),YEAR(Call_Centre_Data[[#This Row],[Date of Call]])+1)</f>
        <v>2024</v>
      </c>
      <c r="I725" s="39" t="str">
        <f>TEXT(Call_Centre_Data[[#This Row],[Date of Call]],"DDDD")</f>
        <v>Sunday</v>
      </c>
      <c r="J725" s="39" t="str" cm="1">
        <f t="array" ref="J725">_xlfn.IFS(Call_Centre_Data[[#This Row],[Duration]]&lt;=10,"Under 10 Mins", Call_Centre_Data[[#This Row],[Duration]]&lt;=30,"10-30 Mins",Call_Centre_Data[[#This Row],[Duration]]&lt;=60,"30-60 Mins",Call_Centre_Data[[#This Row],[Duration]]&lt;=120,"1-2 Hours",TRUE,"More than 2 Hours")</f>
        <v>More than 2 Hours</v>
      </c>
      <c r="K725" s="91">
        <f>ROUND(Call_Centre_Data[[#This Row],[Satisfaction Rating]],0)</f>
        <v>3</v>
      </c>
    </row>
    <row r="726" spans="1:11" x14ac:dyDescent="0.35">
      <c r="A726" s="56" t="s">
        <v>1731</v>
      </c>
      <c r="B726" s="57" t="s">
        <v>1007</v>
      </c>
      <c r="C726" s="87">
        <v>107</v>
      </c>
      <c r="D726" s="57" t="s">
        <v>994</v>
      </c>
      <c r="E726" s="58">
        <v>45179</v>
      </c>
      <c r="F726" s="57">
        <v>38</v>
      </c>
      <c r="G726" s="59">
        <v>4.7</v>
      </c>
      <c r="H726" s="57">
        <f>IF(MONTH(Call_Centre_Data[[#This Row],[Date of Call]])&lt;=6,YEAR(Call_Centre_Data[[#This Row],[Date of Call]]),YEAR(Call_Centre_Data[[#This Row],[Date of Call]])+1)</f>
        <v>2024</v>
      </c>
      <c r="I726" s="39" t="str">
        <f>TEXT(Call_Centre_Data[[#This Row],[Date of Call]],"DDDD")</f>
        <v>Sunday</v>
      </c>
      <c r="J726" s="39" t="str" cm="1">
        <f t="array" ref="J726">_xlfn.IFS(Call_Centre_Data[[#This Row],[Duration]]&lt;=10,"Under 10 Mins", Call_Centre_Data[[#This Row],[Duration]]&lt;=30,"10-30 Mins",Call_Centre_Data[[#This Row],[Duration]]&lt;=60,"30-60 Mins",Call_Centre_Data[[#This Row],[Duration]]&lt;=120,"1-2 Hours",TRUE,"More than 2 Hours")</f>
        <v>1-2 Hours</v>
      </c>
      <c r="K726" s="91">
        <f>ROUND(Call_Centre_Data[[#This Row],[Satisfaction Rating]],0)</f>
        <v>5</v>
      </c>
    </row>
    <row r="727" spans="1:11" x14ac:dyDescent="0.35">
      <c r="A727" s="56" t="s">
        <v>1732</v>
      </c>
      <c r="B727" s="57" t="s">
        <v>988</v>
      </c>
      <c r="C727" s="87">
        <v>58</v>
      </c>
      <c r="D727" s="57" t="s">
        <v>994</v>
      </c>
      <c r="E727" s="58">
        <v>45181</v>
      </c>
      <c r="F727" s="57">
        <v>90</v>
      </c>
      <c r="G727" s="59">
        <v>4.3</v>
      </c>
      <c r="H727" s="57">
        <f>IF(MONTH(Call_Centre_Data[[#This Row],[Date of Call]])&lt;=6,YEAR(Call_Centre_Data[[#This Row],[Date of Call]]),YEAR(Call_Centre_Data[[#This Row],[Date of Call]])+1)</f>
        <v>2024</v>
      </c>
      <c r="I727" s="39" t="str">
        <f>TEXT(Call_Centre_Data[[#This Row],[Date of Call]],"DDDD")</f>
        <v>Tuesday</v>
      </c>
      <c r="J727" s="39" t="str" cm="1">
        <f t="array" ref="J727">_xlfn.IFS(Call_Centre_Data[[#This Row],[Duration]]&lt;=10,"Under 10 Mins", Call_Centre_Data[[#This Row],[Duration]]&lt;=30,"10-30 Mins",Call_Centre_Data[[#This Row],[Duration]]&lt;=60,"30-60 Mins",Call_Centre_Data[[#This Row],[Duration]]&lt;=120,"1-2 Hours",TRUE,"More than 2 Hours")</f>
        <v>30-60 Mins</v>
      </c>
      <c r="K727" s="91">
        <f>ROUND(Call_Centre_Data[[#This Row],[Satisfaction Rating]],0)</f>
        <v>4</v>
      </c>
    </row>
    <row r="728" spans="1:11" x14ac:dyDescent="0.35">
      <c r="A728" s="56" t="s">
        <v>1733</v>
      </c>
      <c r="B728" s="57" t="s">
        <v>1011</v>
      </c>
      <c r="C728" s="87">
        <v>66</v>
      </c>
      <c r="D728" s="57" t="s">
        <v>994</v>
      </c>
      <c r="E728" s="58">
        <v>45181</v>
      </c>
      <c r="F728" s="57">
        <v>32</v>
      </c>
      <c r="G728" s="59">
        <v>3.8</v>
      </c>
      <c r="H728" s="57">
        <f>IF(MONTH(Call_Centre_Data[[#This Row],[Date of Call]])&lt;=6,YEAR(Call_Centre_Data[[#This Row],[Date of Call]]),YEAR(Call_Centre_Data[[#This Row],[Date of Call]])+1)</f>
        <v>2024</v>
      </c>
      <c r="I728" s="39" t="str">
        <f>TEXT(Call_Centre_Data[[#This Row],[Date of Call]],"DDDD")</f>
        <v>Tuesday</v>
      </c>
      <c r="J728" s="39" t="str" cm="1">
        <f t="array" ref="J728">_xlfn.IFS(Call_Centre_Data[[#This Row],[Duration]]&lt;=10,"Under 10 Mins", Call_Centre_Data[[#This Row],[Duration]]&lt;=30,"10-30 Mins",Call_Centre_Data[[#This Row],[Duration]]&lt;=60,"30-60 Mins",Call_Centre_Data[[#This Row],[Duration]]&lt;=120,"1-2 Hours",TRUE,"More than 2 Hours")</f>
        <v>1-2 Hours</v>
      </c>
      <c r="K728" s="91">
        <f>ROUND(Call_Centre_Data[[#This Row],[Satisfaction Rating]],0)</f>
        <v>4</v>
      </c>
    </row>
    <row r="729" spans="1:11" x14ac:dyDescent="0.35">
      <c r="A729" s="56" t="s">
        <v>1734</v>
      </c>
      <c r="B729" s="57" t="s">
        <v>1013</v>
      </c>
      <c r="C729" s="87">
        <v>75</v>
      </c>
      <c r="D729" s="57" t="s">
        <v>1008</v>
      </c>
      <c r="E729" s="58">
        <v>45181</v>
      </c>
      <c r="F729" s="57">
        <v>120</v>
      </c>
      <c r="G729" s="59">
        <v>4.4000000000000004</v>
      </c>
      <c r="H729" s="57">
        <f>IF(MONTH(Call_Centre_Data[[#This Row],[Date of Call]])&lt;=6,YEAR(Call_Centre_Data[[#This Row],[Date of Call]]),YEAR(Call_Centre_Data[[#This Row],[Date of Call]])+1)</f>
        <v>2024</v>
      </c>
      <c r="I729" s="39" t="str">
        <f>TEXT(Call_Centre_Data[[#This Row],[Date of Call]],"DDDD")</f>
        <v>Tuesday</v>
      </c>
      <c r="J729" s="39" t="str" cm="1">
        <f t="array" ref="J729">_xlfn.IFS(Call_Centre_Data[[#This Row],[Duration]]&lt;=10,"Under 10 Mins", Call_Centre_Data[[#This Row],[Duration]]&lt;=30,"10-30 Mins",Call_Centre_Data[[#This Row],[Duration]]&lt;=60,"30-60 Mins",Call_Centre_Data[[#This Row],[Duration]]&lt;=120,"1-2 Hours",TRUE,"More than 2 Hours")</f>
        <v>1-2 Hours</v>
      </c>
      <c r="K729" s="91">
        <f>ROUND(Call_Centre_Data[[#This Row],[Satisfaction Rating]],0)</f>
        <v>4</v>
      </c>
    </row>
    <row r="730" spans="1:11" x14ac:dyDescent="0.35">
      <c r="A730" s="56" t="s">
        <v>1735</v>
      </c>
      <c r="B730" s="57" t="s">
        <v>1007</v>
      </c>
      <c r="C730" s="87">
        <v>8</v>
      </c>
      <c r="D730" s="57" t="s">
        <v>994</v>
      </c>
      <c r="E730" s="58">
        <v>45181</v>
      </c>
      <c r="F730" s="57">
        <v>31</v>
      </c>
      <c r="G730" s="59">
        <v>3.9</v>
      </c>
      <c r="H730" s="57">
        <f>IF(MONTH(Call_Centre_Data[[#This Row],[Date of Call]])&lt;=6,YEAR(Call_Centre_Data[[#This Row],[Date of Call]]),YEAR(Call_Centre_Data[[#This Row],[Date of Call]])+1)</f>
        <v>2024</v>
      </c>
      <c r="I730" s="39" t="str">
        <f>TEXT(Call_Centre_Data[[#This Row],[Date of Call]],"DDDD")</f>
        <v>Tuesday</v>
      </c>
      <c r="J730" s="39" t="str" cm="1">
        <f t="array" ref="J730">_xlfn.IFS(Call_Centre_Data[[#This Row],[Duration]]&lt;=10,"Under 10 Mins", Call_Centre_Data[[#This Row],[Duration]]&lt;=30,"10-30 Mins",Call_Centre_Data[[#This Row],[Duration]]&lt;=60,"30-60 Mins",Call_Centre_Data[[#This Row],[Duration]]&lt;=120,"1-2 Hours",TRUE,"More than 2 Hours")</f>
        <v>Under 10 Mins</v>
      </c>
      <c r="K730" s="91">
        <f>ROUND(Call_Centre_Data[[#This Row],[Satisfaction Rating]],0)</f>
        <v>4</v>
      </c>
    </row>
    <row r="731" spans="1:11" x14ac:dyDescent="0.35">
      <c r="A731" s="56" t="s">
        <v>1736</v>
      </c>
      <c r="B731" s="57" t="s">
        <v>993</v>
      </c>
      <c r="C731" s="87">
        <v>76</v>
      </c>
      <c r="D731" s="57" t="s">
        <v>1008</v>
      </c>
      <c r="E731" s="58">
        <v>45182</v>
      </c>
      <c r="F731" s="57">
        <v>108</v>
      </c>
      <c r="G731" s="59">
        <v>4.9000000000000004</v>
      </c>
      <c r="H731" s="57">
        <f>IF(MONTH(Call_Centre_Data[[#This Row],[Date of Call]])&lt;=6,YEAR(Call_Centre_Data[[#This Row],[Date of Call]]),YEAR(Call_Centre_Data[[#This Row],[Date of Call]])+1)</f>
        <v>2024</v>
      </c>
      <c r="I731" s="39" t="str">
        <f>TEXT(Call_Centre_Data[[#This Row],[Date of Call]],"DDDD")</f>
        <v>Wednesday</v>
      </c>
      <c r="J731" s="39" t="str" cm="1">
        <f t="array" ref="J731">_xlfn.IFS(Call_Centre_Data[[#This Row],[Duration]]&lt;=10,"Under 10 Mins", Call_Centre_Data[[#This Row],[Duration]]&lt;=30,"10-30 Mins",Call_Centre_Data[[#This Row],[Duration]]&lt;=60,"30-60 Mins",Call_Centre_Data[[#This Row],[Duration]]&lt;=120,"1-2 Hours",TRUE,"More than 2 Hours")</f>
        <v>1-2 Hours</v>
      </c>
      <c r="K731" s="91">
        <f>ROUND(Call_Centre_Data[[#This Row],[Satisfaction Rating]],0)</f>
        <v>5</v>
      </c>
    </row>
    <row r="732" spans="1:11" x14ac:dyDescent="0.35">
      <c r="A732" s="56" t="s">
        <v>1737</v>
      </c>
      <c r="B732" s="57" t="s">
        <v>988</v>
      </c>
      <c r="C732" s="87">
        <v>110</v>
      </c>
      <c r="D732" s="57" t="s">
        <v>1008</v>
      </c>
      <c r="E732" s="58">
        <v>45182</v>
      </c>
      <c r="F732" s="57">
        <v>180</v>
      </c>
      <c r="G732" s="59">
        <v>4.2</v>
      </c>
      <c r="H732" s="57">
        <f>IF(MONTH(Call_Centre_Data[[#This Row],[Date of Call]])&lt;=6,YEAR(Call_Centre_Data[[#This Row],[Date of Call]]),YEAR(Call_Centre_Data[[#This Row],[Date of Call]])+1)</f>
        <v>2024</v>
      </c>
      <c r="I732" s="39" t="str">
        <f>TEXT(Call_Centre_Data[[#This Row],[Date of Call]],"DDDD")</f>
        <v>Wednesday</v>
      </c>
      <c r="J732" s="39" t="str" cm="1">
        <f t="array" ref="J732">_xlfn.IFS(Call_Centre_Data[[#This Row],[Duration]]&lt;=10,"Under 10 Mins", Call_Centre_Data[[#This Row],[Duration]]&lt;=30,"10-30 Mins",Call_Centre_Data[[#This Row],[Duration]]&lt;=60,"30-60 Mins",Call_Centre_Data[[#This Row],[Duration]]&lt;=120,"1-2 Hours",TRUE,"More than 2 Hours")</f>
        <v>1-2 Hours</v>
      </c>
      <c r="K732" s="91">
        <f>ROUND(Call_Centre_Data[[#This Row],[Satisfaction Rating]],0)</f>
        <v>4</v>
      </c>
    </row>
    <row r="733" spans="1:11" x14ac:dyDescent="0.35">
      <c r="A733" s="56" t="s">
        <v>1738</v>
      </c>
      <c r="B733" s="57" t="s">
        <v>1011</v>
      </c>
      <c r="C733" s="87">
        <v>50</v>
      </c>
      <c r="D733" s="57" t="s">
        <v>999</v>
      </c>
      <c r="E733" s="58">
        <v>45183</v>
      </c>
      <c r="F733" s="57">
        <v>124</v>
      </c>
      <c r="G733" s="59">
        <v>4</v>
      </c>
      <c r="H733" s="57">
        <f>IF(MONTH(Call_Centre_Data[[#This Row],[Date of Call]])&lt;=6,YEAR(Call_Centre_Data[[#This Row],[Date of Call]]),YEAR(Call_Centre_Data[[#This Row],[Date of Call]])+1)</f>
        <v>2024</v>
      </c>
      <c r="I733" s="39" t="str">
        <f>TEXT(Call_Centre_Data[[#This Row],[Date of Call]],"DDDD")</f>
        <v>Thursday</v>
      </c>
      <c r="J733" s="39" t="str" cm="1">
        <f t="array" ref="J733">_xlfn.IFS(Call_Centre_Data[[#This Row],[Duration]]&lt;=10,"Under 10 Mins", Call_Centre_Data[[#This Row],[Duration]]&lt;=30,"10-30 Mins",Call_Centre_Data[[#This Row],[Duration]]&lt;=60,"30-60 Mins",Call_Centre_Data[[#This Row],[Duration]]&lt;=120,"1-2 Hours",TRUE,"More than 2 Hours")</f>
        <v>30-60 Mins</v>
      </c>
      <c r="K733" s="91">
        <f>ROUND(Call_Centre_Data[[#This Row],[Satisfaction Rating]],0)</f>
        <v>4</v>
      </c>
    </row>
    <row r="734" spans="1:11" x14ac:dyDescent="0.35">
      <c r="A734" s="56" t="s">
        <v>1739</v>
      </c>
      <c r="B734" s="57" t="s">
        <v>1002</v>
      </c>
      <c r="C734" s="87">
        <v>78</v>
      </c>
      <c r="D734" s="57" t="s">
        <v>999</v>
      </c>
      <c r="E734" s="58">
        <v>45183</v>
      </c>
      <c r="F734" s="57">
        <v>23</v>
      </c>
      <c r="G734" s="59">
        <v>4.2</v>
      </c>
      <c r="H734" s="57">
        <f>IF(MONTH(Call_Centre_Data[[#This Row],[Date of Call]])&lt;=6,YEAR(Call_Centre_Data[[#This Row],[Date of Call]]),YEAR(Call_Centre_Data[[#This Row],[Date of Call]])+1)</f>
        <v>2024</v>
      </c>
      <c r="I734" s="39" t="str">
        <f>TEXT(Call_Centre_Data[[#This Row],[Date of Call]],"DDDD")</f>
        <v>Thursday</v>
      </c>
      <c r="J734" s="39" t="str" cm="1">
        <f t="array" ref="J734">_xlfn.IFS(Call_Centre_Data[[#This Row],[Duration]]&lt;=10,"Under 10 Mins", Call_Centre_Data[[#This Row],[Duration]]&lt;=30,"10-30 Mins",Call_Centre_Data[[#This Row],[Duration]]&lt;=60,"30-60 Mins",Call_Centre_Data[[#This Row],[Duration]]&lt;=120,"1-2 Hours",TRUE,"More than 2 Hours")</f>
        <v>1-2 Hours</v>
      </c>
      <c r="K734" s="91">
        <f>ROUND(Call_Centre_Data[[#This Row],[Satisfaction Rating]],0)</f>
        <v>4</v>
      </c>
    </row>
    <row r="735" spans="1:11" x14ac:dyDescent="0.35">
      <c r="A735" s="56" t="s">
        <v>1740</v>
      </c>
      <c r="B735" s="57" t="s">
        <v>1030</v>
      </c>
      <c r="C735" s="87">
        <v>59</v>
      </c>
      <c r="D735" s="57" t="s">
        <v>989</v>
      </c>
      <c r="E735" s="58">
        <v>45184</v>
      </c>
      <c r="F735" s="57">
        <v>24</v>
      </c>
      <c r="G735" s="59">
        <v>4.8</v>
      </c>
      <c r="H735" s="57">
        <f>IF(MONTH(Call_Centre_Data[[#This Row],[Date of Call]])&lt;=6,YEAR(Call_Centre_Data[[#This Row],[Date of Call]]),YEAR(Call_Centre_Data[[#This Row],[Date of Call]])+1)</f>
        <v>2024</v>
      </c>
      <c r="I735" s="39" t="str">
        <f>TEXT(Call_Centre_Data[[#This Row],[Date of Call]],"DDDD")</f>
        <v>Friday</v>
      </c>
      <c r="J735" s="39" t="str" cm="1">
        <f t="array" ref="J735">_xlfn.IFS(Call_Centre_Data[[#This Row],[Duration]]&lt;=10,"Under 10 Mins", Call_Centre_Data[[#This Row],[Duration]]&lt;=30,"10-30 Mins",Call_Centre_Data[[#This Row],[Duration]]&lt;=60,"30-60 Mins",Call_Centre_Data[[#This Row],[Duration]]&lt;=120,"1-2 Hours",TRUE,"More than 2 Hours")</f>
        <v>30-60 Mins</v>
      </c>
      <c r="K735" s="91">
        <f>ROUND(Call_Centre_Data[[#This Row],[Satisfaction Rating]],0)</f>
        <v>5</v>
      </c>
    </row>
    <row r="736" spans="1:11" x14ac:dyDescent="0.35">
      <c r="A736" s="56" t="s">
        <v>1741</v>
      </c>
      <c r="B736" s="57" t="s">
        <v>1002</v>
      </c>
      <c r="C736" s="87">
        <v>126</v>
      </c>
      <c r="D736" s="57" t="s">
        <v>994</v>
      </c>
      <c r="E736" s="58">
        <v>45185</v>
      </c>
      <c r="F736" s="57">
        <v>52</v>
      </c>
      <c r="G736" s="59">
        <v>1.1000000000000001</v>
      </c>
      <c r="H736" s="57">
        <f>IF(MONTH(Call_Centre_Data[[#This Row],[Date of Call]])&lt;=6,YEAR(Call_Centre_Data[[#This Row],[Date of Call]]),YEAR(Call_Centre_Data[[#This Row],[Date of Call]])+1)</f>
        <v>2024</v>
      </c>
      <c r="I736" s="39" t="str">
        <f>TEXT(Call_Centre_Data[[#This Row],[Date of Call]],"DDDD")</f>
        <v>Saturday</v>
      </c>
      <c r="J736" s="39" t="str" cm="1">
        <f t="array" ref="J736">_xlfn.IFS(Call_Centre_Data[[#This Row],[Duration]]&lt;=10,"Under 10 Mins", Call_Centre_Data[[#This Row],[Duration]]&lt;=30,"10-30 Mins",Call_Centre_Data[[#This Row],[Duration]]&lt;=60,"30-60 Mins",Call_Centre_Data[[#This Row],[Duration]]&lt;=120,"1-2 Hours",TRUE,"More than 2 Hours")</f>
        <v>More than 2 Hours</v>
      </c>
      <c r="K736" s="91">
        <f>ROUND(Call_Centre_Data[[#This Row],[Satisfaction Rating]],0)</f>
        <v>1</v>
      </c>
    </row>
    <row r="737" spans="1:11" x14ac:dyDescent="0.35">
      <c r="A737" s="56" t="s">
        <v>1742</v>
      </c>
      <c r="B737" s="57" t="s">
        <v>993</v>
      </c>
      <c r="C737" s="87">
        <v>43</v>
      </c>
      <c r="D737" s="57" t="s">
        <v>989</v>
      </c>
      <c r="E737" s="58">
        <v>45186</v>
      </c>
      <c r="F737" s="57">
        <v>168</v>
      </c>
      <c r="G737" s="59">
        <v>4</v>
      </c>
      <c r="H737" s="57">
        <f>IF(MONTH(Call_Centre_Data[[#This Row],[Date of Call]])&lt;=6,YEAR(Call_Centre_Data[[#This Row],[Date of Call]]),YEAR(Call_Centre_Data[[#This Row],[Date of Call]])+1)</f>
        <v>2024</v>
      </c>
      <c r="I737" s="39" t="str">
        <f>TEXT(Call_Centre_Data[[#This Row],[Date of Call]],"DDDD")</f>
        <v>Sunday</v>
      </c>
      <c r="J737" s="39" t="str" cm="1">
        <f t="array" ref="J737">_xlfn.IFS(Call_Centre_Data[[#This Row],[Duration]]&lt;=10,"Under 10 Mins", Call_Centre_Data[[#This Row],[Duration]]&lt;=30,"10-30 Mins",Call_Centre_Data[[#This Row],[Duration]]&lt;=60,"30-60 Mins",Call_Centre_Data[[#This Row],[Duration]]&lt;=120,"1-2 Hours",TRUE,"More than 2 Hours")</f>
        <v>30-60 Mins</v>
      </c>
      <c r="K737" s="91">
        <f>ROUND(Call_Centre_Data[[#This Row],[Satisfaction Rating]],0)</f>
        <v>4</v>
      </c>
    </row>
    <row r="738" spans="1:11" x14ac:dyDescent="0.35">
      <c r="A738" s="56" t="s">
        <v>1743</v>
      </c>
      <c r="B738" s="57" t="s">
        <v>1040</v>
      </c>
      <c r="C738" s="87">
        <v>79</v>
      </c>
      <c r="D738" s="57" t="s">
        <v>1008</v>
      </c>
      <c r="E738" s="58">
        <v>45188</v>
      </c>
      <c r="F738" s="57">
        <v>125</v>
      </c>
      <c r="G738" s="59">
        <v>4.8</v>
      </c>
      <c r="H738" s="57">
        <f>IF(MONTH(Call_Centre_Data[[#This Row],[Date of Call]])&lt;=6,YEAR(Call_Centre_Data[[#This Row],[Date of Call]]),YEAR(Call_Centre_Data[[#This Row],[Date of Call]])+1)</f>
        <v>2024</v>
      </c>
      <c r="I738" s="39" t="str">
        <f>TEXT(Call_Centre_Data[[#This Row],[Date of Call]],"DDDD")</f>
        <v>Tuesday</v>
      </c>
      <c r="J738" s="39" t="str" cm="1">
        <f t="array" ref="J738">_xlfn.IFS(Call_Centre_Data[[#This Row],[Duration]]&lt;=10,"Under 10 Mins", Call_Centre_Data[[#This Row],[Duration]]&lt;=30,"10-30 Mins",Call_Centre_Data[[#This Row],[Duration]]&lt;=60,"30-60 Mins",Call_Centre_Data[[#This Row],[Duration]]&lt;=120,"1-2 Hours",TRUE,"More than 2 Hours")</f>
        <v>1-2 Hours</v>
      </c>
      <c r="K738" s="91">
        <f>ROUND(Call_Centre_Data[[#This Row],[Satisfaction Rating]],0)</f>
        <v>5</v>
      </c>
    </row>
    <row r="739" spans="1:11" x14ac:dyDescent="0.35">
      <c r="A739" s="56" t="s">
        <v>1744</v>
      </c>
      <c r="B739" s="57" t="s">
        <v>988</v>
      </c>
      <c r="C739" s="87">
        <v>71</v>
      </c>
      <c r="D739" s="57" t="s">
        <v>989</v>
      </c>
      <c r="E739" s="58">
        <v>45189</v>
      </c>
      <c r="F739" s="57">
        <v>50</v>
      </c>
      <c r="G739" s="59">
        <v>4.2</v>
      </c>
      <c r="H739" s="57">
        <f>IF(MONTH(Call_Centre_Data[[#This Row],[Date of Call]])&lt;=6,YEAR(Call_Centre_Data[[#This Row],[Date of Call]]),YEAR(Call_Centre_Data[[#This Row],[Date of Call]])+1)</f>
        <v>2024</v>
      </c>
      <c r="I739" s="39" t="str">
        <f>TEXT(Call_Centre_Data[[#This Row],[Date of Call]],"DDDD")</f>
        <v>Wednesday</v>
      </c>
      <c r="J739" s="39" t="str" cm="1">
        <f t="array" ref="J739">_xlfn.IFS(Call_Centre_Data[[#This Row],[Duration]]&lt;=10,"Under 10 Mins", Call_Centre_Data[[#This Row],[Duration]]&lt;=30,"10-30 Mins",Call_Centre_Data[[#This Row],[Duration]]&lt;=60,"30-60 Mins",Call_Centre_Data[[#This Row],[Duration]]&lt;=120,"1-2 Hours",TRUE,"More than 2 Hours")</f>
        <v>1-2 Hours</v>
      </c>
      <c r="K739" s="91">
        <f>ROUND(Call_Centre_Data[[#This Row],[Satisfaction Rating]],0)</f>
        <v>4</v>
      </c>
    </row>
    <row r="740" spans="1:11" x14ac:dyDescent="0.35">
      <c r="A740" s="56" t="s">
        <v>1745</v>
      </c>
      <c r="B740" s="57" t="s">
        <v>1019</v>
      </c>
      <c r="C740" s="87">
        <v>94</v>
      </c>
      <c r="D740" s="57" t="s">
        <v>994</v>
      </c>
      <c r="E740" s="58">
        <v>45190</v>
      </c>
      <c r="F740" s="57">
        <v>220</v>
      </c>
      <c r="G740" s="59">
        <v>4.5999999999999996</v>
      </c>
      <c r="H740" s="57">
        <f>IF(MONTH(Call_Centre_Data[[#This Row],[Date of Call]])&lt;=6,YEAR(Call_Centre_Data[[#This Row],[Date of Call]]),YEAR(Call_Centre_Data[[#This Row],[Date of Call]])+1)</f>
        <v>2024</v>
      </c>
      <c r="I740" s="39" t="str">
        <f>TEXT(Call_Centre_Data[[#This Row],[Date of Call]],"DDDD")</f>
        <v>Thursday</v>
      </c>
      <c r="J740" s="39" t="str" cm="1">
        <f t="array" ref="J740">_xlfn.IFS(Call_Centre_Data[[#This Row],[Duration]]&lt;=10,"Under 10 Mins", Call_Centre_Data[[#This Row],[Duration]]&lt;=30,"10-30 Mins",Call_Centre_Data[[#This Row],[Duration]]&lt;=60,"30-60 Mins",Call_Centre_Data[[#This Row],[Duration]]&lt;=120,"1-2 Hours",TRUE,"More than 2 Hours")</f>
        <v>1-2 Hours</v>
      </c>
      <c r="K740" s="91">
        <f>ROUND(Call_Centre_Data[[#This Row],[Satisfaction Rating]],0)</f>
        <v>5</v>
      </c>
    </row>
    <row r="741" spans="1:11" x14ac:dyDescent="0.35">
      <c r="A741" s="56" t="s">
        <v>1746</v>
      </c>
      <c r="B741" s="57" t="s">
        <v>1007</v>
      </c>
      <c r="C741" s="87">
        <v>108</v>
      </c>
      <c r="D741" s="57" t="s">
        <v>989</v>
      </c>
      <c r="E741" s="58">
        <v>45190</v>
      </c>
      <c r="F741" s="57">
        <v>180</v>
      </c>
      <c r="G741" s="59">
        <v>4</v>
      </c>
      <c r="H741" s="57">
        <f>IF(MONTH(Call_Centre_Data[[#This Row],[Date of Call]])&lt;=6,YEAR(Call_Centre_Data[[#This Row],[Date of Call]]),YEAR(Call_Centre_Data[[#This Row],[Date of Call]])+1)</f>
        <v>2024</v>
      </c>
      <c r="I741" s="39" t="str">
        <f>TEXT(Call_Centre_Data[[#This Row],[Date of Call]],"DDDD")</f>
        <v>Thursday</v>
      </c>
      <c r="J741" s="39" t="str" cm="1">
        <f t="array" ref="J741">_xlfn.IFS(Call_Centre_Data[[#This Row],[Duration]]&lt;=10,"Under 10 Mins", Call_Centre_Data[[#This Row],[Duration]]&lt;=30,"10-30 Mins",Call_Centre_Data[[#This Row],[Duration]]&lt;=60,"30-60 Mins",Call_Centre_Data[[#This Row],[Duration]]&lt;=120,"1-2 Hours",TRUE,"More than 2 Hours")</f>
        <v>1-2 Hours</v>
      </c>
      <c r="K741" s="91">
        <f>ROUND(Call_Centre_Data[[#This Row],[Satisfaction Rating]],0)</f>
        <v>4</v>
      </c>
    </row>
    <row r="742" spans="1:11" x14ac:dyDescent="0.35">
      <c r="A742" s="56" t="s">
        <v>1747</v>
      </c>
      <c r="B742" s="57" t="s">
        <v>993</v>
      </c>
      <c r="C742" s="87">
        <v>76</v>
      </c>
      <c r="D742" s="57" t="s">
        <v>994</v>
      </c>
      <c r="E742" s="58">
        <v>45190</v>
      </c>
      <c r="F742" s="57">
        <v>110</v>
      </c>
      <c r="G742" s="59">
        <v>3.9</v>
      </c>
      <c r="H742" s="57">
        <f>IF(MONTH(Call_Centre_Data[[#This Row],[Date of Call]])&lt;=6,YEAR(Call_Centre_Data[[#This Row],[Date of Call]]),YEAR(Call_Centre_Data[[#This Row],[Date of Call]])+1)</f>
        <v>2024</v>
      </c>
      <c r="I742" s="39" t="str">
        <f>TEXT(Call_Centre_Data[[#This Row],[Date of Call]],"DDDD")</f>
        <v>Thursday</v>
      </c>
      <c r="J742" s="39" t="str" cm="1">
        <f t="array" ref="J742">_xlfn.IFS(Call_Centre_Data[[#This Row],[Duration]]&lt;=10,"Under 10 Mins", Call_Centre_Data[[#This Row],[Duration]]&lt;=30,"10-30 Mins",Call_Centre_Data[[#This Row],[Duration]]&lt;=60,"30-60 Mins",Call_Centre_Data[[#This Row],[Duration]]&lt;=120,"1-2 Hours",TRUE,"More than 2 Hours")</f>
        <v>1-2 Hours</v>
      </c>
      <c r="K742" s="91">
        <f>ROUND(Call_Centre_Data[[#This Row],[Satisfaction Rating]],0)</f>
        <v>4</v>
      </c>
    </row>
    <row r="743" spans="1:11" x14ac:dyDescent="0.35">
      <c r="A743" s="56" t="s">
        <v>1748</v>
      </c>
      <c r="B743" s="57" t="s">
        <v>1030</v>
      </c>
      <c r="C743" s="87">
        <v>136</v>
      </c>
      <c r="D743" s="57" t="s">
        <v>989</v>
      </c>
      <c r="E743" s="58">
        <v>45190</v>
      </c>
      <c r="F743" s="57">
        <v>36</v>
      </c>
      <c r="G743" s="59">
        <v>2.8</v>
      </c>
      <c r="H743" s="57">
        <f>IF(MONTH(Call_Centre_Data[[#This Row],[Date of Call]])&lt;=6,YEAR(Call_Centre_Data[[#This Row],[Date of Call]]),YEAR(Call_Centre_Data[[#This Row],[Date of Call]])+1)</f>
        <v>2024</v>
      </c>
      <c r="I743" s="39" t="str">
        <f>TEXT(Call_Centre_Data[[#This Row],[Date of Call]],"DDDD")</f>
        <v>Thursday</v>
      </c>
      <c r="J743" s="39" t="str" cm="1">
        <f t="array" ref="J743">_xlfn.IFS(Call_Centre_Data[[#This Row],[Duration]]&lt;=10,"Under 10 Mins", Call_Centre_Data[[#This Row],[Duration]]&lt;=30,"10-30 Mins",Call_Centre_Data[[#This Row],[Duration]]&lt;=60,"30-60 Mins",Call_Centre_Data[[#This Row],[Duration]]&lt;=120,"1-2 Hours",TRUE,"More than 2 Hours")</f>
        <v>More than 2 Hours</v>
      </c>
      <c r="K743" s="91">
        <f>ROUND(Call_Centre_Data[[#This Row],[Satisfaction Rating]],0)</f>
        <v>3</v>
      </c>
    </row>
    <row r="744" spans="1:11" x14ac:dyDescent="0.35">
      <c r="A744" s="56" t="s">
        <v>1749</v>
      </c>
      <c r="B744" s="57" t="s">
        <v>991</v>
      </c>
      <c r="C744" s="87">
        <v>129</v>
      </c>
      <c r="D744" s="57" t="s">
        <v>999</v>
      </c>
      <c r="E744" s="58">
        <v>45191</v>
      </c>
      <c r="F744" s="57">
        <v>93</v>
      </c>
      <c r="G744" s="59">
        <v>4.7</v>
      </c>
      <c r="H744" s="57">
        <f>IF(MONTH(Call_Centre_Data[[#This Row],[Date of Call]])&lt;=6,YEAR(Call_Centre_Data[[#This Row],[Date of Call]]),YEAR(Call_Centre_Data[[#This Row],[Date of Call]])+1)</f>
        <v>2024</v>
      </c>
      <c r="I744" s="39" t="str">
        <f>TEXT(Call_Centre_Data[[#This Row],[Date of Call]],"DDDD")</f>
        <v>Friday</v>
      </c>
      <c r="J744" s="39" t="str" cm="1">
        <f t="array" ref="J744">_xlfn.IFS(Call_Centre_Data[[#This Row],[Duration]]&lt;=10,"Under 10 Mins", Call_Centre_Data[[#This Row],[Duration]]&lt;=30,"10-30 Mins",Call_Centre_Data[[#This Row],[Duration]]&lt;=60,"30-60 Mins",Call_Centre_Data[[#This Row],[Duration]]&lt;=120,"1-2 Hours",TRUE,"More than 2 Hours")</f>
        <v>More than 2 Hours</v>
      </c>
      <c r="K744" s="91">
        <f>ROUND(Call_Centre_Data[[#This Row],[Satisfaction Rating]],0)</f>
        <v>5</v>
      </c>
    </row>
    <row r="745" spans="1:11" x14ac:dyDescent="0.35">
      <c r="A745" s="56" t="s">
        <v>1750</v>
      </c>
      <c r="B745" s="57" t="s">
        <v>1007</v>
      </c>
      <c r="C745" s="87">
        <v>120</v>
      </c>
      <c r="D745" s="57" t="s">
        <v>989</v>
      </c>
      <c r="E745" s="58">
        <v>45191</v>
      </c>
      <c r="F745" s="57">
        <v>38</v>
      </c>
      <c r="G745" s="59">
        <v>4.2</v>
      </c>
      <c r="H745" s="57">
        <f>IF(MONTH(Call_Centre_Data[[#This Row],[Date of Call]])&lt;=6,YEAR(Call_Centre_Data[[#This Row],[Date of Call]]),YEAR(Call_Centre_Data[[#This Row],[Date of Call]])+1)</f>
        <v>2024</v>
      </c>
      <c r="I745" s="39" t="str">
        <f>TEXT(Call_Centre_Data[[#This Row],[Date of Call]],"DDDD")</f>
        <v>Friday</v>
      </c>
      <c r="J745" s="39" t="str" cm="1">
        <f t="array" ref="J745">_xlfn.IFS(Call_Centre_Data[[#This Row],[Duration]]&lt;=10,"Under 10 Mins", Call_Centre_Data[[#This Row],[Duration]]&lt;=30,"10-30 Mins",Call_Centre_Data[[#This Row],[Duration]]&lt;=60,"30-60 Mins",Call_Centre_Data[[#This Row],[Duration]]&lt;=120,"1-2 Hours",TRUE,"More than 2 Hours")</f>
        <v>1-2 Hours</v>
      </c>
      <c r="K745" s="91">
        <f>ROUND(Call_Centre_Data[[#This Row],[Satisfaction Rating]],0)</f>
        <v>4</v>
      </c>
    </row>
    <row r="746" spans="1:11" x14ac:dyDescent="0.35">
      <c r="A746" s="56" t="s">
        <v>1751</v>
      </c>
      <c r="B746" s="57" t="s">
        <v>993</v>
      </c>
      <c r="C746" s="87">
        <v>108</v>
      </c>
      <c r="D746" s="57" t="s">
        <v>999</v>
      </c>
      <c r="E746" s="58">
        <v>45192</v>
      </c>
      <c r="F746" s="57">
        <v>66</v>
      </c>
      <c r="G746" s="59">
        <v>3.9</v>
      </c>
      <c r="H746" s="57">
        <f>IF(MONTH(Call_Centre_Data[[#This Row],[Date of Call]])&lt;=6,YEAR(Call_Centre_Data[[#This Row],[Date of Call]]),YEAR(Call_Centre_Data[[#This Row],[Date of Call]])+1)</f>
        <v>2024</v>
      </c>
      <c r="I746" s="39" t="str">
        <f>TEXT(Call_Centre_Data[[#This Row],[Date of Call]],"DDDD")</f>
        <v>Saturday</v>
      </c>
      <c r="J746" s="39" t="str" cm="1">
        <f t="array" ref="J746">_xlfn.IFS(Call_Centre_Data[[#This Row],[Duration]]&lt;=10,"Under 10 Mins", Call_Centre_Data[[#This Row],[Duration]]&lt;=30,"10-30 Mins",Call_Centre_Data[[#This Row],[Duration]]&lt;=60,"30-60 Mins",Call_Centre_Data[[#This Row],[Duration]]&lt;=120,"1-2 Hours",TRUE,"More than 2 Hours")</f>
        <v>1-2 Hours</v>
      </c>
      <c r="K746" s="91">
        <f>ROUND(Call_Centre_Data[[#This Row],[Satisfaction Rating]],0)</f>
        <v>4</v>
      </c>
    </row>
    <row r="747" spans="1:11" x14ac:dyDescent="0.35">
      <c r="A747" s="56" t="s">
        <v>1752</v>
      </c>
      <c r="B747" s="57" t="s">
        <v>1002</v>
      </c>
      <c r="C747" s="87">
        <v>79</v>
      </c>
      <c r="D747" s="57" t="s">
        <v>989</v>
      </c>
      <c r="E747" s="58">
        <v>45192</v>
      </c>
      <c r="F747" s="57">
        <v>215</v>
      </c>
      <c r="G747" s="59">
        <v>4.5999999999999996</v>
      </c>
      <c r="H747" s="57">
        <f>IF(MONTH(Call_Centre_Data[[#This Row],[Date of Call]])&lt;=6,YEAR(Call_Centre_Data[[#This Row],[Date of Call]]),YEAR(Call_Centre_Data[[#This Row],[Date of Call]])+1)</f>
        <v>2024</v>
      </c>
      <c r="I747" s="39" t="str">
        <f>TEXT(Call_Centre_Data[[#This Row],[Date of Call]],"DDDD")</f>
        <v>Saturday</v>
      </c>
      <c r="J747" s="39" t="str" cm="1">
        <f t="array" ref="J747">_xlfn.IFS(Call_Centre_Data[[#This Row],[Duration]]&lt;=10,"Under 10 Mins", Call_Centre_Data[[#This Row],[Duration]]&lt;=30,"10-30 Mins",Call_Centre_Data[[#This Row],[Duration]]&lt;=60,"30-60 Mins",Call_Centre_Data[[#This Row],[Duration]]&lt;=120,"1-2 Hours",TRUE,"More than 2 Hours")</f>
        <v>1-2 Hours</v>
      </c>
      <c r="K747" s="91">
        <f>ROUND(Call_Centre_Data[[#This Row],[Satisfaction Rating]],0)</f>
        <v>5</v>
      </c>
    </row>
    <row r="748" spans="1:11" x14ac:dyDescent="0.35">
      <c r="A748" s="56" t="s">
        <v>1753</v>
      </c>
      <c r="B748" s="57" t="s">
        <v>1002</v>
      </c>
      <c r="C748" s="87">
        <v>45</v>
      </c>
      <c r="D748" s="57" t="s">
        <v>999</v>
      </c>
      <c r="E748" s="58">
        <v>45192</v>
      </c>
      <c r="F748" s="57">
        <v>92</v>
      </c>
      <c r="G748" s="59">
        <v>4.3</v>
      </c>
      <c r="H748" s="57">
        <f>IF(MONTH(Call_Centre_Data[[#This Row],[Date of Call]])&lt;=6,YEAR(Call_Centre_Data[[#This Row],[Date of Call]]),YEAR(Call_Centre_Data[[#This Row],[Date of Call]])+1)</f>
        <v>2024</v>
      </c>
      <c r="I748" s="39" t="str">
        <f>TEXT(Call_Centre_Data[[#This Row],[Date of Call]],"DDDD")</f>
        <v>Saturday</v>
      </c>
      <c r="J748" s="39" t="str" cm="1">
        <f t="array" ref="J748">_xlfn.IFS(Call_Centre_Data[[#This Row],[Duration]]&lt;=10,"Under 10 Mins", Call_Centre_Data[[#This Row],[Duration]]&lt;=30,"10-30 Mins",Call_Centre_Data[[#This Row],[Duration]]&lt;=60,"30-60 Mins",Call_Centre_Data[[#This Row],[Duration]]&lt;=120,"1-2 Hours",TRUE,"More than 2 Hours")</f>
        <v>30-60 Mins</v>
      </c>
      <c r="K748" s="91">
        <f>ROUND(Call_Centre_Data[[#This Row],[Satisfaction Rating]],0)</f>
        <v>4</v>
      </c>
    </row>
    <row r="749" spans="1:11" x14ac:dyDescent="0.35">
      <c r="A749" s="56" t="s">
        <v>1754</v>
      </c>
      <c r="B749" s="57" t="s">
        <v>998</v>
      </c>
      <c r="C749" s="87">
        <v>96</v>
      </c>
      <c r="D749" s="57" t="s">
        <v>989</v>
      </c>
      <c r="E749" s="58">
        <v>45192</v>
      </c>
      <c r="F749" s="57">
        <v>80</v>
      </c>
      <c r="G749" s="59">
        <v>3.6</v>
      </c>
      <c r="H749" s="57">
        <f>IF(MONTH(Call_Centre_Data[[#This Row],[Date of Call]])&lt;=6,YEAR(Call_Centre_Data[[#This Row],[Date of Call]]),YEAR(Call_Centre_Data[[#This Row],[Date of Call]])+1)</f>
        <v>2024</v>
      </c>
      <c r="I749" s="39" t="str">
        <f>TEXT(Call_Centre_Data[[#This Row],[Date of Call]],"DDDD")</f>
        <v>Saturday</v>
      </c>
      <c r="J749" s="39" t="str" cm="1">
        <f t="array" ref="J749">_xlfn.IFS(Call_Centre_Data[[#This Row],[Duration]]&lt;=10,"Under 10 Mins", Call_Centre_Data[[#This Row],[Duration]]&lt;=30,"10-30 Mins",Call_Centre_Data[[#This Row],[Duration]]&lt;=60,"30-60 Mins",Call_Centre_Data[[#This Row],[Duration]]&lt;=120,"1-2 Hours",TRUE,"More than 2 Hours")</f>
        <v>1-2 Hours</v>
      </c>
      <c r="K749" s="91">
        <f>ROUND(Call_Centre_Data[[#This Row],[Satisfaction Rating]],0)</f>
        <v>4</v>
      </c>
    </row>
    <row r="750" spans="1:11" x14ac:dyDescent="0.35">
      <c r="A750" s="56" t="s">
        <v>1755</v>
      </c>
      <c r="B750" s="57" t="s">
        <v>998</v>
      </c>
      <c r="C750" s="87">
        <v>81</v>
      </c>
      <c r="D750" s="57" t="s">
        <v>989</v>
      </c>
      <c r="E750" s="58">
        <v>45193</v>
      </c>
      <c r="F750" s="57">
        <v>123</v>
      </c>
      <c r="G750" s="59">
        <v>4.9000000000000004</v>
      </c>
      <c r="H750" s="57">
        <f>IF(MONTH(Call_Centre_Data[[#This Row],[Date of Call]])&lt;=6,YEAR(Call_Centre_Data[[#This Row],[Date of Call]]),YEAR(Call_Centre_Data[[#This Row],[Date of Call]])+1)</f>
        <v>2024</v>
      </c>
      <c r="I750" s="39" t="str">
        <f>TEXT(Call_Centre_Data[[#This Row],[Date of Call]],"DDDD")</f>
        <v>Sunday</v>
      </c>
      <c r="J750" s="39" t="str" cm="1">
        <f t="array" ref="J750">_xlfn.IFS(Call_Centre_Data[[#This Row],[Duration]]&lt;=10,"Under 10 Mins", Call_Centre_Data[[#This Row],[Duration]]&lt;=30,"10-30 Mins",Call_Centre_Data[[#This Row],[Duration]]&lt;=60,"30-60 Mins",Call_Centre_Data[[#This Row],[Duration]]&lt;=120,"1-2 Hours",TRUE,"More than 2 Hours")</f>
        <v>1-2 Hours</v>
      </c>
      <c r="K750" s="91">
        <f>ROUND(Call_Centre_Data[[#This Row],[Satisfaction Rating]],0)</f>
        <v>5</v>
      </c>
    </row>
    <row r="751" spans="1:11" x14ac:dyDescent="0.35">
      <c r="A751" s="56" t="s">
        <v>1756</v>
      </c>
      <c r="B751" s="57" t="s">
        <v>1030</v>
      </c>
      <c r="C751" s="87">
        <v>95</v>
      </c>
      <c r="D751" s="57" t="s">
        <v>1004</v>
      </c>
      <c r="E751" s="58">
        <v>45193</v>
      </c>
      <c r="F751" s="57">
        <v>23</v>
      </c>
      <c r="G751" s="59">
        <v>2.4</v>
      </c>
      <c r="H751" s="57">
        <f>IF(MONTH(Call_Centre_Data[[#This Row],[Date of Call]])&lt;=6,YEAR(Call_Centre_Data[[#This Row],[Date of Call]]),YEAR(Call_Centre_Data[[#This Row],[Date of Call]])+1)</f>
        <v>2024</v>
      </c>
      <c r="I751" s="39" t="str">
        <f>TEXT(Call_Centre_Data[[#This Row],[Date of Call]],"DDDD")</f>
        <v>Sunday</v>
      </c>
      <c r="J751" s="39" t="str" cm="1">
        <f t="array" ref="J751">_xlfn.IFS(Call_Centre_Data[[#This Row],[Duration]]&lt;=10,"Under 10 Mins", Call_Centre_Data[[#This Row],[Duration]]&lt;=30,"10-30 Mins",Call_Centre_Data[[#This Row],[Duration]]&lt;=60,"30-60 Mins",Call_Centre_Data[[#This Row],[Duration]]&lt;=120,"1-2 Hours",TRUE,"More than 2 Hours")</f>
        <v>1-2 Hours</v>
      </c>
      <c r="K751" s="91">
        <f>ROUND(Call_Centre_Data[[#This Row],[Satisfaction Rating]],0)</f>
        <v>2</v>
      </c>
    </row>
    <row r="752" spans="1:11" x14ac:dyDescent="0.35">
      <c r="A752" s="56" t="s">
        <v>1757</v>
      </c>
      <c r="B752" s="57" t="s">
        <v>1027</v>
      </c>
      <c r="C752" s="87">
        <v>159</v>
      </c>
      <c r="D752" s="57" t="s">
        <v>994</v>
      </c>
      <c r="E752" s="58">
        <v>45193</v>
      </c>
      <c r="F752" s="57">
        <v>63</v>
      </c>
      <c r="G752" s="59">
        <v>4.2</v>
      </c>
      <c r="H752" s="57">
        <f>IF(MONTH(Call_Centre_Data[[#This Row],[Date of Call]])&lt;=6,YEAR(Call_Centre_Data[[#This Row],[Date of Call]]),YEAR(Call_Centre_Data[[#This Row],[Date of Call]])+1)</f>
        <v>2024</v>
      </c>
      <c r="I752" s="39" t="str">
        <f>TEXT(Call_Centre_Data[[#This Row],[Date of Call]],"DDDD")</f>
        <v>Sunday</v>
      </c>
      <c r="J752" s="39" t="str" cm="1">
        <f t="array" ref="J752">_xlfn.IFS(Call_Centre_Data[[#This Row],[Duration]]&lt;=10,"Under 10 Mins", Call_Centre_Data[[#This Row],[Duration]]&lt;=30,"10-30 Mins",Call_Centre_Data[[#This Row],[Duration]]&lt;=60,"30-60 Mins",Call_Centre_Data[[#This Row],[Duration]]&lt;=120,"1-2 Hours",TRUE,"More than 2 Hours")</f>
        <v>More than 2 Hours</v>
      </c>
      <c r="K752" s="91">
        <f>ROUND(Call_Centre_Data[[#This Row],[Satisfaction Rating]],0)</f>
        <v>4</v>
      </c>
    </row>
    <row r="753" spans="1:11" x14ac:dyDescent="0.35">
      <c r="A753" s="56" t="s">
        <v>1758</v>
      </c>
      <c r="B753" s="57" t="s">
        <v>1060</v>
      </c>
      <c r="C753" s="87">
        <v>109</v>
      </c>
      <c r="D753" s="57" t="s">
        <v>1008</v>
      </c>
      <c r="E753" s="58">
        <v>45193</v>
      </c>
      <c r="F753" s="57">
        <v>52</v>
      </c>
      <c r="G753" s="59">
        <v>3.9</v>
      </c>
      <c r="H753" s="57">
        <f>IF(MONTH(Call_Centre_Data[[#This Row],[Date of Call]])&lt;=6,YEAR(Call_Centre_Data[[#This Row],[Date of Call]]),YEAR(Call_Centre_Data[[#This Row],[Date of Call]])+1)</f>
        <v>2024</v>
      </c>
      <c r="I753" s="39" t="str">
        <f>TEXT(Call_Centre_Data[[#This Row],[Date of Call]],"DDDD")</f>
        <v>Sunday</v>
      </c>
      <c r="J753" s="39" t="str" cm="1">
        <f t="array" ref="J753">_xlfn.IFS(Call_Centre_Data[[#This Row],[Duration]]&lt;=10,"Under 10 Mins", Call_Centre_Data[[#This Row],[Duration]]&lt;=30,"10-30 Mins",Call_Centre_Data[[#This Row],[Duration]]&lt;=60,"30-60 Mins",Call_Centre_Data[[#This Row],[Duration]]&lt;=120,"1-2 Hours",TRUE,"More than 2 Hours")</f>
        <v>1-2 Hours</v>
      </c>
      <c r="K753" s="91">
        <f>ROUND(Call_Centre_Data[[#This Row],[Satisfaction Rating]],0)</f>
        <v>4</v>
      </c>
    </row>
    <row r="754" spans="1:11" x14ac:dyDescent="0.35">
      <c r="A754" s="56" t="s">
        <v>1759</v>
      </c>
      <c r="B754" s="57" t="s">
        <v>1002</v>
      </c>
      <c r="C754" s="87">
        <v>107</v>
      </c>
      <c r="D754" s="57" t="s">
        <v>1008</v>
      </c>
      <c r="E754" s="58">
        <v>45193</v>
      </c>
      <c r="F754" s="57">
        <v>60</v>
      </c>
      <c r="G754" s="59">
        <v>4.2</v>
      </c>
      <c r="H754" s="57">
        <f>IF(MONTH(Call_Centre_Data[[#This Row],[Date of Call]])&lt;=6,YEAR(Call_Centre_Data[[#This Row],[Date of Call]]),YEAR(Call_Centre_Data[[#This Row],[Date of Call]])+1)</f>
        <v>2024</v>
      </c>
      <c r="I754" s="39" t="str">
        <f>TEXT(Call_Centre_Data[[#This Row],[Date of Call]],"DDDD")</f>
        <v>Sunday</v>
      </c>
      <c r="J754" s="39" t="str" cm="1">
        <f t="array" ref="J754">_xlfn.IFS(Call_Centre_Data[[#This Row],[Duration]]&lt;=10,"Under 10 Mins", Call_Centre_Data[[#This Row],[Duration]]&lt;=30,"10-30 Mins",Call_Centre_Data[[#This Row],[Duration]]&lt;=60,"30-60 Mins",Call_Centre_Data[[#This Row],[Duration]]&lt;=120,"1-2 Hours",TRUE,"More than 2 Hours")</f>
        <v>1-2 Hours</v>
      </c>
      <c r="K754" s="91">
        <f>ROUND(Call_Centre_Data[[#This Row],[Satisfaction Rating]],0)</f>
        <v>4</v>
      </c>
    </row>
    <row r="755" spans="1:11" x14ac:dyDescent="0.35">
      <c r="A755" s="56" t="s">
        <v>1760</v>
      </c>
      <c r="B755" s="57" t="s">
        <v>998</v>
      </c>
      <c r="C755" s="87">
        <v>67</v>
      </c>
      <c r="D755" s="57" t="s">
        <v>999</v>
      </c>
      <c r="E755" s="58">
        <v>45194</v>
      </c>
      <c r="F755" s="57">
        <v>87</v>
      </c>
      <c r="G755" s="59">
        <v>3.9</v>
      </c>
      <c r="H755" s="57">
        <f>IF(MONTH(Call_Centre_Data[[#This Row],[Date of Call]])&lt;=6,YEAR(Call_Centre_Data[[#This Row],[Date of Call]]),YEAR(Call_Centre_Data[[#This Row],[Date of Call]])+1)</f>
        <v>2024</v>
      </c>
      <c r="I755" s="39" t="str">
        <f>TEXT(Call_Centre_Data[[#This Row],[Date of Call]],"DDDD")</f>
        <v>Monday</v>
      </c>
      <c r="J755" s="39" t="str" cm="1">
        <f t="array" ref="J755">_xlfn.IFS(Call_Centre_Data[[#This Row],[Duration]]&lt;=10,"Under 10 Mins", Call_Centre_Data[[#This Row],[Duration]]&lt;=30,"10-30 Mins",Call_Centre_Data[[#This Row],[Duration]]&lt;=60,"30-60 Mins",Call_Centre_Data[[#This Row],[Duration]]&lt;=120,"1-2 Hours",TRUE,"More than 2 Hours")</f>
        <v>1-2 Hours</v>
      </c>
      <c r="K755" s="91">
        <f>ROUND(Call_Centre_Data[[#This Row],[Satisfaction Rating]],0)</f>
        <v>4</v>
      </c>
    </row>
    <row r="756" spans="1:11" x14ac:dyDescent="0.35">
      <c r="A756" s="56" t="s">
        <v>1761</v>
      </c>
      <c r="B756" s="57" t="s">
        <v>1013</v>
      </c>
      <c r="C756" s="87">
        <v>96</v>
      </c>
      <c r="D756" s="57" t="s">
        <v>989</v>
      </c>
      <c r="E756" s="58">
        <v>45195</v>
      </c>
      <c r="F756" s="57">
        <v>42</v>
      </c>
      <c r="G756" s="59">
        <v>4.5</v>
      </c>
      <c r="H756" s="57">
        <f>IF(MONTH(Call_Centre_Data[[#This Row],[Date of Call]])&lt;=6,YEAR(Call_Centre_Data[[#This Row],[Date of Call]]),YEAR(Call_Centre_Data[[#This Row],[Date of Call]])+1)</f>
        <v>2024</v>
      </c>
      <c r="I756" s="39" t="str">
        <f>TEXT(Call_Centre_Data[[#This Row],[Date of Call]],"DDDD")</f>
        <v>Tuesday</v>
      </c>
      <c r="J756" s="39" t="str" cm="1">
        <f t="array" ref="J756">_xlfn.IFS(Call_Centre_Data[[#This Row],[Duration]]&lt;=10,"Under 10 Mins", Call_Centre_Data[[#This Row],[Duration]]&lt;=30,"10-30 Mins",Call_Centre_Data[[#This Row],[Duration]]&lt;=60,"30-60 Mins",Call_Centre_Data[[#This Row],[Duration]]&lt;=120,"1-2 Hours",TRUE,"More than 2 Hours")</f>
        <v>1-2 Hours</v>
      </c>
      <c r="K756" s="91">
        <f>ROUND(Call_Centre_Data[[#This Row],[Satisfaction Rating]],0)</f>
        <v>5</v>
      </c>
    </row>
    <row r="757" spans="1:11" x14ac:dyDescent="0.35">
      <c r="A757" s="56" t="s">
        <v>1762</v>
      </c>
      <c r="B757" s="57" t="s">
        <v>1022</v>
      </c>
      <c r="C757" s="87">
        <v>142</v>
      </c>
      <c r="D757" s="57" t="s">
        <v>994</v>
      </c>
      <c r="E757" s="58">
        <v>45196</v>
      </c>
      <c r="F757" s="57">
        <v>37</v>
      </c>
      <c r="G757" s="59">
        <v>3.8</v>
      </c>
      <c r="H757" s="57">
        <f>IF(MONTH(Call_Centre_Data[[#This Row],[Date of Call]])&lt;=6,YEAR(Call_Centre_Data[[#This Row],[Date of Call]]),YEAR(Call_Centre_Data[[#This Row],[Date of Call]])+1)</f>
        <v>2024</v>
      </c>
      <c r="I757" s="39" t="str">
        <f>TEXT(Call_Centre_Data[[#This Row],[Date of Call]],"DDDD")</f>
        <v>Wednesday</v>
      </c>
      <c r="J757" s="39" t="str" cm="1">
        <f t="array" ref="J757">_xlfn.IFS(Call_Centre_Data[[#This Row],[Duration]]&lt;=10,"Under 10 Mins", Call_Centre_Data[[#This Row],[Duration]]&lt;=30,"10-30 Mins",Call_Centre_Data[[#This Row],[Duration]]&lt;=60,"30-60 Mins",Call_Centre_Data[[#This Row],[Duration]]&lt;=120,"1-2 Hours",TRUE,"More than 2 Hours")</f>
        <v>More than 2 Hours</v>
      </c>
      <c r="K757" s="91">
        <f>ROUND(Call_Centre_Data[[#This Row],[Satisfaction Rating]],0)</f>
        <v>4</v>
      </c>
    </row>
    <row r="758" spans="1:11" x14ac:dyDescent="0.35">
      <c r="A758" s="56" t="s">
        <v>1763</v>
      </c>
      <c r="B758" s="57" t="s">
        <v>1022</v>
      </c>
      <c r="C758" s="87">
        <v>71</v>
      </c>
      <c r="D758" s="57" t="s">
        <v>1004</v>
      </c>
      <c r="E758" s="58">
        <v>45196</v>
      </c>
      <c r="F758" s="57">
        <v>135</v>
      </c>
      <c r="G758" s="59">
        <v>3.9</v>
      </c>
      <c r="H758" s="57">
        <f>IF(MONTH(Call_Centre_Data[[#This Row],[Date of Call]])&lt;=6,YEAR(Call_Centre_Data[[#This Row],[Date of Call]]),YEAR(Call_Centre_Data[[#This Row],[Date of Call]])+1)</f>
        <v>2024</v>
      </c>
      <c r="I758" s="39" t="str">
        <f>TEXT(Call_Centre_Data[[#This Row],[Date of Call]],"DDDD")</f>
        <v>Wednesday</v>
      </c>
      <c r="J758" s="39" t="str" cm="1">
        <f t="array" ref="J758">_xlfn.IFS(Call_Centre_Data[[#This Row],[Duration]]&lt;=10,"Under 10 Mins", Call_Centre_Data[[#This Row],[Duration]]&lt;=30,"10-30 Mins",Call_Centre_Data[[#This Row],[Duration]]&lt;=60,"30-60 Mins",Call_Centre_Data[[#This Row],[Duration]]&lt;=120,"1-2 Hours",TRUE,"More than 2 Hours")</f>
        <v>1-2 Hours</v>
      </c>
      <c r="K758" s="91">
        <f>ROUND(Call_Centre_Data[[#This Row],[Satisfaction Rating]],0)</f>
        <v>4</v>
      </c>
    </row>
    <row r="759" spans="1:11" x14ac:dyDescent="0.35">
      <c r="A759" s="56" t="s">
        <v>1764</v>
      </c>
      <c r="B759" s="57" t="s">
        <v>1013</v>
      </c>
      <c r="C759" s="87">
        <v>152</v>
      </c>
      <c r="D759" s="57" t="s">
        <v>1004</v>
      </c>
      <c r="E759" s="58">
        <v>45196</v>
      </c>
      <c r="F759" s="57">
        <v>88</v>
      </c>
      <c r="G759" s="59">
        <v>4.7</v>
      </c>
      <c r="H759" s="57">
        <f>IF(MONTH(Call_Centre_Data[[#This Row],[Date of Call]])&lt;=6,YEAR(Call_Centre_Data[[#This Row],[Date of Call]]),YEAR(Call_Centre_Data[[#This Row],[Date of Call]])+1)</f>
        <v>2024</v>
      </c>
      <c r="I759" s="39" t="str">
        <f>TEXT(Call_Centre_Data[[#This Row],[Date of Call]],"DDDD")</f>
        <v>Wednesday</v>
      </c>
      <c r="J759" s="39" t="str" cm="1">
        <f t="array" ref="J759">_xlfn.IFS(Call_Centre_Data[[#This Row],[Duration]]&lt;=10,"Under 10 Mins", Call_Centre_Data[[#This Row],[Duration]]&lt;=30,"10-30 Mins",Call_Centre_Data[[#This Row],[Duration]]&lt;=60,"30-60 Mins",Call_Centre_Data[[#This Row],[Duration]]&lt;=120,"1-2 Hours",TRUE,"More than 2 Hours")</f>
        <v>More than 2 Hours</v>
      </c>
      <c r="K759" s="91">
        <f>ROUND(Call_Centre_Data[[#This Row],[Satisfaction Rating]],0)</f>
        <v>5</v>
      </c>
    </row>
    <row r="760" spans="1:11" x14ac:dyDescent="0.35">
      <c r="A760" s="56" t="s">
        <v>1765</v>
      </c>
      <c r="B760" s="57" t="s">
        <v>1040</v>
      </c>
      <c r="C760" s="87">
        <v>108</v>
      </c>
      <c r="D760" s="57" t="s">
        <v>994</v>
      </c>
      <c r="E760" s="58">
        <v>45196</v>
      </c>
      <c r="F760" s="57">
        <v>190</v>
      </c>
      <c r="G760" s="59">
        <v>3.2</v>
      </c>
      <c r="H760" s="57">
        <f>IF(MONTH(Call_Centre_Data[[#This Row],[Date of Call]])&lt;=6,YEAR(Call_Centre_Data[[#This Row],[Date of Call]]),YEAR(Call_Centre_Data[[#This Row],[Date of Call]])+1)</f>
        <v>2024</v>
      </c>
      <c r="I760" s="39" t="str">
        <f>TEXT(Call_Centre_Data[[#This Row],[Date of Call]],"DDDD")</f>
        <v>Wednesday</v>
      </c>
      <c r="J760" s="39" t="str" cm="1">
        <f t="array" ref="J760">_xlfn.IFS(Call_Centre_Data[[#This Row],[Duration]]&lt;=10,"Under 10 Mins", Call_Centre_Data[[#This Row],[Duration]]&lt;=30,"10-30 Mins",Call_Centre_Data[[#This Row],[Duration]]&lt;=60,"30-60 Mins",Call_Centre_Data[[#This Row],[Duration]]&lt;=120,"1-2 Hours",TRUE,"More than 2 Hours")</f>
        <v>1-2 Hours</v>
      </c>
      <c r="K760" s="91">
        <f>ROUND(Call_Centre_Data[[#This Row],[Satisfaction Rating]],0)</f>
        <v>3</v>
      </c>
    </row>
    <row r="761" spans="1:11" x14ac:dyDescent="0.35">
      <c r="A761" s="56" t="s">
        <v>1766</v>
      </c>
      <c r="B761" s="57" t="s">
        <v>1040</v>
      </c>
      <c r="C761" s="87">
        <v>156</v>
      </c>
      <c r="D761" s="57" t="s">
        <v>1004</v>
      </c>
      <c r="E761" s="58">
        <v>45196</v>
      </c>
      <c r="F761" s="57">
        <v>81</v>
      </c>
      <c r="G761" s="59">
        <v>5</v>
      </c>
      <c r="H761" s="57">
        <f>IF(MONTH(Call_Centre_Data[[#This Row],[Date of Call]])&lt;=6,YEAR(Call_Centre_Data[[#This Row],[Date of Call]]),YEAR(Call_Centre_Data[[#This Row],[Date of Call]])+1)</f>
        <v>2024</v>
      </c>
      <c r="I761" s="39" t="str">
        <f>TEXT(Call_Centre_Data[[#This Row],[Date of Call]],"DDDD")</f>
        <v>Wednesday</v>
      </c>
      <c r="J761" s="39" t="str" cm="1">
        <f t="array" ref="J761">_xlfn.IFS(Call_Centre_Data[[#This Row],[Duration]]&lt;=10,"Under 10 Mins", Call_Centre_Data[[#This Row],[Duration]]&lt;=30,"10-30 Mins",Call_Centre_Data[[#This Row],[Duration]]&lt;=60,"30-60 Mins",Call_Centre_Data[[#This Row],[Duration]]&lt;=120,"1-2 Hours",TRUE,"More than 2 Hours")</f>
        <v>More than 2 Hours</v>
      </c>
      <c r="K761" s="91">
        <f>ROUND(Call_Centre_Data[[#This Row],[Satisfaction Rating]],0)</f>
        <v>5</v>
      </c>
    </row>
    <row r="762" spans="1:11" x14ac:dyDescent="0.35">
      <c r="A762" s="56" t="s">
        <v>1767</v>
      </c>
      <c r="B762" s="57" t="s">
        <v>1022</v>
      </c>
      <c r="C762" s="87">
        <v>126</v>
      </c>
      <c r="D762" s="57" t="s">
        <v>994</v>
      </c>
      <c r="E762" s="58">
        <v>45196</v>
      </c>
      <c r="F762" s="57">
        <v>44</v>
      </c>
      <c r="G762" s="59">
        <v>3.7</v>
      </c>
      <c r="H762" s="57">
        <f>IF(MONTH(Call_Centre_Data[[#This Row],[Date of Call]])&lt;=6,YEAR(Call_Centre_Data[[#This Row],[Date of Call]]),YEAR(Call_Centre_Data[[#This Row],[Date of Call]])+1)</f>
        <v>2024</v>
      </c>
      <c r="I762" s="39" t="str">
        <f>TEXT(Call_Centre_Data[[#This Row],[Date of Call]],"DDDD")</f>
        <v>Wednesday</v>
      </c>
      <c r="J762" s="39" t="str" cm="1">
        <f t="array" ref="J762">_xlfn.IFS(Call_Centre_Data[[#This Row],[Duration]]&lt;=10,"Under 10 Mins", Call_Centre_Data[[#This Row],[Duration]]&lt;=30,"10-30 Mins",Call_Centre_Data[[#This Row],[Duration]]&lt;=60,"30-60 Mins",Call_Centre_Data[[#This Row],[Duration]]&lt;=120,"1-2 Hours",TRUE,"More than 2 Hours")</f>
        <v>More than 2 Hours</v>
      </c>
      <c r="K762" s="91">
        <f>ROUND(Call_Centre_Data[[#This Row],[Satisfaction Rating]],0)</f>
        <v>4</v>
      </c>
    </row>
    <row r="763" spans="1:11" x14ac:dyDescent="0.35">
      <c r="A763" s="56" t="s">
        <v>1768</v>
      </c>
      <c r="B763" s="57" t="s">
        <v>993</v>
      </c>
      <c r="C763" s="87">
        <v>135</v>
      </c>
      <c r="D763" s="57" t="s">
        <v>1004</v>
      </c>
      <c r="E763" s="58">
        <v>45197</v>
      </c>
      <c r="F763" s="57">
        <v>92</v>
      </c>
      <c r="G763" s="59">
        <v>3.9</v>
      </c>
      <c r="H763" s="57">
        <f>IF(MONTH(Call_Centre_Data[[#This Row],[Date of Call]])&lt;=6,YEAR(Call_Centre_Data[[#This Row],[Date of Call]]),YEAR(Call_Centre_Data[[#This Row],[Date of Call]])+1)</f>
        <v>2024</v>
      </c>
      <c r="I763" s="39" t="str">
        <f>TEXT(Call_Centre_Data[[#This Row],[Date of Call]],"DDDD")</f>
        <v>Thursday</v>
      </c>
      <c r="J763" s="39" t="str" cm="1">
        <f t="array" ref="J763">_xlfn.IFS(Call_Centre_Data[[#This Row],[Duration]]&lt;=10,"Under 10 Mins", Call_Centre_Data[[#This Row],[Duration]]&lt;=30,"10-30 Mins",Call_Centre_Data[[#This Row],[Duration]]&lt;=60,"30-60 Mins",Call_Centre_Data[[#This Row],[Duration]]&lt;=120,"1-2 Hours",TRUE,"More than 2 Hours")</f>
        <v>More than 2 Hours</v>
      </c>
      <c r="K763" s="91">
        <f>ROUND(Call_Centre_Data[[#This Row],[Satisfaction Rating]],0)</f>
        <v>4</v>
      </c>
    </row>
    <row r="764" spans="1:11" x14ac:dyDescent="0.35">
      <c r="A764" s="56" t="s">
        <v>1769</v>
      </c>
      <c r="B764" s="57" t="s">
        <v>1022</v>
      </c>
      <c r="C764" s="87">
        <v>110</v>
      </c>
      <c r="D764" s="57" t="s">
        <v>989</v>
      </c>
      <c r="E764" s="58">
        <v>45198</v>
      </c>
      <c r="F764" s="57">
        <v>90</v>
      </c>
      <c r="G764" s="59">
        <v>3.1</v>
      </c>
      <c r="H764" s="57">
        <f>IF(MONTH(Call_Centre_Data[[#This Row],[Date of Call]])&lt;=6,YEAR(Call_Centre_Data[[#This Row],[Date of Call]]),YEAR(Call_Centre_Data[[#This Row],[Date of Call]])+1)</f>
        <v>2024</v>
      </c>
      <c r="I764" s="39" t="str">
        <f>TEXT(Call_Centre_Data[[#This Row],[Date of Call]],"DDDD")</f>
        <v>Friday</v>
      </c>
      <c r="J764" s="39" t="str" cm="1">
        <f t="array" ref="J764">_xlfn.IFS(Call_Centre_Data[[#This Row],[Duration]]&lt;=10,"Under 10 Mins", Call_Centre_Data[[#This Row],[Duration]]&lt;=30,"10-30 Mins",Call_Centre_Data[[#This Row],[Duration]]&lt;=60,"30-60 Mins",Call_Centre_Data[[#This Row],[Duration]]&lt;=120,"1-2 Hours",TRUE,"More than 2 Hours")</f>
        <v>1-2 Hours</v>
      </c>
      <c r="K764" s="91">
        <f>ROUND(Call_Centre_Data[[#This Row],[Satisfaction Rating]],0)</f>
        <v>3</v>
      </c>
    </row>
    <row r="765" spans="1:11" x14ac:dyDescent="0.35">
      <c r="A765" s="56" t="s">
        <v>1770</v>
      </c>
      <c r="B765" s="57" t="s">
        <v>1027</v>
      </c>
      <c r="C765" s="87">
        <v>64</v>
      </c>
      <c r="D765" s="57" t="s">
        <v>1004</v>
      </c>
      <c r="E765" s="58">
        <v>45198</v>
      </c>
      <c r="F765" s="57">
        <v>112</v>
      </c>
      <c r="G765" s="59">
        <v>2</v>
      </c>
      <c r="H765" s="57">
        <f>IF(MONTH(Call_Centre_Data[[#This Row],[Date of Call]])&lt;=6,YEAR(Call_Centre_Data[[#This Row],[Date of Call]]),YEAR(Call_Centre_Data[[#This Row],[Date of Call]])+1)</f>
        <v>2024</v>
      </c>
      <c r="I765" s="39" t="str">
        <f>TEXT(Call_Centre_Data[[#This Row],[Date of Call]],"DDDD")</f>
        <v>Friday</v>
      </c>
      <c r="J765" s="39" t="str" cm="1">
        <f t="array" ref="J765">_xlfn.IFS(Call_Centre_Data[[#This Row],[Duration]]&lt;=10,"Under 10 Mins", Call_Centre_Data[[#This Row],[Duration]]&lt;=30,"10-30 Mins",Call_Centre_Data[[#This Row],[Duration]]&lt;=60,"30-60 Mins",Call_Centre_Data[[#This Row],[Duration]]&lt;=120,"1-2 Hours",TRUE,"More than 2 Hours")</f>
        <v>1-2 Hours</v>
      </c>
      <c r="K765" s="91">
        <f>ROUND(Call_Centre_Data[[#This Row],[Satisfaction Rating]],0)</f>
        <v>2</v>
      </c>
    </row>
    <row r="766" spans="1:11" x14ac:dyDescent="0.35">
      <c r="A766" s="56" t="s">
        <v>1771</v>
      </c>
      <c r="B766" s="57" t="s">
        <v>1019</v>
      </c>
      <c r="C766" s="87">
        <v>127</v>
      </c>
      <c r="D766" s="57" t="s">
        <v>994</v>
      </c>
      <c r="E766" s="58">
        <v>45198</v>
      </c>
      <c r="F766" s="57">
        <v>112</v>
      </c>
      <c r="G766" s="59">
        <v>4.5999999999999996</v>
      </c>
      <c r="H766" s="57">
        <f>IF(MONTH(Call_Centre_Data[[#This Row],[Date of Call]])&lt;=6,YEAR(Call_Centre_Data[[#This Row],[Date of Call]]),YEAR(Call_Centre_Data[[#This Row],[Date of Call]])+1)</f>
        <v>2024</v>
      </c>
      <c r="I766" s="39" t="str">
        <f>TEXT(Call_Centre_Data[[#This Row],[Date of Call]],"DDDD")</f>
        <v>Friday</v>
      </c>
      <c r="J766" s="39" t="str" cm="1">
        <f t="array" ref="J766">_xlfn.IFS(Call_Centre_Data[[#This Row],[Duration]]&lt;=10,"Under 10 Mins", Call_Centre_Data[[#This Row],[Duration]]&lt;=30,"10-30 Mins",Call_Centre_Data[[#This Row],[Duration]]&lt;=60,"30-60 Mins",Call_Centre_Data[[#This Row],[Duration]]&lt;=120,"1-2 Hours",TRUE,"More than 2 Hours")</f>
        <v>More than 2 Hours</v>
      </c>
      <c r="K766" s="91">
        <f>ROUND(Call_Centre_Data[[#This Row],[Satisfaction Rating]],0)</f>
        <v>5</v>
      </c>
    </row>
    <row r="767" spans="1:11" x14ac:dyDescent="0.35">
      <c r="A767" s="56" t="s">
        <v>1772</v>
      </c>
      <c r="B767" s="57" t="s">
        <v>1060</v>
      </c>
      <c r="C767" s="87">
        <v>124</v>
      </c>
      <c r="D767" s="57" t="s">
        <v>999</v>
      </c>
      <c r="E767" s="58">
        <v>45198</v>
      </c>
      <c r="F767" s="57">
        <v>48</v>
      </c>
      <c r="G767" s="59">
        <v>3.7</v>
      </c>
      <c r="H767" s="57">
        <f>IF(MONTH(Call_Centre_Data[[#This Row],[Date of Call]])&lt;=6,YEAR(Call_Centre_Data[[#This Row],[Date of Call]]),YEAR(Call_Centre_Data[[#This Row],[Date of Call]])+1)</f>
        <v>2024</v>
      </c>
      <c r="I767" s="39" t="str">
        <f>TEXT(Call_Centre_Data[[#This Row],[Date of Call]],"DDDD")</f>
        <v>Friday</v>
      </c>
      <c r="J767" s="39" t="str" cm="1">
        <f t="array" ref="J767">_xlfn.IFS(Call_Centre_Data[[#This Row],[Duration]]&lt;=10,"Under 10 Mins", Call_Centre_Data[[#This Row],[Duration]]&lt;=30,"10-30 Mins",Call_Centre_Data[[#This Row],[Duration]]&lt;=60,"30-60 Mins",Call_Centre_Data[[#This Row],[Duration]]&lt;=120,"1-2 Hours",TRUE,"More than 2 Hours")</f>
        <v>More than 2 Hours</v>
      </c>
      <c r="K767" s="91">
        <f>ROUND(Call_Centre_Data[[#This Row],[Satisfaction Rating]],0)</f>
        <v>4</v>
      </c>
    </row>
    <row r="768" spans="1:11" x14ac:dyDescent="0.35">
      <c r="A768" s="56" t="s">
        <v>1773</v>
      </c>
      <c r="B768" s="57" t="s">
        <v>1027</v>
      </c>
      <c r="C768" s="87">
        <v>125</v>
      </c>
      <c r="D768" s="57" t="s">
        <v>994</v>
      </c>
      <c r="E768" s="58">
        <v>45198</v>
      </c>
      <c r="F768" s="57">
        <v>116</v>
      </c>
      <c r="G768" s="59">
        <v>4.4000000000000004</v>
      </c>
      <c r="H768" s="57">
        <f>IF(MONTH(Call_Centre_Data[[#This Row],[Date of Call]])&lt;=6,YEAR(Call_Centre_Data[[#This Row],[Date of Call]]),YEAR(Call_Centre_Data[[#This Row],[Date of Call]])+1)</f>
        <v>2024</v>
      </c>
      <c r="I768" s="39" t="str">
        <f>TEXT(Call_Centre_Data[[#This Row],[Date of Call]],"DDDD")</f>
        <v>Friday</v>
      </c>
      <c r="J768" s="39" t="str" cm="1">
        <f t="array" ref="J768">_xlfn.IFS(Call_Centre_Data[[#This Row],[Duration]]&lt;=10,"Under 10 Mins", Call_Centre_Data[[#This Row],[Duration]]&lt;=30,"10-30 Mins",Call_Centre_Data[[#This Row],[Duration]]&lt;=60,"30-60 Mins",Call_Centre_Data[[#This Row],[Duration]]&lt;=120,"1-2 Hours",TRUE,"More than 2 Hours")</f>
        <v>More than 2 Hours</v>
      </c>
      <c r="K768" s="91">
        <f>ROUND(Call_Centre_Data[[#This Row],[Satisfaction Rating]],0)</f>
        <v>4</v>
      </c>
    </row>
    <row r="769" spans="1:11" x14ac:dyDescent="0.35">
      <c r="A769" s="56" t="s">
        <v>1774</v>
      </c>
      <c r="B769" s="57" t="s">
        <v>991</v>
      </c>
      <c r="C769" s="87">
        <v>70</v>
      </c>
      <c r="D769" s="57" t="s">
        <v>994</v>
      </c>
      <c r="E769" s="58">
        <v>45198</v>
      </c>
      <c r="F769" s="57">
        <v>29</v>
      </c>
      <c r="G769" s="59">
        <v>2.1</v>
      </c>
      <c r="H769" s="57">
        <f>IF(MONTH(Call_Centre_Data[[#This Row],[Date of Call]])&lt;=6,YEAR(Call_Centre_Data[[#This Row],[Date of Call]]),YEAR(Call_Centre_Data[[#This Row],[Date of Call]])+1)</f>
        <v>2024</v>
      </c>
      <c r="I769" s="39" t="str">
        <f>TEXT(Call_Centre_Data[[#This Row],[Date of Call]],"DDDD")</f>
        <v>Friday</v>
      </c>
      <c r="J769" s="39" t="str" cm="1">
        <f t="array" ref="J769">_xlfn.IFS(Call_Centre_Data[[#This Row],[Duration]]&lt;=10,"Under 10 Mins", Call_Centre_Data[[#This Row],[Duration]]&lt;=30,"10-30 Mins",Call_Centre_Data[[#This Row],[Duration]]&lt;=60,"30-60 Mins",Call_Centre_Data[[#This Row],[Duration]]&lt;=120,"1-2 Hours",TRUE,"More than 2 Hours")</f>
        <v>1-2 Hours</v>
      </c>
      <c r="K769" s="91">
        <f>ROUND(Call_Centre_Data[[#This Row],[Satisfaction Rating]],0)</f>
        <v>2</v>
      </c>
    </row>
    <row r="770" spans="1:11" x14ac:dyDescent="0.35">
      <c r="A770" s="56" t="s">
        <v>1775</v>
      </c>
      <c r="B770" s="57" t="s">
        <v>1019</v>
      </c>
      <c r="C770" s="87">
        <v>93</v>
      </c>
      <c r="D770" s="57" t="s">
        <v>1004</v>
      </c>
      <c r="E770" s="58">
        <v>45199</v>
      </c>
      <c r="F770" s="57">
        <v>170</v>
      </c>
      <c r="G770" s="59">
        <v>2.2000000000000002</v>
      </c>
      <c r="H770" s="57">
        <f>IF(MONTH(Call_Centre_Data[[#This Row],[Date of Call]])&lt;=6,YEAR(Call_Centre_Data[[#This Row],[Date of Call]]),YEAR(Call_Centre_Data[[#This Row],[Date of Call]])+1)</f>
        <v>2024</v>
      </c>
      <c r="I770" s="39" t="str">
        <f>TEXT(Call_Centre_Data[[#This Row],[Date of Call]],"DDDD")</f>
        <v>Saturday</v>
      </c>
      <c r="J770" s="39" t="str" cm="1">
        <f t="array" ref="J770">_xlfn.IFS(Call_Centre_Data[[#This Row],[Duration]]&lt;=10,"Under 10 Mins", Call_Centre_Data[[#This Row],[Duration]]&lt;=30,"10-30 Mins",Call_Centre_Data[[#This Row],[Duration]]&lt;=60,"30-60 Mins",Call_Centre_Data[[#This Row],[Duration]]&lt;=120,"1-2 Hours",TRUE,"More than 2 Hours")</f>
        <v>1-2 Hours</v>
      </c>
      <c r="K770" s="91">
        <f>ROUND(Call_Centre_Data[[#This Row],[Satisfaction Rating]],0)</f>
        <v>2</v>
      </c>
    </row>
    <row r="771" spans="1:11" x14ac:dyDescent="0.35">
      <c r="A771" s="56" t="s">
        <v>1776</v>
      </c>
      <c r="B771" s="57" t="s">
        <v>991</v>
      </c>
      <c r="C771" s="87">
        <v>120</v>
      </c>
      <c r="D771" s="57" t="s">
        <v>1008</v>
      </c>
      <c r="E771" s="58">
        <v>45199</v>
      </c>
      <c r="F771" s="57">
        <v>68</v>
      </c>
      <c r="G771" s="59">
        <v>3.4</v>
      </c>
      <c r="H771" s="57">
        <f>IF(MONTH(Call_Centre_Data[[#This Row],[Date of Call]])&lt;=6,YEAR(Call_Centre_Data[[#This Row],[Date of Call]]),YEAR(Call_Centre_Data[[#This Row],[Date of Call]])+1)</f>
        <v>2024</v>
      </c>
      <c r="I771" s="39" t="str">
        <f>TEXT(Call_Centre_Data[[#This Row],[Date of Call]],"DDDD")</f>
        <v>Saturday</v>
      </c>
      <c r="J771" s="39" t="str" cm="1">
        <f t="array" ref="J771">_xlfn.IFS(Call_Centre_Data[[#This Row],[Duration]]&lt;=10,"Under 10 Mins", Call_Centre_Data[[#This Row],[Duration]]&lt;=30,"10-30 Mins",Call_Centre_Data[[#This Row],[Duration]]&lt;=60,"30-60 Mins",Call_Centre_Data[[#This Row],[Duration]]&lt;=120,"1-2 Hours",TRUE,"More than 2 Hours")</f>
        <v>1-2 Hours</v>
      </c>
      <c r="K771" s="91">
        <f>ROUND(Call_Centre_Data[[#This Row],[Satisfaction Rating]],0)</f>
        <v>3</v>
      </c>
    </row>
    <row r="772" spans="1:11" x14ac:dyDescent="0.35">
      <c r="A772" s="56" t="s">
        <v>1777</v>
      </c>
      <c r="B772" s="57" t="s">
        <v>998</v>
      </c>
      <c r="C772" s="87">
        <v>96</v>
      </c>
      <c r="D772" s="57" t="s">
        <v>989</v>
      </c>
      <c r="E772" s="58">
        <v>45199</v>
      </c>
      <c r="F772" s="57">
        <v>195</v>
      </c>
      <c r="G772" s="59">
        <v>2.7</v>
      </c>
      <c r="H772" s="57">
        <f>IF(MONTH(Call_Centre_Data[[#This Row],[Date of Call]])&lt;=6,YEAR(Call_Centre_Data[[#This Row],[Date of Call]]),YEAR(Call_Centre_Data[[#This Row],[Date of Call]])+1)</f>
        <v>2024</v>
      </c>
      <c r="I772" s="39" t="str">
        <f>TEXT(Call_Centre_Data[[#This Row],[Date of Call]],"DDDD")</f>
        <v>Saturday</v>
      </c>
      <c r="J772" s="39" t="str" cm="1">
        <f t="array" ref="J772">_xlfn.IFS(Call_Centre_Data[[#This Row],[Duration]]&lt;=10,"Under 10 Mins", Call_Centre_Data[[#This Row],[Duration]]&lt;=30,"10-30 Mins",Call_Centre_Data[[#This Row],[Duration]]&lt;=60,"30-60 Mins",Call_Centre_Data[[#This Row],[Duration]]&lt;=120,"1-2 Hours",TRUE,"More than 2 Hours")</f>
        <v>1-2 Hours</v>
      </c>
      <c r="K772" s="91">
        <f>ROUND(Call_Centre_Data[[#This Row],[Satisfaction Rating]],0)</f>
        <v>3</v>
      </c>
    </row>
    <row r="773" spans="1:11" x14ac:dyDescent="0.35">
      <c r="A773" s="56" t="s">
        <v>1778</v>
      </c>
      <c r="B773" s="57" t="s">
        <v>996</v>
      </c>
      <c r="C773" s="87">
        <v>67</v>
      </c>
      <c r="D773" s="57" t="s">
        <v>989</v>
      </c>
      <c r="E773" s="58">
        <v>45199</v>
      </c>
      <c r="F773" s="57">
        <v>96</v>
      </c>
      <c r="G773" s="59">
        <v>3.7</v>
      </c>
      <c r="H773" s="57">
        <f>IF(MONTH(Call_Centre_Data[[#This Row],[Date of Call]])&lt;=6,YEAR(Call_Centre_Data[[#This Row],[Date of Call]]),YEAR(Call_Centre_Data[[#This Row],[Date of Call]])+1)</f>
        <v>2024</v>
      </c>
      <c r="I773" s="39" t="str">
        <f>TEXT(Call_Centre_Data[[#This Row],[Date of Call]],"DDDD")</f>
        <v>Saturday</v>
      </c>
      <c r="J773" s="39" t="str" cm="1">
        <f t="array" ref="J773">_xlfn.IFS(Call_Centre_Data[[#This Row],[Duration]]&lt;=10,"Under 10 Mins", Call_Centre_Data[[#This Row],[Duration]]&lt;=30,"10-30 Mins",Call_Centre_Data[[#This Row],[Duration]]&lt;=60,"30-60 Mins",Call_Centre_Data[[#This Row],[Duration]]&lt;=120,"1-2 Hours",TRUE,"More than 2 Hours")</f>
        <v>1-2 Hours</v>
      </c>
      <c r="K773" s="91">
        <f>ROUND(Call_Centre_Data[[#This Row],[Satisfaction Rating]],0)</f>
        <v>4</v>
      </c>
    </row>
    <row r="774" spans="1:11" x14ac:dyDescent="0.35">
      <c r="A774" s="56" t="s">
        <v>1779</v>
      </c>
      <c r="B774" s="57" t="s">
        <v>1027</v>
      </c>
      <c r="C774" s="87">
        <v>119</v>
      </c>
      <c r="D774" s="57" t="s">
        <v>989</v>
      </c>
      <c r="E774" s="58">
        <v>45199</v>
      </c>
      <c r="F774" s="57">
        <v>96</v>
      </c>
      <c r="G774" s="59">
        <v>3.1</v>
      </c>
      <c r="H774" s="57">
        <f>IF(MONTH(Call_Centre_Data[[#This Row],[Date of Call]])&lt;=6,YEAR(Call_Centre_Data[[#This Row],[Date of Call]]),YEAR(Call_Centre_Data[[#This Row],[Date of Call]])+1)</f>
        <v>2024</v>
      </c>
      <c r="I774" s="39" t="str">
        <f>TEXT(Call_Centre_Data[[#This Row],[Date of Call]],"DDDD")</f>
        <v>Saturday</v>
      </c>
      <c r="J774" s="39" t="str" cm="1">
        <f t="array" ref="J774">_xlfn.IFS(Call_Centre_Data[[#This Row],[Duration]]&lt;=10,"Under 10 Mins", Call_Centre_Data[[#This Row],[Duration]]&lt;=30,"10-30 Mins",Call_Centre_Data[[#This Row],[Duration]]&lt;=60,"30-60 Mins",Call_Centre_Data[[#This Row],[Duration]]&lt;=120,"1-2 Hours",TRUE,"More than 2 Hours")</f>
        <v>1-2 Hours</v>
      </c>
      <c r="K774" s="91">
        <f>ROUND(Call_Centre_Data[[#This Row],[Satisfaction Rating]],0)</f>
        <v>3</v>
      </c>
    </row>
    <row r="775" spans="1:11" x14ac:dyDescent="0.35">
      <c r="A775" s="56" t="s">
        <v>1780</v>
      </c>
      <c r="B775" s="57" t="s">
        <v>1060</v>
      </c>
      <c r="C775" s="87">
        <v>61</v>
      </c>
      <c r="D775" s="57" t="s">
        <v>999</v>
      </c>
      <c r="E775" s="58">
        <v>45199</v>
      </c>
      <c r="F775" s="57">
        <v>117</v>
      </c>
      <c r="G775" s="59">
        <v>4.0999999999999996</v>
      </c>
      <c r="H775" s="57">
        <f>IF(MONTH(Call_Centre_Data[[#This Row],[Date of Call]])&lt;=6,YEAR(Call_Centre_Data[[#This Row],[Date of Call]]),YEAR(Call_Centre_Data[[#This Row],[Date of Call]])+1)</f>
        <v>2024</v>
      </c>
      <c r="I775" s="39" t="str">
        <f>TEXT(Call_Centre_Data[[#This Row],[Date of Call]],"DDDD")</f>
        <v>Saturday</v>
      </c>
      <c r="J775" s="39" t="str" cm="1">
        <f t="array" ref="J775">_xlfn.IFS(Call_Centre_Data[[#This Row],[Duration]]&lt;=10,"Under 10 Mins", Call_Centre_Data[[#This Row],[Duration]]&lt;=30,"10-30 Mins",Call_Centre_Data[[#This Row],[Duration]]&lt;=60,"30-60 Mins",Call_Centre_Data[[#This Row],[Duration]]&lt;=120,"1-2 Hours",TRUE,"More than 2 Hours")</f>
        <v>1-2 Hours</v>
      </c>
      <c r="K775" s="91">
        <f>ROUND(Call_Centre_Data[[#This Row],[Satisfaction Rating]],0)</f>
        <v>4</v>
      </c>
    </row>
    <row r="776" spans="1:11" x14ac:dyDescent="0.35">
      <c r="A776" s="56" t="s">
        <v>1781</v>
      </c>
      <c r="B776" s="57" t="s">
        <v>998</v>
      </c>
      <c r="C776" s="87">
        <v>29</v>
      </c>
      <c r="D776" s="57" t="s">
        <v>1004</v>
      </c>
      <c r="E776" s="58">
        <v>45199</v>
      </c>
      <c r="F776" s="57">
        <v>80</v>
      </c>
      <c r="G776" s="59">
        <v>4.8</v>
      </c>
      <c r="H776" s="57">
        <f>IF(MONTH(Call_Centre_Data[[#This Row],[Date of Call]])&lt;=6,YEAR(Call_Centre_Data[[#This Row],[Date of Call]]),YEAR(Call_Centre_Data[[#This Row],[Date of Call]])+1)</f>
        <v>2024</v>
      </c>
      <c r="I776" s="39" t="str">
        <f>TEXT(Call_Centre_Data[[#This Row],[Date of Call]],"DDDD")</f>
        <v>Saturday</v>
      </c>
      <c r="J776" s="39" t="str" cm="1">
        <f t="array" ref="J776">_xlfn.IFS(Call_Centre_Data[[#This Row],[Duration]]&lt;=10,"Under 10 Mins", Call_Centre_Data[[#This Row],[Duration]]&lt;=30,"10-30 Mins",Call_Centre_Data[[#This Row],[Duration]]&lt;=60,"30-60 Mins",Call_Centre_Data[[#This Row],[Duration]]&lt;=120,"1-2 Hours",TRUE,"More than 2 Hours")</f>
        <v>10-30 Mins</v>
      </c>
      <c r="K776" s="91">
        <f>ROUND(Call_Centre_Data[[#This Row],[Satisfaction Rating]],0)</f>
        <v>5</v>
      </c>
    </row>
    <row r="777" spans="1:11" x14ac:dyDescent="0.35">
      <c r="A777" s="56" t="s">
        <v>1782</v>
      </c>
      <c r="B777" s="57" t="s">
        <v>1013</v>
      </c>
      <c r="C777" s="87">
        <v>134</v>
      </c>
      <c r="D777" s="57" t="s">
        <v>1008</v>
      </c>
      <c r="E777" s="58">
        <v>45199</v>
      </c>
      <c r="F777" s="57">
        <v>117</v>
      </c>
      <c r="G777" s="59">
        <v>4</v>
      </c>
      <c r="H777" s="57">
        <f>IF(MONTH(Call_Centre_Data[[#This Row],[Date of Call]])&lt;=6,YEAR(Call_Centre_Data[[#This Row],[Date of Call]]),YEAR(Call_Centre_Data[[#This Row],[Date of Call]])+1)</f>
        <v>2024</v>
      </c>
      <c r="I777" s="39" t="str">
        <f>TEXT(Call_Centre_Data[[#This Row],[Date of Call]],"DDDD")</f>
        <v>Saturday</v>
      </c>
      <c r="J777" s="39" t="str" cm="1">
        <f t="array" ref="J777">_xlfn.IFS(Call_Centre_Data[[#This Row],[Duration]]&lt;=10,"Under 10 Mins", Call_Centre_Data[[#This Row],[Duration]]&lt;=30,"10-30 Mins",Call_Centre_Data[[#This Row],[Duration]]&lt;=60,"30-60 Mins",Call_Centre_Data[[#This Row],[Duration]]&lt;=120,"1-2 Hours",TRUE,"More than 2 Hours")</f>
        <v>More than 2 Hours</v>
      </c>
      <c r="K777" s="91">
        <f>ROUND(Call_Centre_Data[[#This Row],[Satisfaction Rating]],0)</f>
        <v>4</v>
      </c>
    </row>
    <row r="778" spans="1:11" x14ac:dyDescent="0.35">
      <c r="A778" s="56" t="s">
        <v>1783</v>
      </c>
      <c r="B778" s="57" t="s">
        <v>1022</v>
      </c>
      <c r="C778" s="87">
        <v>113</v>
      </c>
      <c r="D778" s="57" t="s">
        <v>989</v>
      </c>
      <c r="E778" s="58">
        <v>45200</v>
      </c>
      <c r="F778" s="57">
        <v>40</v>
      </c>
      <c r="G778" s="59">
        <v>3</v>
      </c>
      <c r="H778" s="57">
        <f>IF(MONTH(Call_Centre_Data[[#This Row],[Date of Call]])&lt;=6,YEAR(Call_Centre_Data[[#This Row],[Date of Call]]),YEAR(Call_Centre_Data[[#This Row],[Date of Call]])+1)</f>
        <v>2024</v>
      </c>
      <c r="I778" s="39" t="str">
        <f>TEXT(Call_Centre_Data[[#This Row],[Date of Call]],"DDDD")</f>
        <v>Sunday</v>
      </c>
      <c r="J778" s="39" t="str" cm="1">
        <f t="array" ref="J778">_xlfn.IFS(Call_Centre_Data[[#This Row],[Duration]]&lt;=10,"Under 10 Mins", Call_Centre_Data[[#This Row],[Duration]]&lt;=30,"10-30 Mins",Call_Centre_Data[[#This Row],[Duration]]&lt;=60,"30-60 Mins",Call_Centre_Data[[#This Row],[Duration]]&lt;=120,"1-2 Hours",TRUE,"More than 2 Hours")</f>
        <v>1-2 Hours</v>
      </c>
      <c r="K778" s="91">
        <f>ROUND(Call_Centre_Data[[#This Row],[Satisfaction Rating]],0)</f>
        <v>3</v>
      </c>
    </row>
    <row r="779" spans="1:11" x14ac:dyDescent="0.35">
      <c r="A779" s="56" t="s">
        <v>1784</v>
      </c>
      <c r="B779" s="57" t="s">
        <v>1040</v>
      </c>
      <c r="C779" s="87">
        <v>12</v>
      </c>
      <c r="D779" s="57" t="s">
        <v>1008</v>
      </c>
      <c r="E779" s="58">
        <v>45200</v>
      </c>
      <c r="F779" s="57">
        <v>117</v>
      </c>
      <c r="G779" s="59">
        <v>4.8</v>
      </c>
      <c r="H779" s="57">
        <f>IF(MONTH(Call_Centre_Data[[#This Row],[Date of Call]])&lt;=6,YEAR(Call_Centre_Data[[#This Row],[Date of Call]]),YEAR(Call_Centre_Data[[#This Row],[Date of Call]])+1)</f>
        <v>2024</v>
      </c>
      <c r="I779" s="39" t="str">
        <f>TEXT(Call_Centre_Data[[#This Row],[Date of Call]],"DDDD")</f>
        <v>Sunday</v>
      </c>
      <c r="J779" s="39" t="str" cm="1">
        <f t="array" ref="J779">_xlfn.IFS(Call_Centre_Data[[#This Row],[Duration]]&lt;=10,"Under 10 Mins", Call_Centre_Data[[#This Row],[Duration]]&lt;=30,"10-30 Mins",Call_Centre_Data[[#This Row],[Duration]]&lt;=60,"30-60 Mins",Call_Centre_Data[[#This Row],[Duration]]&lt;=120,"1-2 Hours",TRUE,"More than 2 Hours")</f>
        <v>10-30 Mins</v>
      </c>
      <c r="K779" s="91">
        <f>ROUND(Call_Centre_Data[[#This Row],[Satisfaction Rating]],0)</f>
        <v>5</v>
      </c>
    </row>
    <row r="780" spans="1:11" x14ac:dyDescent="0.35">
      <c r="A780" s="56" t="s">
        <v>1785</v>
      </c>
      <c r="B780" s="57" t="s">
        <v>1011</v>
      </c>
      <c r="C780" s="87">
        <v>78</v>
      </c>
      <c r="D780" s="57" t="s">
        <v>1004</v>
      </c>
      <c r="E780" s="58">
        <v>45200</v>
      </c>
      <c r="F780" s="57">
        <v>135</v>
      </c>
      <c r="G780" s="59">
        <v>4.0999999999999996</v>
      </c>
      <c r="H780" s="57">
        <f>IF(MONTH(Call_Centre_Data[[#This Row],[Date of Call]])&lt;=6,YEAR(Call_Centre_Data[[#This Row],[Date of Call]]),YEAR(Call_Centre_Data[[#This Row],[Date of Call]])+1)</f>
        <v>2024</v>
      </c>
      <c r="I780" s="39" t="str">
        <f>TEXT(Call_Centre_Data[[#This Row],[Date of Call]],"DDDD")</f>
        <v>Sunday</v>
      </c>
      <c r="J780" s="39" t="str" cm="1">
        <f t="array" ref="J780">_xlfn.IFS(Call_Centre_Data[[#This Row],[Duration]]&lt;=10,"Under 10 Mins", Call_Centre_Data[[#This Row],[Duration]]&lt;=30,"10-30 Mins",Call_Centre_Data[[#This Row],[Duration]]&lt;=60,"30-60 Mins",Call_Centre_Data[[#This Row],[Duration]]&lt;=120,"1-2 Hours",TRUE,"More than 2 Hours")</f>
        <v>1-2 Hours</v>
      </c>
      <c r="K780" s="91">
        <f>ROUND(Call_Centre_Data[[#This Row],[Satisfaction Rating]],0)</f>
        <v>4</v>
      </c>
    </row>
    <row r="781" spans="1:11" x14ac:dyDescent="0.35">
      <c r="A781" s="56" t="s">
        <v>1786</v>
      </c>
      <c r="B781" s="57" t="s">
        <v>1027</v>
      </c>
      <c r="C781" s="87">
        <v>82</v>
      </c>
      <c r="D781" s="57" t="s">
        <v>994</v>
      </c>
      <c r="E781" s="58">
        <v>45200</v>
      </c>
      <c r="F781" s="57">
        <v>99</v>
      </c>
      <c r="G781" s="59">
        <v>4.2</v>
      </c>
      <c r="H781" s="57">
        <f>IF(MONTH(Call_Centre_Data[[#This Row],[Date of Call]])&lt;=6,YEAR(Call_Centre_Data[[#This Row],[Date of Call]]),YEAR(Call_Centre_Data[[#This Row],[Date of Call]])+1)</f>
        <v>2024</v>
      </c>
      <c r="I781" s="39" t="str">
        <f>TEXT(Call_Centre_Data[[#This Row],[Date of Call]],"DDDD")</f>
        <v>Sunday</v>
      </c>
      <c r="J781" s="39" t="str" cm="1">
        <f t="array" ref="J781">_xlfn.IFS(Call_Centre_Data[[#This Row],[Duration]]&lt;=10,"Under 10 Mins", Call_Centre_Data[[#This Row],[Duration]]&lt;=30,"10-30 Mins",Call_Centre_Data[[#This Row],[Duration]]&lt;=60,"30-60 Mins",Call_Centre_Data[[#This Row],[Duration]]&lt;=120,"1-2 Hours",TRUE,"More than 2 Hours")</f>
        <v>1-2 Hours</v>
      </c>
      <c r="K781" s="91">
        <f>ROUND(Call_Centre_Data[[#This Row],[Satisfaction Rating]],0)</f>
        <v>4</v>
      </c>
    </row>
    <row r="782" spans="1:11" x14ac:dyDescent="0.35">
      <c r="A782" s="56" t="s">
        <v>1787</v>
      </c>
      <c r="B782" s="57" t="s">
        <v>1007</v>
      </c>
      <c r="C782" s="87">
        <v>149</v>
      </c>
      <c r="D782" s="57" t="s">
        <v>999</v>
      </c>
      <c r="E782" s="58">
        <v>45200</v>
      </c>
      <c r="F782" s="57">
        <v>130</v>
      </c>
      <c r="G782" s="59">
        <v>3.3</v>
      </c>
      <c r="H782" s="57">
        <f>IF(MONTH(Call_Centre_Data[[#This Row],[Date of Call]])&lt;=6,YEAR(Call_Centre_Data[[#This Row],[Date of Call]]),YEAR(Call_Centre_Data[[#This Row],[Date of Call]])+1)</f>
        <v>2024</v>
      </c>
      <c r="I782" s="39" t="str">
        <f>TEXT(Call_Centre_Data[[#This Row],[Date of Call]],"DDDD")</f>
        <v>Sunday</v>
      </c>
      <c r="J782" s="39" t="str" cm="1">
        <f t="array" ref="J782">_xlfn.IFS(Call_Centre_Data[[#This Row],[Duration]]&lt;=10,"Under 10 Mins", Call_Centre_Data[[#This Row],[Duration]]&lt;=30,"10-30 Mins",Call_Centre_Data[[#This Row],[Duration]]&lt;=60,"30-60 Mins",Call_Centre_Data[[#This Row],[Duration]]&lt;=120,"1-2 Hours",TRUE,"More than 2 Hours")</f>
        <v>More than 2 Hours</v>
      </c>
      <c r="K782" s="91">
        <f>ROUND(Call_Centre_Data[[#This Row],[Satisfaction Rating]],0)</f>
        <v>3</v>
      </c>
    </row>
    <row r="783" spans="1:11" x14ac:dyDescent="0.35">
      <c r="A783" s="56" t="s">
        <v>1788</v>
      </c>
      <c r="B783" s="57" t="s">
        <v>1002</v>
      </c>
      <c r="C783" s="87">
        <v>56</v>
      </c>
      <c r="D783" s="57" t="s">
        <v>1008</v>
      </c>
      <c r="E783" s="58">
        <v>45200</v>
      </c>
      <c r="F783" s="57">
        <v>96</v>
      </c>
      <c r="G783" s="59">
        <v>4.7</v>
      </c>
      <c r="H783" s="57">
        <f>IF(MONTH(Call_Centre_Data[[#This Row],[Date of Call]])&lt;=6,YEAR(Call_Centre_Data[[#This Row],[Date of Call]]),YEAR(Call_Centre_Data[[#This Row],[Date of Call]])+1)</f>
        <v>2024</v>
      </c>
      <c r="I783" s="39" t="str">
        <f>TEXT(Call_Centre_Data[[#This Row],[Date of Call]],"DDDD")</f>
        <v>Sunday</v>
      </c>
      <c r="J783" s="39" t="str" cm="1">
        <f t="array" ref="J783">_xlfn.IFS(Call_Centre_Data[[#This Row],[Duration]]&lt;=10,"Under 10 Mins", Call_Centre_Data[[#This Row],[Duration]]&lt;=30,"10-30 Mins",Call_Centre_Data[[#This Row],[Duration]]&lt;=60,"30-60 Mins",Call_Centre_Data[[#This Row],[Duration]]&lt;=120,"1-2 Hours",TRUE,"More than 2 Hours")</f>
        <v>30-60 Mins</v>
      </c>
      <c r="K783" s="91">
        <f>ROUND(Call_Centre_Data[[#This Row],[Satisfaction Rating]],0)</f>
        <v>5</v>
      </c>
    </row>
    <row r="784" spans="1:11" x14ac:dyDescent="0.35">
      <c r="A784" s="56" t="s">
        <v>1789</v>
      </c>
      <c r="B784" s="57" t="s">
        <v>998</v>
      </c>
      <c r="C784" s="87">
        <v>80</v>
      </c>
      <c r="D784" s="57" t="s">
        <v>999</v>
      </c>
      <c r="E784" s="58">
        <v>45200</v>
      </c>
      <c r="F784" s="57">
        <v>128</v>
      </c>
      <c r="G784" s="59">
        <v>3.7</v>
      </c>
      <c r="H784" s="57">
        <f>IF(MONTH(Call_Centre_Data[[#This Row],[Date of Call]])&lt;=6,YEAR(Call_Centre_Data[[#This Row],[Date of Call]]),YEAR(Call_Centre_Data[[#This Row],[Date of Call]])+1)</f>
        <v>2024</v>
      </c>
      <c r="I784" s="39" t="str">
        <f>TEXT(Call_Centre_Data[[#This Row],[Date of Call]],"DDDD")</f>
        <v>Sunday</v>
      </c>
      <c r="J784" s="39" t="str" cm="1">
        <f t="array" ref="J784">_xlfn.IFS(Call_Centre_Data[[#This Row],[Duration]]&lt;=10,"Under 10 Mins", Call_Centre_Data[[#This Row],[Duration]]&lt;=30,"10-30 Mins",Call_Centre_Data[[#This Row],[Duration]]&lt;=60,"30-60 Mins",Call_Centre_Data[[#This Row],[Duration]]&lt;=120,"1-2 Hours",TRUE,"More than 2 Hours")</f>
        <v>1-2 Hours</v>
      </c>
      <c r="K784" s="91">
        <f>ROUND(Call_Centre_Data[[#This Row],[Satisfaction Rating]],0)</f>
        <v>4</v>
      </c>
    </row>
    <row r="785" spans="1:11" x14ac:dyDescent="0.35">
      <c r="A785" s="56" t="s">
        <v>1790</v>
      </c>
      <c r="B785" s="57" t="s">
        <v>1060</v>
      </c>
      <c r="C785" s="87">
        <v>131</v>
      </c>
      <c r="D785" s="57" t="s">
        <v>989</v>
      </c>
      <c r="E785" s="58">
        <v>45200</v>
      </c>
      <c r="F785" s="57">
        <v>69</v>
      </c>
      <c r="G785" s="59">
        <v>4.7</v>
      </c>
      <c r="H785" s="57">
        <f>IF(MONTH(Call_Centre_Data[[#This Row],[Date of Call]])&lt;=6,YEAR(Call_Centre_Data[[#This Row],[Date of Call]]),YEAR(Call_Centre_Data[[#This Row],[Date of Call]])+1)</f>
        <v>2024</v>
      </c>
      <c r="I785" s="39" t="str">
        <f>TEXT(Call_Centre_Data[[#This Row],[Date of Call]],"DDDD")</f>
        <v>Sunday</v>
      </c>
      <c r="J785" s="39" t="str" cm="1">
        <f t="array" ref="J785">_xlfn.IFS(Call_Centre_Data[[#This Row],[Duration]]&lt;=10,"Under 10 Mins", Call_Centre_Data[[#This Row],[Duration]]&lt;=30,"10-30 Mins",Call_Centre_Data[[#This Row],[Duration]]&lt;=60,"30-60 Mins",Call_Centre_Data[[#This Row],[Duration]]&lt;=120,"1-2 Hours",TRUE,"More than 2 Hours")</f>
        <v>More than 2 Hours</v>
      </c>
      <c r="K785" s="91">
        <f>ROUND(Call_Centre_Data[[#This Row],[Satisfaction Rating]],0)</f>
        <v>5</v>
      </c>
    </row>
    <row r="786" spans="1:11" x14ac:dyDescent="0.35">
      <c r="A786" s="56" t="s">
        <v>1791</v>
      </c>
      <c r="B786" s="57" t="s">
        <v>1060</v>
      </c>
      <c r="C786" s="87">
        <v>109</v>
      </c>
      <c r="D786" s="57" t="s">
        <v>989</v>
      </c>
      <c r="E786" s="58">
        <v>45200</v>
      </c>
      <c r="F786" s="57">
        <v>44</v>
      </c>
      <c r="G786" s="59">
        <v>4.5999999999999996</v>
      </c>
      <c r="H786" s="57">
        <f>IF(MONTH(Call_Centre_Data[[#This Row],[Date of Call]])&lt;=6,YEAR(Call_Centre_Data[[#This Row],[Date of Call]]),YEAR(Call_Centre_Data[[#This Row],[Date of Call]])+1)</f>
        <v>2024</v>
      </c>
      <c r="I786" s="39" t="str">
        <f>TEXT(Call_Centre_Data[[#This Row],[Date of Call]],"DDDD")</f>
        <v>Sunday</v>
      </c>
      <c r="J786" s="39" t="str" cm="1">
        <f t="array" ref="J786">_xlfn.IFS(Call_Centre_Data[[#This Row],[Duration]]&lt;=10,"Under 10 Mins", Call_Centre_Data[[#This Row],[Duration]]&lt;=30,"10-30 Mins",Call_Centre_Data[[#This Row],[Duration]]&lt;=60,"30-60 Mins",Call_Centre_Data[[#This Row],[Duration]]&lt;=120,"1-2 Hours",TRUE,"More than 2 Hours")</f>
        <v>1-2 Hours</v>
      </c>
      <c r="K786" s="91">
        <f>ROUND(Call_Centre_Data[[#This Row],[Satisfaction Rating]],0)</f>
        <v>5</v>
      </c>
    </row>
    <row r="787" spans="1:11" x14ac:dyDescent="0.35">
      <c r="A787" s="56" t="s">
        <v>1792</v>
      </c>
      <c r="B787" s="57" t="s">
        <v>1002</v>
      </c>
      <c r="C787" s="87">
        <v>142</v>
      </c>
      <c r="D787" s="57" t="s">
        <v>989</v>
      </c>
      <c r="E787" s="58">
        <v>45200</v>
      </c>
      <c r="F787" s="57">
        <v>44</v>
      </c>
      <c r="G787" s="59">
        <v>4.8</v>
      </c>
      <c r="H787" s="57">
        <f>IF(MONTH(Call_Centre_Data[[#This Row],[Date of Call]])&lt;=6,YEAR(Call_Centre_Data[[#This Row],[Date of Call]]),YEAR(Call_Centre_Data[[#This Row],[Date of Call]])+1)</f>
        <v>2024</v>
      </c>
      <c r="I787" s="39" t="str">
        <f>TEXT(Call_Centre_Data[[#This Row],[Date of Call]],"DDDD")</f>
        <v>Sunday</v>
      </c>
      <c r="J787" s="39" t="str" cm="1">
        <f t="array" ref="J787">_xlfn.IFS(Call_Centre_Data[[#This Row],[Duration]]&lt;=10,"Under 10 Mins", Call_Centre_Data[[#This Row],[Duration]]&lt;=30,"10-30 Mins",Call_Centre_Data[[#This Row],[Duration]]&lt;=60,"30-60 Mins",Call_Centre_Data[[#This Row],[Duration]]&lt;=120,"1-2 Hours",TRUE,"More than 2 Hours")</f>
        <v>More than 2 Hours</v>
      </c>
      <c r="K787" s="91">
        <f>ROUND(Call_Centre_Data[[#This Row],[Satisfaction Rating]],0)</f>
        <v>5</v>
      </c>
    </row>
    <row r="788" spans="1:11" x14ac:dyDescent="0.35">
      <c r="A788" s="56" t="s">
        <v>1793</v>
      </c>
      <c r="B788" s="57" t="s">
        <v>1019</v>
      </c>
      <c r="C788" s="87">
        <v>114</v>
      </c>
      <c r="D788" s="57" t="s">
        <v>1008</v>
      </c>
      <c r="E788" s="58">
        <v>45201</v>
      </c>
      <c r="F788" s="57">
        <v>135</v>
      </c>
      <c r="G788" s="59">
        <v>2</v>
      </c>
      <c r="H788" s="57">
        <f>IF(MONTH(Call_Centre_Data[[#This Row],[Date of Call]])&lt;=6,YEAR(Call_Centre_Data[[#This Row],[Date of Call]]),YEAR(Call_Centre_Data[[#This Row],[Date of Call]])+1)</f>
        <v>2024</v>
      </c>
      <c r="I788" s="39" t="str">
        <f>TEXT(Call_Centre_Data[[#This Row],[Date of Call]],"DDDD")</f>
        <v>Monday</v>
      </c>
      <c r="J788" s="39" t="str" cm="1">
        <f t="array" ref="J788">_xlfn.IFS(Call_Centre_Data[[#This Row],[Duration]]&lt;=10,"Under 10 Mins", Call_Centre_Data[[#This Row],[Duration]]&lt;=30,"10-30 Mins",Call_Centre_Data[[#This Row],[Duration]]&lt;=60,"30-60 Mins",Call_Centre_Data[[#This Row],[Duration]]&lt;=120,"1-2 Hours",TRUE,"More than 2 Hours")</f>
        <v>1-2 Hours</v>
      </c>
      <c r="K788" s="91">
        <f>ROUND(Call_Centre_Data[[#This Row],[Satisfaction Rating]],0)</f>
        <v>2</v>
      </c>
    </row>
    <row r="789" spans="1:11" x14ac:dyDescent="0.35">
      <c r="A789" s="56" t="s">
        <v>1794</v>
      </c>
      <c r="B789" s="57" t="s">
        <v>996</v>
      </c>
      <c r="C789" s="87">
        <v>93</v>
      </c>
      <c r="D789" s="57" t="s">
        <v>999</v>
      </c>
      <c r="E789" s="58">
        <v>45201</v>
      </c>
      <c r="F789" s="57">
        <v>45</v>
      </c>
      <c r="G789" s="59">
        <v>3.9</v>
      </c>
      <c r="H789" s="57">
        <f>IF(MONTH(Call_Centre_Data[[#This Row],[Date of Call]])&lt;=6,YEAR(Call_Centre_Data[[#This Row],[Date of Call]]),YEAR(Call_Centre_Data[[#This Row],[Date of Call]])+1)</f>
        <v>2024</v>
      </c>
      <c r="I789" s="39" t="str">
        <f>TEXT(Call_Centre_Data[[#This Row],[Date of Call]],"DDDD")</f>
        <v>Monday</v>
      </c>
      <c r="J789" s="39" t="str" cm="1">
        <f t="array" ref="J789">_xlfn.IFS(Call_Centre_Data[[#This Row],[Duration]]&lt;=10,"Under 10 Mins", Call_Centre_Data[[#This Row],[Duration]]&lt;=30,"10-30 Mins",Call_Centre_Data[[#This Row],[Duration]]&lt;=60,"30-60 Mins",Call_Centre_Data[[#This Row],[Duration]]&lt;=120,"1-2 Hours",TRUE,"More than 2 Hours")</f>
        <v>1-2 Hours</v>
      </c>
      <c r="K789" s="91">
        <f>ROUND(Call_Centre_Data[[#This Row],[Satisfaction Rating]],0)</f>
        <v>4</v>
      </c>
    </row>
    <row r="790" spans="1:11" x14ac:dyDescent="0.35">
      <c r="A790" s="56" t="s">
        <v>1795</v>
      </c>
      <c r="B790" s="57" t="s">
        <v>1040</v>
      </c>
      <c r="C790" s="87">
        <v>43</v>
      </c>
      <c r="D790" s="57" t="s">
        <v>999</v>
      </c>
      <c r="E790" s="58">
        <v>45201</v>
      </c>
      <c r="F790" s="57">
        <v>87</v>
      </c>
      <c r="G790" s="59">
        <v>3</v>
      </c>
      <c r="H790" s="57">
        <f>IF(MONTH(Call_Centre_Data[[#This Row],[Date of Call]])&lt;=6,YEAR(Call_Centre_Data[[#This Row],[Date of Call]]),YEAR(Call_Centre_Data[[#This Row],[Date of Call]])+1)</f>
        <v>2024</v>
      </c>
      <c r="I790" s="39" t="str">
        <f>TEXT(Call_Centre_Data[[#This Row],[Date of Call]],"DDDD")</f>
        <v>Monday</v>
      </c>
      <c r="J790" s="39" t="str" cm="1">
        <f t="array" ref="J790">_xlfn.IFS(Call_Centre_Data[[#This Row],[Duration]]&lt;=10,"Under 10 Mins", Call_Centre_Data[[#This Row],[Duration]]&lt;=30,"10-30 Mins",Call_Centre_Data[[#This Row],[Duration]]&lt;=60,"30-60 Mins",Call_Centre_Data[[#This Row],[Duration]]&lt;=120,"1-2 Hours",TRUE,"More than 2 Hours")</f>
        <v>30-60 Mins</v>
      </c>
      <c r="K790" s="91">
        <f>ROUND(Call_Centre_Data[[#This Row],[Satisfaction Rating]],0)</f>
        <v>3</v>
      </c>
    </row>
    <row r="791" spans="1:11" x14ac:dyDescent="0.35">
      <c r="A791" s="56" t="s">
        <v>1796</v>
      </c>
      <c r="B791" s="57" t="s">
        <v>1013</v>
      </c>
      <c r="C791" s="87">
        <v>78</v>
      </c>
      <c r="D791" s="57" t="s">
        <v>1004</v>
      </c>
      <c r="E791" s="58">
        <v>45202</v>
      </c>
      <c r="F791" s="57">
        <v>84</v>
      </c>
      <c r="G791" s="59">
        <v>4.5999999999999996</v>
      </c>
      <c r="H791" s="57">
        <f>IF(MONTH(Call_Centre_Data[[#This Row],[Date of Call]])&lt;=6,YEAR(Call_Centre_Data[[#This Row],[Date of Call]]),YEAR(Call_Centre_Data[[#This Row],[Date of Call]])+1)</f>
        <v>2024</v>
      </c>
      <c r="I791" s="39" t="str">
        <f>TEXT(Call_Centre_Data[[#This Row],[Date of Call]],"DDDD")</f>
        <v>Tuesday</v>
      </c>
      <c r="J791" s="39" t="str" cm="1">
        <f t="array" ref="J791">_xlfn.IFS(Call_Centre_Data[[#This Row],[Duration]]&lt;=10,"Under 10 Mins", Call_Centre_Data[[#This Row],[Duration]]&lt;=30,"10-30 Mins",Call_Centre_Data[[#This Row],[Duration]]&lt;=60,"30-60 Mins",Call_Centre_Data[[#This Row],[Duration]]&lt;=120,"1-2 Hours",TRUE,"More than 2 Hours")</f>
        <v>1-2 Hours</v>
      </c>
      <c r="K791" s="91">
        <f>ROUND(Call_Centre_Data[[#This Row],[Satisfaction Rating]],0)</f>
        <v>5</v>
      </c>
    </row>
    <row r="792" spans="1:11" x14ac:dyDescent="0.35">
      <c r="A792" s="56" t="s">
        <v>1797</v>
      </c>
      <c r="B792" s="57" t="s">
        <v>1019</v>
      </c>
      <c r="C792" s="87">
        <v>89</v>
      </c>
      <c r="D792" s="57" t="s">
        <v>989</v>
      </c>
      <c r="E792" s="58">
        <v>45202</v>
      </c>
      <c r="F792" s="57">
        <v>81</v>
      </c>
      <c r="G792" s="59">
        <v>3.8</v>
      </c>
      <c r="H792" s="57">
        <f>IF(MONTH(Call_Centre_Data[[#This Row],[Date of Call]])&lt;=6,YEAR(Call_Centre_Data[[#This Row],[Date of Call]]),YEAR(Call_Centre_Data[[#This Row],[Date of Call]])+1)</f>
        <v>2024</v>
      </c>
      <c r="I792" s="39" t="str">
        <f>TEXT(Call_Centre_Data[[#This Row],[Date of Call]],"DDDD")</f>
        <v>Tuesday</v>
      </c>
      <c r="J792" s="39" t="str" cm="1">
        <f t="array" ref="J792">_xlfn.IFS(Call_Centre_Data[[#This Row],[Duration]]&lt;=10,"Under 10 Mins", Call_Centre_Data[[#This Row],[Duration]]&lt;=30,"10-30 Mins",Call_Centre_Data[[#This Row],[Duration]]&lt;=60,"30-60 Mins",Call_Centre_Data[[#This Row],[Duration]]&lt;=120,"1-2 Hours",TRUE,"More than 2 Hours")</f>
        <v>1-2 Hours</v>
      </c>
      <c r="K792" s="91">
        <f>ROUND(Call_Centre_Data[[#This Row],[Satisfaction Rating]],0)</f>
        <v>4</v>
      </c>
    </row>
    <row r="793" spans="1:11" x14ac:dyDescent="0.35">
      <c r="A793" s="56" t="s">
        <v>1798</v>
      </c>
      <c r="B793" s="57" t="s">
        <v>1002</v>
      </c>
      <c r="C793" s="87">
        <v>82</v>
      </c>
      <c r="D793" s="57" t="s">
        <v>994</v>
      </c>
      <c r="E793" s="58">
        <v>45202</v>
      </c>
      <c r="F793" s="57">
        <v>130</v>
      </c>
      <c r="G793" s="59">
        <v>4.4000000000000004</v>
      </c>
      <c r="H793" s="57">
        <f>IF(MONTH(Call_Centre_Data[[#This Row],[Date of Call]])&lt;=6,YEAR(Call_Centre_Data[[#This Row],[Date of Call]]),YEAR(Call_Centre_Data[[#This Row],[Date of Call]])+1)</f>
        <v>2024</v>
      </c>
      <c r="I793" s="39" t="str">
        <f>TEXT(Call_Centre_Data[[#This Row],[Date of Call]],"DDDD")</f>
        <v>Tuesday</v>
      </c>
      <c r="J793" s="39" t="str" cm="1">
        <f t="array" ref="J793">_xlfn.IFS(Call_Centre_Data[[#This Row],[Duration]]&lt;=10,"Under 10 Mins", Call_Centre_Data[[#This Row],[Duration]]&lt;=30,"10-30 Mins",Call_Centre_Data[[#This Row],[Duration]]&lt;=60,"30-60 Mins",Call_Centre_Data[[#This Row],[Duration]]&lt;=120,"1-2 Hours",TRUE,"More than 2 Hours")</f>
        <v>1-2 Hours</v>
      </c>
      <c r="K793" s="91">
        <f>ROUND(Call_Centre_Data[[#This Row],[Satisfaction Rating]],0)</f>
        <v>4</v>
      </c>
    </row>
    <row r="794" spans="1:11" x14ac:dyDescent="0.35">
      <c r="A794" s="56" t="s">
        <v>1799</v>
      </c>
      <c r="B794" s="57" t="s">
        <v>998</v>
      </c>
      <c r="C794" s="87">
        <v>86</v>
      </c>
      <c r="D794" s="57" t="s">
        <v>989</v>
      </c>
      <c r="E794" s="58">
        <v>45203</v>
      </c>
      <c r="F794" s="57">
        <v>92</v>
      </c>
      <c r="G794" s="59">
        <v>2.4</v>
      </c>
      <c r="H794" s="57">
        <f>IF(MONTH(Call_Centre_Data[[#This Row],[Date of Call]])&lt;=6,YEAR(Call_Centre_Data[[#This Row],[Date of Call]]),YEAR(Call_Centre_Data[[#This Row],[Date of Call]])+1)</f>
        <v>2024</v>
      </c>
      <c r="I794" s="39" t="str">
        <f>TEXT(Call_Centre_Data[[#This Row],[Date of Call]],"DDDD")</f>
        <v>Wednesday</v>
      </c>
      <c r="J794" s="39" t="str" cm="1">
        <f t="array" ref="J794">_xlfn.IFS(Call_Centre_Data[[#This Row],[Duration]]&lt;=10,"Under 10 Mins", Call_Centre_Data[[#This Row],[Duration]]&lt;=30,"10-30 Mins",Call_Centre_Data[[#This Row],[Duration]]&lt;=60,"30-60 Mins",Call_Centre_Data[[#This Row],[Duration]]&lt;=120,"1-2 Hours",TRUE,"More than 2 Hours")</f>
        <v>1-2 Hours</v>
      </c>
      <c r="K794" s="91">
        <f>ROUND(Call_Centre_Data[[#This Row],[Satisfaction Rating]],0)</f>
        <v>2</v>
      </c>
    </row>
    <row r="795" spans="1:11" x14ac:dyDescent="0.35">
      <c r="A795" s="56" t="s">
        <v>1800</v>
      </c>
      <c r="B795" s="57" t="s">
        <v>1030</v>
      </c>
      <c r="C795" s="87">
        <v>57</v>
      </c>
      <c r="D795" s="57" t="s">
        <v>1004</v>
      </c>
      <c r="E795" s="58">
        <v>45203</v>
      </c>
      <c r="F795" s="57">
        <v>48</v>
      </c>
      <c r="G795" s="59">
        <v>4.5</v>
      </c>
      <c r="H795" s="57">
        <f>IF(MONTH(Call_Centre_Data[[#This Row],[Date of Call]])&lt;=6,YEAR(Call_Centre_Data[[#This Row],[Date of Call]]),YEAR(Call_Centre_Data[[#This Row],[Date of Call]])+1)</f>
        <v>2024</v>
      </c>
      <c r="I795" s="39" t="str">
        <f>TEXT(Call_Centre_Data[[#This Row],[Date of Call]],"DDDD")</f>
        <v>Wednesday</v>
      </c>
      <c r="J795" s="39" t="str" cm="1">
        <f t="array" ref="J795">_xlfn.IFS(Call_Centre_Data[[#This Row],[Duration]]&lt;=10,"Under 10 Mins", Call_Centre_Data[[#This Row],[Duration]]&lt;=30,"10-30 Mins",Call_Centre_Data[[#This Row],[Duration]]&lt;=60,"30-60 Mins",Call_Centre_Data[[#This Row],[Duration]]&lt;=120,"1-2 Hours",TRUE,"More than 2 Hours")</f>
        <v>30-60 Mins</v>
      </c>
      <c r="K795" s="91">
        <f>ROUND(Call_Centre_Data[[#This Row],[Satisfaction Rating]],0)</f>
        <v>5</v>
      </c>
    </row>
    <row r="796" spans="1:11" x14ac:dyDescent="0.35">
      <c r="A796" s="56" t="s">
        <v>1801</v>
      </c>
      <c r="B796" s="57" t="s">
        <v>996</v>
      </c>
      <c r="C796" s="87">
        <v>103</v>
      </c>
      <c r="D796" s="57" t="s">
        <v>1008</v>
      </c>
      <c r="E796" s="58">
        <v>45203</v>
      </c>
      <c r="F796" s="57">
        <v>160</v>
      </c>
      <c r="G796" s="59">
        <v>4.5</v>
      </c>
      <c r="H796" s="57">
        <f>IF(MONTH(Call_Centre_Data[[#This Row],[Date of Call]])&lt;=6,YEAR(Call_Centre_Data[[#This Row],[Date of Call]]),YEAR(Call_Centre_Data[[#This Row],[Date of Call]])+1)</f>
        <v>2024</v>
      </c>
      <c r="I796" s="39" t="str">
        <f>TEXT(Call_Centre_Data[[#This Row],[Date of Call]],"DDDD")</f>
        <v>Wednesday</v>
      </c>
      <c r="J796" s="39" t="str" cm="1">
        <f t="array" ref="J796">_xlfn.IFS(Call_Centre_Data[[#This Row],[Duration]]&lt;=10,"Under 10 Mins", Call_Centre_Data[[#This Row],[Duration]]&lt;=30,"10-30 Mins",Call_Centre_Data[[#This Row],[Duration]]&lt;=60,"30-60 Mins",Call_Centre_Data[[#This Row],[Duration]]&lt;=120,"1-2 Hours",TRUE,"More than 2 Hours")</f>
        <v>1-2 Hours</v>
      </c>
      <c r="K796" s="91">
        <f>ROUND(Call_Centre_Data[[#This Row],[Satisfaction Rating]],0)</f>
        <v>5</v>
      </c>
    </row>
    <row r="797" spans="1:11" x14ac:dyDescent="0.35">
      <c r="A797" s="56" t="s">
        <v>1802</v>
      </c>
      <c r="B797" s="57" t="s">
        <v>1011</v>
      </c>
      <c r="C797" s="87">
        <v>138</v>
      </c>
      <c r="D797" s="57" t="s">
        <v>1004</v>
      </c>
      <c r="E797" s="58">
        <v>45204</v>
      </c>
      <c r="F797" s="57">
        <v>155</v>
      </c>
      <c r="G797" s="59">
        <v>2.7</v>
      </c>
      <c r="H797" s="57">
        <f>IF(MONTH(Call_Centre_Data[[#This Row],[Date of Call]])&lt;=6,YEAR(Call_Centre_Data[[#This Row],[Date of Call]]),YEAR(Call_Centre_Data[[#This Row],[Date of Call]])+1)</f>
        <v>2024</v>
      </c>
      <c r="I797" s="39" t="str">
        <f>TEXT(Call_Centre_Data[[#This Row],[Date of Call]],"DDDD")</f>
        <v>Thursday</v>
      </c>
      <c r="J797" s="39" t="str" cm="1">
        <f t="array" ref="J797">_xlfn.IFS(Call_Centre_Data[[#This Row],[Duration]]&lt;=10,"Under 10 Mins", Call_Centre_Data[[#This Row],[Duration]]&lt;=30,"10-30 Mins",Call_Centre_Data[[#This Row],[Duration]]&lt;=60,"30-60 Mins",Call_Centre_Data[[#This Row],[Duration]]&lt;=120,"1-2 Hours",TRUE,"More than 2 Hours")</f>
        <v>More than 2 Hours</v>
      </c>
      <c r="K797" s="91">
        <f>ROUND(Call_Centre_Data[[#This Row],[Satisfaction Rating]],0)</f>
        <v>3</v>
      </c>
    </row>
    <row r="798" spans="1:11" x14ac:dyDescent="0.35">
      <c r="A798" s="56" t="s">
        <v>1803</v>
      </c>
      <c r="B798" s="57" t="s">
        <v>1007</v>
      </c>
      <c r="C798" s="87">
        <v>88</v>
      </c>
      <c r="D798" s="57" t="s">
        <v>994</v>
      </c>
      <c r="E798" s="58">
        <v>45204</v>
      </c>
      <c r="F798" s="57">
        <v>100</v>
      </c>
      <c r="G798" s="59">
        <v>4.9000000000000004</v>
      </c>
      <c r="H798" s="57">
        <f>IF(MONTH(Call_Centre_Data[[#This Row],[Date of Call]])&lt;=6,YEAR(Call_Centre_Data[[#This Row],[Date of Call]]),YEAR(Call_Centre_Data[[#This Row],[Date of Call]])+1)</f>
        <v>2024</v>
      </c>
      <c r="I798" s="39" t="str">
        <f>TEXT(Call_Centre_Data[[#This Row],[Date of Call]],"DDDD")</f>
        <v>Thursday</v>
      </c>
      <c r="J798" s="39" t="str" cm="1">
        <f t="array" ref="J798">_xlfn.IFS(Call_Centre_Data[[#This Row],[Duration]]&lt;=10,"Under 10 Mins", Call_Centre_Data[[#This Row],[Duration]]&lt;=30,"10-30 Mins",Call_Centre_Data[[#This Row],[Duration]]&lt;=60,"30-60 Mins",Call_Centre_Data[[#This Row],[Duration]]&lt;=120,"1-2 Hours",TRUE,"More than 2 Hours")</f>
        <v>1-2 Hours</v>
      </c>
      <c r="K798" s="91">
        <f>ROUND(Call_Centre_Data[[#This Row],[Satisfaction Rating]],0)</f>
        <v>5</v>
      </c>
    </row>
    <row r="799" spans="1:11" x14ac:dyDescent="0.35">
      <c r="A799" s="56" t="s">
        <v>1804</v>
      </c>
      <c r="B799" s="57" t="s">
        <v>1019</v>
      </c>
      <c r="C799" s="87">
        <v>118</v>
      </c>
      <c r="D799" s="57" t="s">
        <v>999</v>
      </c>
      <c r="E799" s="58">
        <v>45204</v>
      </c>
      <c r="F799" s="57">
        <v>56</v>
      </c>
      <c r="G799" s="59">
        <v>3.7</v>
      </c>
      <c r="H799" s="57">
        <f>IF(MONTH(Call_Centre_Data[[#This Row],[Date of Call]])&lt;=6,YEAR(Call_Centre_Data[[#This Row],[Date of Call]]),YEAR(Call_Centre_Data[[#This Row],[Date of Call]])+1)</f>
        <v>2024</v>
      </c>
      <c r="I799" s="39" t="str">
        <f>TEXT(Call_Centre_Data[[#This Row],[Date of Call]],"DDDD")</f>
        <v>Thursday</v>
      </c>
      <c r="J799" s="39" t="str" cm="1">
        <f t="array" ref="J799">_xlfn.IFS(Call_Centre_Data[[#This Row],[Duration]]&lt;=10,"Under 10 Mins", Call_Centre_Data[[#This Row],[Duration]]&lt;=30,"10-30 Mins",Call_Centre_Data[[#This Row],[Duration]]&lt;=60,"30-60 Mins",Call_Centre_Data[[#This Row],[Duration]]&lt;=120,"1-2 Hours",TRUE,"More than 2 Hours")</f>
        <v>1-2 Hours</v>
      </c>
      <c r="K799" s="91">
        <f>ROUND(Call_Centre_Data[[#This Row],[Satisfaction Rating]],0)</f>
        <v>4</v>
      </c>
    </row>
    <row r="800" spans="1:11" x14ac:dyDescent="0.35">
      <c r="A800" s="56" t="s">
        <v>1805</v>
      </c>
      <c r="B800" s="57" t="s">
        <v>998</v>
      </c>
      <c r="C800" s="87">
        <v>4</v>
      </c>
      <c r="D800" s="57" t="s">
        <v>989</v>
      </c>
      <c r="E800" s="58">
        <v>45204</v>
      </c>
      <c r="F800" s="57">
        <v>170</v>
      </c>
      <c r="G800" s="59">
        <v>3.9</v>
      </c>
      <c r="H800" s="57">
        <f>IF(MONTH(Call_Centre_Data[[#This Row],[Date of Call]])&lt;=6,YEAR(Call_Centre_Data[[#This Row],[Date of Call]]),YEAR(Call_Centre_Data[[#This Row],[Date of Call]])+1)</f>
        <v>2024</v>
      </c>
      <c r="I800" s="39" t="str">
        <f>TEXT(Call_Centre_Data[[#This Row],[Date of Call]],"DDDD")</f>
        <v>Thursday</v>
      </c>
      <c r="J800" s="39" t="str" cm="1">
        <f t="array" ref="J800">_xlfn.IFS(Call_Centre_Data[[#This Row],[Duration]]&lt;=10,"Under 10 Mins", Call_Centre_Data[[#This Row],[Duration]]&lt;=30,"10-30 Mins",Call_Centre_Data[[#This Row],[Duration]]&lt;=60,"30-60 Mins",Call_Centre_Data[[#This Row],[Duration]]&lt;=120,"1-2 Hours",TRUE,"More than 2 Hours")</f>
        <v>Under 10 Mins</v>
      </c>
      <c r="K800" s="91">
        <f>ROUND(Call_Centre_Data[[#This Row],[Satisfaction Rating]],0)</f>
        <v>4</v>
      </c>
    </row>
    <row r="801" spans="1:11" x14ac:dyDescent="0.35">
      <c r="A801" s="56" t="s">
        <v>1806</v>
      </c>
      <c r="B801" s="57" t="s">
        <v>1040</v>
      </c>
      <c r="C801" s="87">
        <v>78</v>
      </c>
      <c r="D801" s="57" t="s">
        <v>1008</v>
      </c>
      <c r="E801" s="58">
        <v>45205</v>
      </c>
      <c r="F801" s="57">
        <v>74</v>
      </c>
      <c r="G801" s="59">
        <v>3.5</v>
      </c>
      <c r="H801" s="57">
        <f>IF(MONTH(Call_Centre_Data[[#This Row],[Date of Call]])&lt;=6,YEAR(Call_Centre_Data[[#This Row],[Date of Call]]),YEAR(Call_Centre_Data[[#This Row],[Date of Call]])+1)</f>
        <v>2024</v>
      </c>
      <c r="I801" s="39" t="str">
        <f>TEXT(Call_Centre_Data[[#This Row],[Date of Call]],"DDDD")</f>
        <v>Friday</v>
      </c>
      <c r="J801" s="39" t="str" cm="1">
        <f t="array" ref="J801">_xlfn.IFS(Call_Centre_Data[[#This Row],[Duration]]&lt;=10,"Under 10 Mins", Call_Centre_Data[[#This Row],[Duration]]&lt;=30,"10-30 Mins",Call_Centre_Data[[#This Row],[Duration]]&lt;=60,"30-60 Mins",Call_Centre_Data[[#This Row],[Duration]]&lt;=120,"1-2 Hours",TRUE,"More than 2 Hours")</f>
        <v>1-2 Hours</v>
      </c>
      <c r="K801" s="91">
        <f>ROUND(Call_Centre_Data[[#This Row],[Satisfaction Rating]],0)</f>
        <v>4</v>
      </c>
    </row>
    <row r="802" spans="1:11" x14ac:dyDescent="0.35">
      <c r="A802" s="56" t="s">
        <v>1807</v>
      </c>
      <c r="B802" s="57" t="s">
        <v>1022</v>
      </c>
      <c r="C802" s="87">
        <v>69</v>
      </c>
      <c r="D802" s="57" t="s">
        <v>989</v>
      </c>
      <c r="E802" s="58">
        <v>45205</v>
      </c>
      <c r="F802" s="57">
        <v>99</v>
      </c>
      <c r="G802" s="59">
        <v>2.7</v>
      </c>
      <c r="H802" s="57">
        <f>IF(MONTH(Call_Centre_Data[[#This Row],[Date of Call]])&lt;=6,YEAR(Call_Centre_Data[[#This Row],[Date of Call]]),YEAR(Call_Centre_Data[[#This Row],[Date of Call]])+1)</f>
        <v>2024</v>
      </c>
      <c r="I802" s="39" t="str">
        <f>TEXT(Call_Centre_Data[[#This Row],[Date of Call]],"DDDD")</f>
        <v>Friday</v>
      </c>
      <c r="J802" s="39" t="str" cm="1">
        <f t="array" ref="J802">_xlfn.IFS(Call_Centre_Data[[#This Row],[Duration]]&lt;=10,"Under 10 Mins", Call_Centre_Data[[#This Row],[Duration]]&lt;=30,"10-30 Mins",Call_Centre_Data[[#This Row],[Duration]]&lt;=60,"30-60 Mins",Call_Centre_Data[[#This Row],[Duration]]&lt;=120,"1-2 Hours",TRUE,"More than 2 Hours")</f>
        <v>1-2 Hours</v>
      </c>
      <c r="K802" s="91">
        <f>ROUND(Call_Centre_Data[[#This Row],[Satisfaction Rating]],0)</f>
        <v>3</v>
      </c>
    </row>
    <row r="803" spans="1:11" x14ac:dyDescent="0.35">
      <c r="A803" s="56" t="s">
        <v>1808</v>
      </c>
      <c r="B803" s="57" t="s">
        <v>1002</v>
      </c>
      <c r="C803" s="87">
        <v>90</v>
      </c>
      <c r="D803" s="57" t="s">
        <v>1004</v>
      </c>
      <c r="E803" s="58">
        <v>45205</v>
      </c>
      <c r="F803" s="57">
        <v>84</v>
      </c>
      <c r="G803" s="59">
        <v>3.9</v>
      </c>
      <c r="H803" s="57">
        <f>IF(MONTH(Call_Centre_Data[[#This Row],[Date of Call]])&lt;=6,YEAR(Call_Centre_Data[[#This Row],[Date of Call]]),YEAR(Call_Centre_Data[[#This Row],[Date of Call]])+1)</f>
        <v>2024</v>
      </c>
      <c r="I803" s="39" t="str">
        <f>TEXT(Call_Centre_Data[[#This Row],[Date of Call]],"DDDD")</f>
        <v>Friday</v>
      </c>
      <c r="J803" s="39" t="str" cm="1">
        <f t="array" ref="J803">_xlfn.IFS(Call_Centre_Data[[#This Row],[Duration]]&lt;=10,"Under 10 Mins", Call_Centre_Data[[#This Row],[Duration]]&lt;=30,"10-30 Mins",Call_Centre_Data[[#This Row],[Duration]]&lt;=60,"30-60 Mins",Call_Centre_Data[[#This Row],[Duration]]&lt;=120,"1-2 Hours",TRUE,"More than 2 Hours")</f>
        <v>1-2 Hours</v>
      </c>
      <c r="K803" s="91">
        <f>ROUND(Call_Centre_Data[[#This Row],[Satisfaction Rating]],0)</f>
        <v>4</v>
      </c>
    </row>
    <row r="804" spans="1:11" x14ac:dyDescent="0.35">
      <c r="A804" s="56" t="s">
        <v>1809</v>
      </c>
      <c r="B804" s="57" t="s">
        <v>1022</v>
      </c>
      <c r="C804" s="87">
        <v>134</v>
      </c>
      <c r="D804" s="57" t="s">
        <v>989</v>
      </c>
      <c r="E804" s="58">
        <v>45205</v>
      </c>
      <c r="F804" s="57">
        <v>35</v>
      </c>
      <c r="G804" s="59">
        <v>3.4</v>
      </c>
      <c r="H804" s="57">
        <f>IF(MONTH(Call_Centre_Data[[#This Row],[Date of Call]])&lt;=6,YEAR(Call_Centre_Data[[#This Row],[Date of Call]]),YEAR(Call_Centre_Data[[#This Row],[Date of Call]])+1)</f>
        <v>2024</v>
      </c>
      <c r="I804" s="39" t="str">
        <f>TEXT(Call_Centre_Data[[#This Row],[Date of Call]],"DDDD")</f>
        <v>Friday</v>
      </c>
      <c r="J804" s="39" t="str" cm="1">
        <f t="array" ref="J804">_xlfn.IFS(Call_Centre_Data[[#This Row],[Duration]]&lt;=10,"Under 10 Mins", Call_Centre_Data[[#This Row],[Duration]]&lt;=30,"10-30 Mins",Call_Centre_Data[[#This Row],[Duration]]&lt;=60,"30-60 Mins",Call_Centre_Data[[#This Row],[Duration]]&lt;=120,"1-2 Hours",TRUE,"More than 2 Hours")</f>
        <v>More than 2 Hours</v>
      </c>
      <c r="K804" s="91">
        <f>ROUND(Call_Centre_Data[[#This Row],[Satisfaction Rating]],0)</f>
        <v>3</v>
      </c>
    </row>
    <row r="805" spans="1:11" x14ac:dyDescent="0.35">
      <c r="A805" s="56" t="s">
        <v>1810</v>
      </c>
      <c r="B805" s="57" t="s">
        <v>991</v>
      </c>
      <c r="C805" s="87">
        <v>65</v>
      </c>
      <c r="D805" s="57" t="s">
        <v>999</v>
      </c>
      <c r="E805" s="58">
        <v>45205</v>
      </c>
      <c r="F805" s="57">
        <v>150</v>
      </c>
      <c r="G805" s="59">
        <v>5</v>
      </c>
      <c r="H805" s="57">
        <f>IF(MONTH(Call_Centre_Data[[#This Row],[Date of Call]])&lt;=6,YEAR(Call_Centre_Data[[#This Row],[Date of Call]]),YEAR(Call_Centre_Data[[#This Row],[Date of Call]])+1)</f>
        <v>2024</v>
      </c>
      <c r="I805" s="39" t="str">
        <f>TEXT(Call_Centre_Data[[#This Row],[Date of Call]],"DDDD")</f>
        <v>Friday</v>
      </c>
      <c r="J805" s="39" t="str" cm="1">
        <f t="array" ref="J805">_xlfn.IFS(Call_Centre_Data[[#This Row],[Duration]]&lt;=10,"Under 10 Mins", Call_Centre_Data[[#This Row],[Duration]]&lt;=30,"10-30 Mins",Call_Centre_Data[[#This Row],[Duration]]&lt;=60,"30-60 Mins",Call_Centre_Data[[#This Row],[Duration]]&lt;=120,"1-2 Hours",TRUE,"More than 2 Hours")</f>
        <v>1-2 Hours</v>
      </c>
      <c r="K805" s="91">
        <f>ROUND(Call_Centre_Data[[#This Row],[Satisfaction Rating]],0)</f>
        <v>5</v>
      </c>
    </row>
    <row r="806" spans="1:11" x14ac:dyDescent="0.35">
      <c r="A806" s="56" t="s">
        <v>1811</v>
      </c>
      <c r="B806" s="57" t="s">
        <v>993</v>
      </c>
      <c r="C806" s="87">
        <v>54</v>
      </c>
      <c r="D806" s="57" t="s">
        <v>1008</v>
      </c>
      <c r="E806" s="58">
        <v>45206</v>
      </c>
      <c r="F806" s="57">
        <v>176</v>
      </c>
      <c r="G806" s="59">
        <v>4.4000000000000004</v>
      </c>
      <c r="H806" s="57">
        <f>IF(MONTH(Call_Centre_Data[[#This Row],[Date of Call]])&lt;=6,YEAR(Call_Centre_Data[[#This Row],[Date of Call]]),YEAR(Call_Centre_Data[[#This Row],[Date of Call]])+1)</f>
        <v>2024</v>
      </c>
      <c r="I806" s="39" t="str">
        <f>TEXT(Call_Centre_Data[[#This Row],[Date of Call]],"DDDD")</f>
        <v>Saturday</v>
      </c>
      <c r="J806" s="39" t="str" cm="1">
        <f t="array" ref="J806">_xlfn.IFS(Call_Centre_Data[[#This Row],[Duration]]&lt;=10,"Under 10 Mins", Call_Centre_Data[[#This Row],[Duration]]&lt;=30,"10-30 Mins",Call_Centre_Data[[#This Row],[Duration]]&lt;=60,"30-60 Mins",Call_Centre_Data[[#This Row],[Duration]]&lt;=120,"1-2 Hours",TRUE,"More than 2 Hours")</f>
        <v>30-60 Mins</v>
      </c>
      <c r="K806" s="91">
        <f>ROUND(Call_Centre_Data[[#This Row],[Satisfaction Rating]],0)</f>
        <v>4</v>
      </c>
    </row>
    <row r="807" spans="1:11" x14ac:dyDescent="0.35">
      <c r="A807" s="56" t="s">
        <v>1812</v>
      </c>
      <c r="B807" s="57" t="s">
        <v>993</v>
      </c>
      <c r="C807" s="87">
        <v>90</v>
      </c>
      <c r="D807" s="57" t="s">
        <v>1008</v>
      </c>
      <c r="E807" s="58">
        <v>45206</v>
      </c>
      <c r="F807" s="57">
        <v>84</v>
      </c>
      <c r="G807" s="59">
        <v>4.3</v>
      </c>
      <c r="H807" s="57">
        <f>IF(MONTH(Call_Centre_Data[[#This Row],[Date of Call]])&lt;=6,YEAR(Call_Centre_Data[[#This Row],[Date of Call]]),YEAR(Call_Centre_Data[[#This Row],[Date of Call]])+1)</f>
        <v>2024</v>
      </c>
      <c r="I807" s="39" t="str">
        <f>TEXT(Call_Centre_Data[[#This Row],[Date of Call]],"DDDD")</f>
        <v>Saturday</v>
      </c>
      <c r="J807" s="39" t="str" cm="1">
        <f t="array" ref="J807">_xlfn.IFS(Call_Centre_Data[[#This Row],[Duration]]&lt;=10,"Under 10 Mins", Call_Centre_Data[[#This Row],[Duration]]&lt;=30,"10-30 Mins",Call_Centre_Data[[#This Row],[Duration]]&lt;=60,"30-60 Mins",Call_Centre_Data[[#This Row],[Duration]]&lt;=120,"1-2 Hours",TRUE,"More than 2 Hours")</f>
        <v>1-2 Hours</v>
      </c>
      <c r="K807" s="91">
        <f>ROUND(Call_Centre_Data[[#This Row],[Satisfaction Rating]],0)</f>
        <v>4</v>
      </c>
    </row>
    <row r="808" spans="1:11" x14ac:dyDescent="0.35">
      <c r="A808" s="56" t="s">
        <v>1813</v>
      </c>
      <c r="B808" s="57" t="s">
        <v>1002</v>
      </c>
      <c r="C808" s="87">
        <v>66</v>
      </c>
      <c r="D808" s="57" t="s">
        <v>1008</v>
      </c>
      <c r="E808" s="58">
        <v>45206</v>
      </c>
      <c r="F808" s="57">
        <v>136</v>
      </c>
      <c r="G808" s="59">
        <v>4.7</v>
      </c>
      <c r="H808" s="57">
        <f>IF(MONTH(Call_Centre_Data[[#This Row],[Date of Call]])&lt;=6,YEAR(Call_Centre_Data[[#This Row],[Date of Call]]),YEAR(Call_Centre_Data[[#This Row],[Date of Call]])+1)</f>
        <v>2024</v>
      </c>
      <c r="I808" s="39" t="str">
        <f>TEXT(Call_Centre_Data[[#This Row],[Date of Call]],"DDDD")</f>
        <v>Saturday</v>
      </c>
      <c r="J808" s="39" t="str" cm="1">
        <f t="array" ref="J808">_xlfn.IFS(Call_Centre_Data[[#This Row],[Duration]]&lt;=10,"Under 10 Mins", Call_Centre_Data[[#This Row],[Duration]]&lt;=30,"10-30 Mins",Call_Centre_Data[[#This Row],[Duration]]&lt;=60,"30-60 Mins",Call_Centre_Data[[#This Row],[Duration]]&lt;=120,"1-2 Hours",TRUE,"More than 2 Hours")</f>
        <v>1-2 Hours</v>
      </c>
      <c r="K808" s="91">
        <f>ROUND(Call_Centre_Data[[#This Row],[Satisfaction Rating]],0)</f>
        <v>5</v>
      </c>
    </row>
    <row r="809" spans="1:11" x14ac:dyDescent="0.35">
      <c r="A809" s="56" t="s">
        <v>1814</v>
      </c>
      <c r="B809" s="57" t="s">
        <v>998</v>
      </c>
      <c r="C809" s="87">
        <v>150</v>
      </c>
      <c r="D809" s="57" t="s">
        <v>1008</v>
      </c>
      <c r="E809" s="58">
        <v>45207</v>
      </c>
      <c r="F809" s="57">
        <v>70</v>
      </c>
      <c r="G809" s="59">
        <v>4.0999999999999996</v>
      </c>
      <c r="H809" s="57">
        <f>IF(MONTH(Call_Centre_Data[[#This Row],[Date of Call]])&lt;=6,YEAR(Call_Centre_Data[[#This Row],[Date of Call]]),YEAR(Call_Centre_Data[[#This Row],[Date of Call]])+1)</f>
        <v>2024</v>
      </c>
      <c r="I809" s="39" t="str">
        <f>TEXT(Call_Centre_Data[[#This Row],[Date of Call]],"DDDD")</f>
        <v>Sunday</v>
      </c>
      <c r="J809" s="39" t="str" cm="1">
        <f t="array" ref="J809">_xlfn.IFS(Call_Centre_Data[[#This Row],[Duration]]&lt;=10,"Under 10 Mins", Call_Centre_Data[[#This Row],[Duration]]&lt;=30,"10-30 Mins",Call_Centre_Data[[#This Row],[Duration]]&lt;=60,"30-60 Mins",Call_Centre_Data[[#This Row],[Duration]]&lt;=120,"1-2 Hours",TRUE,"More than 2 Hours")</f>
        <v>More than 2 Hours</v>
      </c>
      <c r="K809" s="91">
        <f>ROUND(Call_Centre_Data[[#This Row],[Satisfaction Rating]],0)</f>
        <v>4</v>
      </c>
    </row>
    <row r="810" spans="1:11" x14ac:dyDescent="0.35">
      <c r="A810" s="56" t="s">
        <v>1815</v>
      </c>
      <c r="B810" s="57" t="s">
        <v>1013</v>
      </c>
      <c r="C810" s="87">
        <v>18</v>
      </c>
      <c r="D810" s="57" t="s">
        <v>999</v>
      </c>
      <c r="E810" s="58">
        <v>45207</v>
      </c>
      <c r="F810" s="57">
        <v>96</v>
      </c>
      <c r="G810" s="59">
        <v>4.8</v>
      </c>
      <c r="H810" s="57">
        <f>IF(MONTH(Call_Centre_Data[[#This Row],[Date of Call]])&lt;=6,YEAR(Call_Centre_Data[[#This Row],[Date of Call]]),YEAR(Call_Centre_Data[[#This Row],[Date of Call]])+1)</f>
        <v>2024</v>
      </c>
      <c r="I810" s="39" t="str">
        <f>TEXT(Call_Centre_Data[[#This Row],[Date of Call]],"DDDD")</f>
        <v>Sunday</v>
      </c>
      <c r="J810" s="39" t="str" cm="1">
        <f t="array" ref="J810">_xlfn.IFS(Call_Centre_Data[[#This Row],[Duration]]&lt;=10,"Under 10 Mins", Call_Centre_Data[[#This Row],[Duration]]&lt;=30,"10-30 Mins",Call_Centre_Data[[#This Row],[Duration]]&lt;=60,"30-60 Mins",Call_Centre_Data[[#This Row],[Duration]]&lt;=120,"1-2 Hours",TRUE,"More than 2 Hours")</f>
        <v>10-30 Mins</v>
      </c>
      <c r="K810" s="91">
        <f>ROUND(Call_Centre_Data[[#This Row],[Satisfaction Rating]],0)</f>
        <v>5</v>
      </c>
    </row>
    <row r="811" spans="1:11" x14ac:dyDescent="0.35">
      <c r="A811" s="56" t="s">
        <v>1816</v>
      </c>
      <c r="B811" s="57" t="s">
        <v>993</v>
      </c>
      <c r="C811" s="87">
        <v>87</v>
      </c>
      <c r="D811" s="57" t="s">
        <v>999</v>
      </c>
      <c r="E811" s="58">
        <v>45207</v>
      </c>
      <c r="F811" s="57">
        <v>23</v>
      </c>
      <c r="G811" s="59">
        <v>4.2</v>
      </c>
      <c r="H811" s="57">
        <f>IF(MONTH(Call_Centre_Data[[#This Row],[Date of Call]])&lt;=6,YEAR(Call_Centre_Data[[#This Row],[Date of Call]]),YEAR(Call_Centre_Data[[#This Row],[Date of Call]])+1)</f>
        <v>2024</v>
      </c>
      <c r="I811" s="39" t="str">
        <f>TEXT(Call_Centre_Data[[#This Row],[Date of Call]],"DDDD")</f>
        <v>Sunday</v>
      </c>
      <c r="J811" s="39" t="str" cm="1">
        <f t="array" ref="J811">_xlfn.IFS(Call_Centre_Data[[#This Row],[Duration]]&lt;=10,"Under 10 Mins", Call_Centre_Data[[#This Row],[Duration]]&lt;=30,"10-30 Mins",Call_Centre_Data[[#This Row],[Duration]]&lt;=60,"30-60 Mins",Call_Centre_Data[[#This Row],[Duration]]&lt;=120,"1-2 Hours",TRUE,"More than 2 Hours")</f>
        <v>1-2 Hours</v>
      </c>
      <c r="K811" s="91">
        <f>ROUND(Call_Centre_Data[[#This Row],[Satisfaction Rating]],0)</f>
        <v>4</v>
      </c>
    </row>
    <row r="812" spans="1:11" x14ac:dyDescent="0.35">
      <c r="A812" s="56" t="s">
        <v>1817</v>
      </c>
      <c r="B812" s="57" t="s">
        <v>1011</v>
      </c>
      <c r="C812" s="87">
        <v>94</v>
      </c>
      <c r="D812" s="57" t="s">
        <v>1008</v>
      </c>
      <c r="E812" s="58">
        <v>45208</v>
      </c>
      <c r="F812" s="57">
        <v>120</v>
      </c>
      <c r="G812" s="59">
        <v>3.4</v>
      </c>
      <c r="H812" s="57">
        <f>IF(MONTH(Call_Centre_Data[[#This Row],[Date of Call]])&lt;=6,YEAR(Call_Centre_Data[[#This Row],[Date of Call]]),YEAR(Call_Centre_Data[[#This Row],[Date of Call]])+1)</f>
        <v>2024</v>
      </c>
      <c r="I812" s="39" t="str">
        <f>TEXT(Call_Centre_Data[[#This Row],[Date of Call]],"DDDD")</f>
        <v>Monday</v>
      </c>
      <c r="J812" s="39" t="str" cm="1">
        <f t="array" ref="J812">_xlfn.IFS(Call_Centre_Data[[#This Row],[Duration]]&lt;=10,"Under 10 Mins", Call_Centre_Data[[#This Row],[Duration]]&lt;=30,"10-30 Mins",Call_Centre_Data[[#This Row],[Duration]]&lt;=60,"30-60 Mins",Call_Centre_Data[[#This Row],[Duration]]&lt;=120,"1-2 Hours",TRUE,"More than 2 Hours")</f>
        <v>1-2 Hours</v>
      </c>
      <c r="K812" s="91">
        <f>ROUND(Call_Centre_Data[[#This Row],[Satisfaction Rating]],0)</f>
        <v>3</v>
      </c>
    </row>
    <row r="813" spans="1:11" x14ac:dyDescent="0.35">
      <c r="A813" s="56" t="s">
        <v>1818</v>
      </c>
      <c r="B813" s="57" t="s">
        <v>1030</v>
      </c>
      <c r="C813" s="87">
        <v>56</v>
      </c>
      <c r="D813" s="57" t="s">
        <v>1008</v>
      </c>
      <c r="E813" s="58">
        <v>45208</v>
      </c>
      <c r="F813" s="57">
        <v>205</v>
      </c>
      <c r="G813" s="59">
        <v>3.3</v>
      </c>
      <c r="H813" s="57">
        <f>IF(MONTH(Call_Centre_Data[[#This Row],[Date of Call]])&lt;=6,YEAR(Call_Centre_Data[[#This Row],[Date of Call]]),YEAR(Call_Centre_Data[[#This Row],[Date of Call]])+1)</f>
        <v>2024</v>
      </c>
      <c r="I813" s="39" t="str">
        <f>TEXT(Call_Centre_Data[[#This Row],[Date of Call]],"DDDD")</f>
        <v>Monday</v>
      </c>
      <c r="J813" s="39" t="str" cm="1">
        <f t="array" ref="J813">_xlfn.IFS(Call_Centre_Data[[#This Row],[Duration]]&lt;=10,"Under 10 Mins", Call_Centre_Data[[#This Row],[Duration]]&lt;=30,"10-30 Mins",Call_Centre_Data[[#This Row],[Duration]]&lt;=60,"30-60 Mins",Call_Centre_Data[[#This Row],[Duration]]&lt;=120,"1-2 Hours",TRUE,"More than 2 Hours")</f>
        <v>30-60 Mins</v>
      </c>
      <c r="K813" s="91">
        <f>ROUND(Call_Centre_Data[[#This Row],[Satisfaction Rating]],0)</f>
        <v>3</v>
      </c>
    </row>
    <row r="814" spans="1:11" x14ac:dyDescent="0.35">
      <c r="A814" s="56" t="s">
        <v>1819</v>
      </c>
      <c r="B814" s="57" t="s">
        <v>1019</v>
      </c>
      <c r="C814" s="87">
        <v>41</v>
      </c>
      <c r="D814" s="57" t="s">
        <v>994</v>
      </c>
      <c r="E814" s="58">
        <v>45209</v>
      </c>
      <c r="F814" s="57">
        <v>42</v>
      </c>
      <c r="G814" s="59">
        <v>3.8</v>
      </c>
      <c r="H814" s="57">
        <f>IF(MONTH(Call_Centre_Data[[#This Row],[Date of Call]])&lt;=6,YEAR(Call_Centre_Data[[#This Row],[Date of Call]]),YEAR(Call_Centre_Data[[#This Row],[Date of Call]])+1)</f>
        <v>2024</v>
      </c>
      <c r="I814" s="39" t="str">
        <f>TEXT(Call_Centre_Data[[#This Row],[Date of Call]],"DDDD")</f>
        <v>Tuesday</v>
      </c>
      <c r="J814" s="39" t="str" cm="1">
        <f t="array" ref="J814">_xlfn.IFS(Call_Centre_Data[[#This Row],[Duration]]&lt;=10,"Under 10 Mins", Call_Centre_Data[[#This Row],[Duration]]&lt;=30,"10-30 Mins",Call_Centre_Data[[#This Row],[Duration]]&lt;=60,"30-60 Mins",Call_Centre_Data[[#This Row],[Duration]]&lt;=120,"1-2 Hours",TRUE,"More than 2 Hours")</f>
        <v>30-60 Mins</v>
      </c>
      <c r="K814" s="91">
        <f>ROUND(Call_Centre_Data[[#This Row],[Satisfaction Rating]],0)</f>
        <v>4</v>
      </c>
    </row>
    <row r="815" spans="1:11" x14ac:dyDescent="0.35">
      <c r="A815" s="56" t="s">
        <v>1820</v>
      </c>
      <c r="B815" s="57" t="s">
        <v>998</v>
      </c>
      <c r="C815" s="87">
        <v>119</v>
      </c>
      <c r="D815" s="57" t="s">
        <v>1004</v>
      </c>
      <c r="E815" s="58">
        <v>45209</v>
      </c>
      <c r="F815" s="57">
        <v>111</v>
      </c>
      <c r="G815" s="59">
        <v>3.9</v>
      </c>
      <c r="H815" s="57">
        <f>IF(MONTH(Call_Centre_Data[[#This Row],[Date of Call]])&lt;=6,YEAR(Call_Centre_Data[[#This Row],[Date of Call]]),YEAR(Call_Centre_Data[[#This Row],[Date of Call]])+1)</f>
        <v>2024</v>
      </c>
      <c r="I815" s="39" t="str">
        <f>TEXT(Call_Centre_Data[[#This Row],[Date of Call]],"DDDD")</f>
        <v>Tuesday</v>
      </c>
      <c r="J815" s="39" t="str" cm="1">
        <f t="array" ref="J815">_xlfn.IFS(Call_Centre_Data[[#This Row],[Duration]]&lt;=10,"Under 10 Mins", Call_Centre_Data[[#This Row],[Duration]]&lt;=30,"10-30 Mins",Call_Centre_Data[[#This Row],[Duration]]&lt;=60,"30-60 Mins",Call_Centre_Data[[#This Row],[Duration]]&lt;=120,"1-2 Hours",TRUE,"More than 2 Hours")</f>
        <v>1-2 Hours</v>
      </c>
      <c r="K815" s="91">
        <f>ROUND(Call_Centre_Data[[#This Row],[Satisfaction Rating]],0)</f>
        <v>4</v>
      </c>
    </row>
    <row r="816" spans="1:11" x14ac:dyDescent="0.35">
      <c r="A816" s="56" t="s">
        <v>1821</v>
      </c>
      <c r="B816" s="57" t="s">
        <v>996</v>
      </c>
      <c r="C816" s="87">
        <v>108</v>
      </c>
      <c r="D816" s="57" t="s">
        <v>1008</v>
      </c>
      <c r="E816" s="58">
        <v>45209</v>
      </c>
      <c r="F816" s="57">
        <v>68</v>
      </c>
      <c r="G816" s="59">
        <v>2.5</v>
      </c>
      <c r="H816" s="57">
        <f>IF(MONTH(Call_Centre_Data[[#This Row],[Date of Call]])&lt;=6,YEAR(Call_Centre_Data[[#This Row],[Date of Call]]),YEAR(Call_Centre_Data[[#This Row],[Date of Call]])+1)</f>
        <v>2024</v>
      </c>
      <c r="I816" s="39" t="str">
        <f>TEXT(Call_Centre_Data[[#This Row],[Date of Call]],"DDDD")</f>
        <v>Tuesday</v>
      </c>
      <c r="J816" s="39" t="str" cm="1">
        <f t="array" ref="J816">_xlfn.IFS(Call_Centre_Data[[#This Row],[Duration]]&lt;=10,"Under 10 Mins", Call_Centre_Data[[#This Row],[Duration]]&lt;=30,"10-30 Mins",Call_Centre_Data[[#This Row],[Duration]]&lt;=60,"30-60 Mins",Call_Centre_Data[[#This Row],[Duration]]&lt;=120,"1-2 Hours",TRUE,"More than 2 Hours")</f>
        <v>1-2 Hours</v>
      </c>
      <c r="K816" s="91">
        <f>ROUND(Call_Centre_Data[[#This Row],[Satisfaction Rating]],0)</f>
        <v>3</v>
      </c>
    </row>
    <row r="817" spans="1:11" x14ac:dyDescent="0.35">
      <c r="A817" s="56" t="s">
        <v>1822</v>
      </c>
      <c r="B817" s="57" t="s">
        <v>1040</v>
      </c>
      <c r="C817" s="87">
        <v>63</v>
      </c>
      <c r="D817" s="57" t="s">
        <v>989</v>
      </c>
      <c r="E817" s="58">
        <v>45209</v>
      </c>
      <c r="F817" s="57">
        <v>172</v>
      </c>
      <c r="G817" s="59">
        <v>4.9000000000000004</v>
      </c>
      <c r="H817" s="57">
        <f>IF(MONTH(Call_Centre_Data[[#This Row],[Date of Call]])&lt;=6,YEAR(Call_Centre_Data[[#This Row],[Date of Call]]),YEAR(Call_Centre_Data[[#This Row],[Date of Call]])+1)</f>
        <v>2024</v>
      </c>
      <c r="I817" s="39" t="str">
        <f>TEXT(Call_Centre_Data[[#This Row],[Date of Call]],"DDDD")</f>
        <v>Tuesday</v>
      </c>
      <c r="J817" s="39" t="str" cm="1">
        <f t="array" ref="J817">_xlfn.IFS(Call_Centre_Data[[#This Row],[Duration]]&lt;=10,"Under 10 Mins", Call_Centre_Data[[#This Row],[Duration]]&lt;=30,"10-30 Mins",Call_Centre_Data[[#This Row],[Duration]]&lt;=60,"30-60 Mins",Call_Centre_Data[[#This Row],[Duration]]&lt;=120,"1-2 Hours",TRUE,"More than 2 Hours")</f>
        <v>1-2 Hours</v>
      </c>
      <c r="K817" s="91">
        <f>ROUND(Call_Centre_Data[[#This Row],[Satisfaction Rating]],0)</f>
        <v>5</v>
      </c>
    </row>
    <row r="818" spans="1:11" x14ac:dyDescent="0.35">
      <c r="A818" s="56" t="s">
        <v>1823</v>
      </c>
      <c r="B818" s="57" t="s">
        <v>1027</v>
      </c>
      <c r="C818" s="87">
        <v>59</v>
      </c>
      <c r="D818" s="57" t="s">
        <v>1008</v>
      </c>
      <c r="E818" s="58">
        <v>45209</v>
      </c>
      <c r="F818" s="57">
        <v>152</v>
      </c>
      <c r="G818" s="59">
        <v>4.8</v>
      </c>
      <c r="H818" s="57">
        <f>IF(MONTH(Call_Centre_Data[[#This Row],[Date of Call]])&lt;=6,YEAR(Call_Centre_Data[[#This Row],[Date of Call]]),YEAR(Call_Centre_Data[[#This Row],[Date of Call]])+1)</f>
        <v>2024</v>
      </c>
      <c r="I818" s="39" t="str">
        <f>TEXT(Call_Centre_Data[[#This Row],[Date of Call]],"DDDD")</f>
        <v>Tuesday</v>
      </c>
      <c r="J818" s="39" t="str" cm="1">
        <f t="array" ref="J818">_xlfn.IFS(Call_Centre_Data[[#This Row],[Duration]]&lt;=10,"Under 10 Mins", Call_Centre_Data[[#This Row],[Duration]]&lt;=30,"10-30 Mins",Call_Centre_Data[[#This Row],[Duration]]&lt;=60,"30-60 Mins",Call_Centre_Data[[#This Row],[Duration]]&lt;=120,"1-2 Hours",TRUE,"More than 2 Hours")</f>
        <v>30-60 Mins</v>
      </c>
      <c r="K818" s="91">
        <f>ROUND(Call_Centre_Data[[#This Row],[Satisfaction Rating]],0)</f>
        <v>5</v>
      </c>
    </row>
    <row r="819" spans="1:11" x14ac:dyDescent="0.35">
      <c r="A819" s="56" t="s">
        <v>1824</v>
      </c>
      <c r="B819" s="57" t="s">
        <v>1027</v>
      </c>
      <c r="C819" s="87">
        <v>90</v>
      </c>
      <c r="D819" s="57" t="s">
        <v>994</v>
      </c>
      <c r="E819" s="58">
        <v>45209</v>
      </c>
      <c r="F819" s="57">
        <v>48</v>
      </c>
      <c r="G819" s="59">
        <v>4.7</v>
      </c>
      <c r="H819" s="57">
        <f>IF(MONTH(Call_Centre_Data[[#This Row],[Date of Call]])&lt;=6,YEAR(Call_Centre_Data[[#This Row],[Date of Call]]),YEAR(Call_Centre_Data[[#This Row],[Date of Call]])+1)</f>
        <v>2024</v>
      </c>
      <c r="I819" s="39" t="str">
        <f>TEXT(Call_Centre_Data[[#This Row],[Date of Call]],"DDDD")</f>
        <v>Tuesday</v>
      </c>
      <c r="J819" s="39" t="str" cm="1">
        <f t="array" ref="J819">_xlfn.IFS(Call_Centre_Data[[#This Row],[Duration]]&lt;=10,"Under 10 Mins", Call_Centre_Data[[#This Row],[Duration]]&lt;=30,"10-30 Mins",Call_Centre_Data[[#This Row],[Duration]]&lt;=60,"30-60 Mins",Call_Centre_Data[[#This Row],[Duration]]&lt;=120,"1-2 Hours",TRUE,"More than 2 Hours")</f>
        <v>1-2 Hours</v>
      </c>
      <c r="K819" s="91">
        <f>ROUND(Call_Centre_Data[[#This Row],[Satisfaction Rating]],0)</f>
        <v>5</v>
      </c>
    </row>
    <row r="820" spans="1:11" x14ac:dyDescent="0.35">
      <c r="A820" s="56" t="s">
        <v>1825</v>
      </c>
      <c r="B820" s="57" t="s">
        <v>1007</v>
      </c>
      <c r="C820" s="87">
        <v>55</v>
      </c>
      <c r="D820" s="57" t="s">
        <v>994</v>
      </c>
      <c r="E820" s="58">
        <v>45209</v>
      </c>
      <c r="F820" s="57">
        <v>25</v>
      </c>
      <c r="G820" s="59">
        <v>4.7</v>
      </c>
      <c r="H820" s="57">
        <f>IF(MONTH(Call_Centre_Data[[#This Row],[Date of Call]])&lt;=6,YEAR(Call_Centre_Data[[#This Row],[Date of Call]]),YEAR(Call_Centre_Data[[#This Row],[Date of Call]])+1)</f>
        <v>2024</v>
      </c>
      <c r="I820" s="39" t="str">
        <f>TEXT(Call_Centre_Data[[#This Row],[Date of Call]],"DDDD")</f>
        <v>Tuesday</v>
      </c>
      <c r="J820" s="39" t="str" cm="1">
        <f t="array" ref="J820">_xlfn.IFS(Call_Centre_Data[[#This Row],[Duration]]&lt;=10,"Under 10 Mins", Call_Centre_Data[[#This Row],[Duration]]&lt;=30,"10-30 Mins",Call_Centre_Data[[#This Row],[Duration]]&lt;=60,"30-60 Mins",Call_Centre_Data[[#This Row],[Duration]]&lt;=120,"1-2 Hours",TRUE,"More than 2 Hours")</f>
        <v>30-60 Mins</v>
      </c>
      <c r="K820" s="91">
        <f>ROUND(Call_Centre_Data[[#This Row],[Satisfaction Rating]],0)</f>
        <v>5</v>
      </c>
    </row>
    <row r="821" spans="1:11" x14ac:dyDescent="0.35">
      <c r="A821" s="56" t="s">
        <v>1826</v>
      </c>
      <c r="B821" s="57" t="s">
        <v>996</v>
      </c>
      <c r="C821" s="87">
        <v>84</v>
      </c>
      <c r="D821" s="57" t="s">
        <v>1004</v>
      </c>
      <c r="E821" s="58">
        <v>45210</v>
      </c>
      <c r="F821" s="57">
        <v>54</v>
      </c>
      <c r="G821" s="59">
        <v>3.3</v>
      </c>
      <c r="H821" s="57">
        <f>IF(MONTH(Call_Centre_Data[[#This Row],[Date of Call]])&lt;=6,YEAR(Call_Centre_Data[[#This Row],[Date of Call]]),YEAR(Call_Centre_Data[[#This Row],[Date of Call]])+1)</f>
        <v>2024</v>
      </c>
      <c r="I821" s="39" t="str">
        <f>TEXT(Call_Centre_Data[[#This Row],[Date of Call]],"DDDD")</f>
        <v>Wednesday</v>
      </c>
      <c r="J821" s="39" t="str" cm="1">
        <f t="array" ref="J821">_xlfn.IFS(Call_Centre_Data[[#This Row],[Duration]]&lt;=10,"Under 10 Mins", Call_Centre_Data[[#This Row],[Duration]]&lt;=30,"10-30 Mins",Call_Centre_Data[[#This Row],[Duration]]&lt;=60,"30-60 Mins",Call_Centre_Data[[#This Row],[Duration]]&lt;=120,"1-2 Hours",TRUE,"More than 2 Hours")</f>
        <v>1-2 Hours</v>
      </c>
      <c r="K821" s="91">
        <f>ROUND(Call_Centre_Data[[#This Row],[Satisfaction Rating]],0)</f>
        <v>3</v>
      </c>
    </row>
    <row r="822" spans="1:11" x14ac:dyDescent="0.35">
      <c r="A822" s="56" t="s">
        <v>1827</v>
      </c>
      <c r="B822" s="57" t="s">
        <v>996</v>
      </c>
      <c r="C822" s="87">
        <v>150</v>
      </c>
      <c r="D822" s="57" t="s">
        <v>999</v>
      </c>
      <c r="E822" s="58">
        <v>45210</v>
      </c>
      <c r="F822" s="57">
        <v>108</v>
      </c>
      <c r="G822" s="59">
        <v>4.7</v>
      </c>
      <c r="H822" s="57">
        <f>IF(MONTH(Call_Centre_Data[[#This Row],[Date of Call]])&lt;=6,YEAR(Call_Centre_Data[[#This Row],[Date of Call]]),YEAR(Call_Centre_Data[[#This Row],[Date of Call]])+1)</f>
        <v>2024</v>
      </c>
      <c r="I822" s="39" t="str">
        <f>TEXT(Call_Centre_Data[[#This Row],[Date of Call]],"DDDD")</f>
        <v>Wednesday</v>
      </c>
      <c r="J822" s="39" t="str" cm="1">
        <f t="array" ref="J822">_xlfn.IFS(Call_Centre_Data[[#This Row],[Duration]]&lt;=10,"Under 10 Mins", Call_Centre_Data[[#This Row],[Duration]]&lt;=30,"10-30 Mins",Call_Centre_Data[[#This Row],[Duration]]&lt;=60,"30-60 Mins",Call_Centre_Data[[#This Row],[Duration]]&lt;=120,"1-2 Hours",TRUE,"More than 2 Hours")</f>
        <v>More than 2 Hours</v>
      </c>
      <c r="K822" s="91">
        <f>ROUND(Call_Centre_Data[[#This Row],[Satisfaction Rating]],0)</f>
        <v>5</v>
      </c>
    </row>
    <row r="823" spans="1:11" x14ac:dyDescent="0.35">
      <c r="A823" s="56" t="s">
        <v>1828</v>
      </c>
      <c r="B823" s="57" t="s">
        <v>1060</v>
      </c>
      <c r="C823" s="87">
        <v>69</v>
      </c>
      <c r="D823" s="57" t="s">
        <v>1008</v>
      </c>
      <c r="E823" s="58">
        <v>45210</v>
      </c>
      <c r="F823" s="57">
        <v>36</v>
      </c>
      <c r="G823" s="59">
        <v>4.5</v>
      </c>
      <c r="H823" s="57">
        <f>IF(MONTH(Call_Centre_Data[[#This Row],[Date of Call]])&lt;=6,YEAR(Call_Centre_Data[[#This Row],[Date of Call]]),YEAR(Call_Centre_Data[[#This Row],[Date of Call]])+1)</f>
        <v>2024</v>
      </c>
      <c r="I823" s="39" t="str">
        <f>TEXT(Call_Centre_Data[[#This Row],[Date of Call]],"DDDD")</f>
        <v>Wednesday</v>
      </c>
      <c r="J823" s="39" t="str" cm="1">
        <f t="array" ref="J823">_xlfn.IFS(Call_Centre_Data[[#This Row],[Duration]]&lt;=10,"Under 10 Mins", Call_Centre_Data[[#This Row],[Duration]]&lt;=30,"10-30 Mins",Call_Centre_Data[[#This Row],[Duration]]&lt;=60,"30-60 Mins",Call_Centre_Data[[#This Row],[Duration]]&lt;=120,"1-2 Hours",TRUE,"More than 2 Hours")</f>
        <v>1-2 Hours</v>
      </c>
      <c r="K823" s="91">
        <f>ROUND(Call_Centre_Data[[#This Row],[Satisfaction Rating]],0)</f>
        <v>5</v>
      </c>
    </row>
    <row r="824" spans="1:11" x14ac:dyDescent="0.35">
      <c r="A824" s="56" t="s">
        <v>1829</v>
      </c>
      <c r="B824" s="57" t="s">
        <v>988</v>
      </c>
      <c r="C824" s="87">
        <v>120</v>
      </c>
      <c r="D824" s="57" t="s">
        <v>994</v>
      </c>
      <c r="E824" s="58">
        <v>45211</v>
      </c>
      <c r="F824" s="57">
        <v>140</v>
      </c>
      <c r="G824" s="59">
        <v>4.5999999999999996</v>
      </c>
      <c r="H824" s="57">
        <f>IF(MONTH(Call_Centre_Data[[#This Row],[Date of Call]])&lt;=6,YEAR(Call_Centre_Data[[#This Row],[Date of Call]]),YEAR(Call_Centre_Data[[#This Row],[Date of Call]])+1)</f>
        <v>2024</v>
      </c>
      <c r="I824" s="39" t="str">
        <f>TEXT(Call_Centre_Data[[#This Row],[Date of Call]],"DDDD")</f>
        <v>Thursday</v>
      </c>
      <c r="J824" s="39" t="str" cm="1">
        <f t="array" ref="J824">_xlfn.IFS(Call_Centre_Data[[#This Row],[Duration]]&lt;=10,"Under 10 Mins", Call_Centre_Data[[#This Row],[Duration]]&lt;=30,"10-30 Mins",Call_Centre_Data[[#This Row],[Duration]]&lt;=60,"30-60 Mins",Call_Centre_Data[[#This Row],[Duration]]&lt;=120,"1-2 Hours",TRUE,"More than 2 Hours")</f>
        <v>1-2 Hours</v>
      </c>
      <c r="K824" s="91">
        <f>ROUND(Call_Centre_Data[[#This Row],[Satisfaction Rating]],0)</f>
        <v>5</v>
      </c>
    </row>
    <row r="825" spans="1:11" x14ac:dyDescent="0.35">
      <c r="A825" s="56" t="s">
        <v>1830</v>
      </c>
      <c r="B825" s="57" t="s">
        <v>993</v>
      </c>
      <c r="C825" s="87">
        <v>126</v>
      </c>
      <c r="D825" s="57" t="s">
        <v>1004</v>
      </c>
      <c r="E825" s="58">
        <v>45211</v>
      </c>
      <c r="F825" s="57">
        <v>50</v>
      </c>
      <c r="G825" s="59">
        <v>4.8</v>
      </c>
      <c r="H825" s="57">
        <f>IF(MONTH(Call_Centre_Data[[#This Row],[Date of Call]])&lt;=6,YEAR(Call_Centre_Data[[#This Row],[Date of Call]]),YEAR(Call_Centre_Data[[#This Row],[Date of Call]])+1)</f>
        <v>2024</v>
      </c>
      <c r="I825" s="39" t="str">
        <f>TEXT(Call_Centre_Data[[#This Row],[Date of Call]],"DDDD")</f>
        <v>Thursday</v>
      </c>
      <c r="J825" s="39" t="str" cm="1">
        <f t="array" ref="J825">_xlfn.IFS(Call_Centre_Data[[#This Row],[Duration]]&lt;=10,"Under 10 Mins", Call_Centre_Data[[#This Row],[Duration]]&lt;=30,"10-30 Mins",Call_Centre_Data[[#This Row],[Duration]]&lt;=60,"30-60 Mins",Call_Centre_Data[[#This Row],[Duration]]&lt;=120,"1-2 Hours",TRUE,"More than 2 Hours")</f>
        <v>More than 2 Hours</v>
      </c>
      <c r="K825" s="91">
        <f>ROUND(Call_Centre_Data[[#This Row],[Satisfaction Rating]],0)</f>
        <v>5</v>
      </c>
    </row>
    <row r="826" spans="1:11" x14ac:dyDescent="0.35">
      <c r="A826" s="56" t="s">
        <v>1831</v>
      </c>
      <c r="B826" s="57" t="s">
        <v>1060</v>
      </c>
      <c r="C826" s="87">
        <v>120</v>
      </c>
      <c r="D826" s="57" t="s">
        <v>989</v>
      </c>
      <c r="E826" s="58">
        <v>45211</v>
      </c>
      <c r="F826" s="57">
        <v>195</v>
      </c>
      <c r="G826" s="59">
        <v>4.3</v>
      </c>
      <c r="H826" s="57">
        <f>IF(MONTH(Call_Centre_Data[[#This Row],[Date of Call]])&lt;=6,YEAR(Call_Centre_Data[[#This Row],[Date of Call]]),YEAR(Call_Centre_Data[[#This Row],[Date of Call]])+1)</f>
        <v>2024</v>
      </c>
      <c r="I826" s="39" t="str">
        <f>TEXT(Call_Centre_Data[[#This Row],[Date of Call]],"DDDD")</f>
        <v>Thursday</v>
      </c>
      <c r="J826" s="39" t="str" cm="1">
        <f t="array" ref="J826">_xlfn.IFS(Call_Centre_Data[[#This Row],[Duration]]&lt;=10,"Under 10 Mins", Call_Centre_Data[[#This Row],[Duration]]&lt;=30,"10-30 Mins",Call_Centre_Data[[#This Row],[Duration]]&lt;=60,"30-60 Mins",Call_Centre_Data[[#This Row],[Duration]]&lt;=120,"1-2 Hours",TRUE,"More than 2 Hours")</f>
        <v>1-2 Hours</v>
      </c>
      <c r="K826" s="91">
        <f>ROUND(Call_Centre_Data[[#This Row],[Satisfaction Rating]],0)</f>
        <v>4</v>
      </c>
    </row>
    <row r="827" spans="1:11" x14ac:dyDescent="0.35">
      <c r="A827" s="56" t="s">
        <v>1832</v>
      </c>
      <c r="B827" s="57" t="s">
        <v>993</v>
      </c>
      <c r="C827" s="87">
        <v>139</v>
      </c>
      <c r="D827" s="57" t="s">
        <v>994</v>
      </c>
      <c r="E827" s="58">
        <v>45212</v>
      </c>
      <c r="F827" s="57">
        <v>48</v>
      </c>
      <c r="G827" s="59">
        <v>4.7</v>
      </c>
      <c r="H827" s="57">
        <f>IF(MONTH(Call_Centre_Data[[#This Row],[Date of Call]])&lt;=6,YEAR(Call_Centre_Data[[#This Row],[Date of Call]]),YEAR(Call_Centre_Data[[#This Row],[Date of Call]])+1)</f>
        <v>2024</v>
      </c>
      <c r="I827" s="39" t="str">
        <f>TEXT(Call_Centre_Data[[#This Row],[Date of Call]],"DDDD")</f>
        <v>Friday</v>
      </c>
      <c r="J827" s="39" t="str" cm="1">
        <f t="array" ref="J827">_xlfn.IFS(Call_Centre_Data[[#This Row],[Duration]]&lt;=10,"Under 10 Mins", Call_Centre_Data[[#This Row],[Duration]]&lt;=30,"10-30 Mins",Call_Centre_Data[[#This Row],[Duration]]&lt;=60,"30-60 Mins",Call_Centre_Data[[#This Row],[Duration]]&lt;=120,"1-2 Hours",TRUE,"More than 2 Hours")</f>
        <v>More than 2 Hours</v>
      </c>
      <c r="K827" s="91">
        <f>ROUND(Call_Centre_Data[[#This Row],[Satisfaction Rating]],0)</f>
        <v>5</v>
      </c>
    </row>
    <row r="828" spans="1:11" x14ac:dyDescent="0.35">
      <c r="A828" s="56" t="s">
        <v>1833</v>
      </c>
      <c r="B828" s="57" t="s">
        <v>1007</v>
      </c>
      <c r="C828" s="87">
        <v>124</v>
      </c>
      <c r="D828" s="57" t="s">
        <v>1008</v>
      </c>
      <c r="E828" s="58">
        <v>45213</v>
      </c>
      <c r="F828" s="57">
        <v>29</v>
      </c>
      <c r="G828" s="59">
        <v>4.8</v>
      </c>
      <c r="H828" s="57">
        <f>IF(MONTH(Call_Centre_Data[[#This Row],[Date of Call]])&lt;=6,YEAR(Call_Centre_Data[[#This Row],[Date of Call]]),YEAR(Call_Centre_Data[[#This Row],[Date of Call]])+1)</f>
        <v>2024</v>
      </c>
      <c r="I828" s="39" t="str">
        <f>TEXT(Call_Centre_Data[[#This Row],[Date of Call]],"DDDD")</f>
        <v>Saturday</v>
      </c>
      <c r="J828" s="39" t="str" cm="1">
        <f t="array" ref="J828">_xlfn.IFS(Call_Centre_Data[[#This Row],[Duration]]&lt;=10,"Under 10 Mins", Call_Centre_Data[[#This Row],[Duration]]&lt;=30,"10-30 Mins",Call_Centre_Data[[#This Row],[Duration]]&lt;=60,"30-60 Mins",Call_Centre_Data[[#This Row],[Duration]]&lt;=120,"1-2 Hours",TRUE,"More than 2 Hours")</f>
        <v>More than 2 Hours</v>
      </c>
      <c r="K828" s="91">
        <f>ROUND(Call_Centre_Data[[#This Row],[Satisfaction Rating]],0)</f>
        <v>5</v>
      </c>
    </row>
    <row r="829" spans="1:11" x14ac:dyDescent="0.35">
      <c r="A829" s="56" t="s">
        <v>1834</v>
      </c>
      <c r="B829" s="57" t="s">
        <v>988</v>
      </c>
      <c r="C829" s="87">
        <v>108</v>
      </c>
      <c r="D829" s="57" t="s">
        <v>989</v>
      </c>
      <c r="E829" s="58">
        <v>45213</v>
      </c>
      <c r="F829" s="57">
        <v>44</v>
      </c>
      <c r="G829" s="59">
        <v>4.7</v>
      </c>
      <c r="H829" s="57">
        <f>IF(MONTH(Call_Centre_Data[[#This Row],[Date of Call]])&lt;=6,YEAR(Call_Centre_Data[[#This Row],[Date of Call]]),YEAR(Call_Centre_Data[[#This Row],[Date of Call]])+1)</f>
        <v>2024</v>
      </c>
      <c r="I829" s="39" t="str">
        <f>TEXT(Call_Centre_Data[[#This Row],[Date of Call]],"DDDD")</f>
        <v>Saturday</v>
      </c>
      <c r="J829" s="39" t="str" cm="1">
        <f t="array" ref="J829">_xlfn.IFS(Call_Centre_Data[[#This Row],[Duration]]&lt;=10,"Under 10 Mins", Call_Centre_Data[[#This Row],[Duration]]&lt;=30,"10-30 Mins",Call_Centre_Data[[#This Row],[Duration]]&lt;=60,"30-60 Mins",Call_Centre_Data[[#This Row],[Duration]]&lt;=120,"1-2 Hours",TRUE,"More than 2 Hours")</f>
        <v>1-2 Hours</v>
      </c>
      <c r="K829" s="91">
        <f>ROUND(Call_Centre_Data[[#This Row],[Satisfaction Rating]],0)</f>
        <v>5</v>
      </c>
    </row>
    <row r="830" spans="1:11" x14ac:dyDescent="0.35">
      <c r="A830" s="56" t="s">
        <v>1835</v>
      </c>
      <c r="B830" s="57" t="s">
        <v>991</v>
      </c>
      <c r="C830" s="87">
        <v>132</v>
      </c>
      <c r="D830" s="57" t="s">
        <v>999</v>
      </c>
      <c r="E830" s="58">
        <v>45213</v>
      </c>
      <c r="F830" s="57">
        <v>140</v>
      </c>
      <c r="G830" s="59">
        <v>4.3</v>
      </c>
      <c r="H830" s="57">
        <f>IF(MONTH(Call_Centre_Data[[#This Row],[Date of Call]])&lt;=6,YEAR(Call_Centre_Data[[#This Row],[Date of Call]]),YEAR(Call_Centre_Data[[#This Row],[Date of Call]])+1)</f>
        <v>2024</v>
      </c>
      <c r="I830" s="39" t="str">
        <f>TEXT(Call_Centre_Data[[#This Row],[Date of Call]],"DDDD")</f>
        <v>Saturday</v>
      </c>
      <c r="J830" s="39" t="str" cm="1">
        <f t="array" ref="J830">_xlfn.IFS(Call_Centre_Data[[#This Row],[Duration]]&lt;=10,"Under 10 Mins", Call_Centre_Data[[#This Row],[Duration]]&lt;=30,"10-30 Mins",Call_Centre_Data[[#This Row],[Duration]]&lt;=60,"30-60 Mins",Call_Centre_Data[[#This Row],[Duration]]&lt;=120,"1-2 Hours",TRUE,"More than 2 Hours")</f>
        <v>More than 2 Hours</v>
      </c>
      <c r="K830" s="91">
        <f>ROUND(Call_Centre_Data[[#This Row],[Satisfaction Rating]],0)</f>
        <v>4</v>
      </c>
    </row>
    <row r="831" spans="1:11" x14ac:dyDescent="0.35">
      <c r="A831" s="56" t="s">
        <v>1836</v>
      </c>
      <c r="B831" s="57" t="s">
        <v>1040</v>
      </c>
      <c r="C831" s="87">
        <v>67</v>
      </c>
      <c r="D831" s="57" t="s">
        <v>999</v>
      </c>
      <c r="E831" s="58">
        <v>45213</v>
      </c>
      <c r="F831" s="57">
        <v>105</v>
      </c>
      <c r="G831" s="59">
        <v>3.8</v>
      </c>
      <c r="H831" s="57">
        <f>IF(MONTH(Call_Centre_Data[[#This Row],[Date of Call]])&lt;=6,YEAR(Call_Centre_Data[[#This Row],[Date of Call]]),YEAR(Call_Centre_Data[[#This Row],[Date of Call]])+1)</f>
        <v>2024</v>
      </c>
      <c r="I831" s="39" t="str">
        <f>TEXT(Call_Centre_Data[[#This Row],[Date of Call]],"DDDD")</f>
        <v>Saturday</v>
      </c>
      <c r="J831" s="39" t="str" cm="1">
        <f t="array" ref="J831">_xlfn.IFS(Call_Centre_Data[[#This Row],[Duration]]&lt;=10,"Under 10 Mins", Call_Centre_Data[[#This Row],[Duration]]&lt;=30,"10-30 Mins",Call_Centre_Data[[#This Row],[Duration]]&lt;=60,"30-60 Mins",Call_Centre_Data[[#This Row],[Duration]]&lt;=120,"1-2 Hours",TRUE,"More than 2 Hours")</f>
        <v>1-2 Hours</v>
      </c>
      <c r="K831" s="91">
        <f>ROUND(Call_Centre_Data[[#This Row],[Satisfaction Rating]],0)</f>
        <v>4</v>
      </c>
    </row>
    <row r="832" spans="1:11" x14ac:dyDescent="0.35">
      <c r="A832" s="56" t="s">
        <v>1837</v>
      </c>
      <c r="B832" s="57" t="s">
        <v>1002</v>
      </c>
      <c r="C832" s="87">
        <v>125</v>
      </c>
      <c r="D832" s="57" t="s">
        <v>999</v>
      </c>
      <c r="E832" s="58">
        <v>45213</v>
      </c>
      <c r="F832" s="57">
        <v>82</v>
      </c>
      <c r="G832" s="59">
        <v>4.5999999999999996</v>
      </c>
      <c r="H832" s="57">
        <f>IF(MONTH(Call_Centre_Data[[#This Row],[Date of Call]])&lt;=6,YEAR(Call_Centre_Data[[#This Row],[Date of Call]]),YEAR(Call_Centre_Data[[#This Row],[Date of Call]])+1)</f>
        <v>2024</v>
      </c>
      <c r="I832" s="39" t="str">
        <f>TEXT(Call_Centre_Data[[#This Row],[Date of Call]],"DDDD")</f>
        <v>Saturday</v>
      </c>
      <c r="J832" s="39" t="str" cm="1">
        <f t="array" ref="J832">_xlfn.IFS(Call_Centre_Data[[#This Row],[Duration]]&lt;=10,"Under 10 Mins", Call_Centre_Data[[#This Row],[Duration]]&lt;=30,"10-30 Mins",Call_Centre_Data[[#This Row],[Duration]]&lt;=60,"30-60 Mins",Call_Centre_Data[[#This Row],[Duration]]&lt;=120,"1-2 Hours",TRUE,"More than 2 Hours")</f>
        <v>More than 2 Hours</v>
      </c>
      <c r="K832" s="91">
        <f>ROUND(Call_Centre_Data[[#This Row],[Satisfaction Rating]],0)</f>
        <v>5</v>
      </c>
    </row>
    <row r="833" spans="1:11" x14ac:dyDescent="0.35">
      <c r="A833" s="56" t="s">
        <v>1838</v>
      </c>
      <c r="B833" s="57" t="s">
        <v>988</v>
      </c>
      <c r="C833" s="87">
        <v>23</v>
      </c>
      <c r="D833" s="57" t="s">
        <v>989</v>
      </c>
      <c r="E833" s="58">
        <v>45213</v>
      </c>
      <c r="F833" s="57">
        <v>24</v>
      </c>
      <c r="G833" s="59">
        <v>2.9</v>
      </c>
      <c r="H833" s="57">
        <f>IF(MONTH(Call_Centre_Data[[#This Row],[Date of Call]])&lt;=6,YEAR(Call_Centre_Data[[#This Row],[Date of Call]]),YEAR(Call_Centre_Data[[#This Row],[Date of Call]])+1)</f>
        <v>2024</v>
      </c>
      <c r="I833" s="39" t="str">
        <f>TEXT(Call_Centre_Data[[#This Row],[Date of Call]],"DDDD")</f>
        <v>Saturday</v>
      </c>
      <c r="J833" s="39" t="str" cm="1">
        <f t="array" ref="J833">_xlfn.IFS(Call_Centre_Data[[#This Row],[Duration]]&lt;=10,"Under 10 Mins", Call_Centre_Data[[#This Row],[Duration]]&lt;=30,"10-30 Mins",Call_Centre_Data[[#This Row],[Duration]]&lt;=60,"30-60 Mins",Call_Centre_Data[[#This Row],[Duration]]&lt;=120,"1-2 Hours",TRUE,"More than 2 Hours")</f>
        <v>10-30 Mins</v>
      </c>
      <c r="K833" s="91">
        <f>ROUND(Call_Centre_Data[[#This Row],[Satisfaction Rating]],0)</f>
        <v>3</v>
      </c>
    </row>
    <row r="834" spans="1:11" x14ac:dyDescent="0.35">
      <c r="A834" s="56" t="s">
        <v>1839</v>
      </c>
      <c r="B834" s="57" t="s">
        <v>998</v>
      </c>
      <c r="C834" s="87">
        <v>131</v>
      </c>
      <c r="D834" s="57" t="s">
        <v>1008</v>
      </c>
      <c r="E834" s="58">
        <v>45214</v>
      </c>
      <c r="F834" s="57">
        <v>205</v>
      </c>
      <c r="G834" s="59">
        <v>4.8</v>
      </c>
      <c r="H834" s="57">
        <f>IF(MONTH(Call_Centre_Data[[#This Row],[Date of Call]])&lt;=6,YEAR(Call_Centre_Data[[#This Row],[Date of Call]]),YEAR(Call_Centre_Data[[#This Row],[Date of Call]])+1)</f>
        <v>2024</v>
      </c>
      <c r="I834" s="39" t="str">
        <f>TEXT(Call_Centre_Data[[#This Row],[Date of Call]],"DDDD")</f>
        <v>Sunday</v>
      </c>
      <c r="J834" s="39" t="str" cm="1">
        <f t="array" ref="J834">_xlfn.IFS(Call_Centre_Data[[#This Row],[Duration]]&lt;=10,"Under 10 Mins", Call_Centre_Data[[#This Row],[Duration]]&lt;=30,"10-30 Mins",Call_Centre_Data[[#This Row],[Duration]]&lt;=60,"30-60 Mins",Call_Centre_Data[[#This Row],[Duration]]&lt;=120,"1-2 Hours",TRUE,"More than 2 Hours")</f>
        <v>More than 2 Hours</v>
      </c>
      <c r="K834" s="91">
        <f>ROUND(Call_Centre_Data[[#This Row],[Satisfaction Rating]],0)</f>
        <v>5</v>
      </c>
    </row>
    <row r="835" spans="1:11" x14ac:dyDescent="0.35">
      <c r="A835" s="56" t="s">
        <v>1840</v>
      </c>
      <c r="B835" s="57" t="s">
        <v>991</v>
      </c>
      <c r="C835" s="87">
        <v>56</v>
      </c>
      <c r="D835" s="57" t="s">
        <v>994</v>
      </c>
      <c r="E835" s="58">
        <v>45214</v>
      </c>
      <c r="F835" s="57">
        <v>225</v>
      </c>
      <c r="G835" s="59">
        <v>4.9000000000000004</v>
      </c>
      <c r="H835" s="57">
        <f>IF(MONTH(Call_Centre_Data[[#This Row],[Date of Call]])&lt;=6,YEAR(Call_Centre_Data[[#This Row],[Date of Call]]),YEAR(Call_Centre_Data[[#This Row],[Date of Call]])+1)</f>
        <v>2024</v>
      </c>
      <c r="I835" s="39" t="str">
        <f>TEXT(Call_Centre_Data[[#This Row],[Date of Call]],"DDDD")</f>
        <v>Sunday</v>
      </c>
      <c r="J835" s="39" t="str" cm="1">
        <f t="array" ref="J835">_xlfn.IFS(Call_Centre_Data[[#This Row],[Duration]]&lt;=10,"Under 10 Mins", Call_Centre_Data[[#This Row],[Duration]]&lt;=30,"10-30 Mins",Call_Centre_Data[[#This Row],[Duration]]&lt;=60,"30-60 Mins",Call_Centre_Data[[#This Row],[Duration]]&lt;=120,"1-2 Hours",TRUE,"More than 2 Hours")</f>
        <v>30-60 Mins</v>
      </c>
      <c r="K835" s="91">
        <f>ROUND(Call_Centre_Data[[#This Row],[Satisfaction Rating]],0)</f>
        <v>5</v>
      </c>
    </row>
    <row r="836" spans="1:11" x14ac:dyDescent="0.35">
      <c r="A836" s="56" t="s">
        <v>1841</v>
      </c>
      <c r="B836" s="57" t="s">
        <v>998</v>
      </c>
      <c r="C836" s="87">
        <v>70</v>
      </c>
      <c r="D836" s="57" t="s">
        <v>1008</v>
      </c>
      <c r="E836" s="58">
        <v>45214</v>
      </c>
      <c r="F836" s="57">
        <v>50</v>
      </c>
      <c r="G836" s="59">
        <v>3.4</v>
      </c>
      <c r="H836" s="57">
        <f>IF(MONTH(Call_Centre_Data[[#This Row],[Date of Call]])&lt;=6,YEAR(Call_Centre_Data[[#This Row],[Date of Call]]),YEAR(Call_Centre_Data[[#This Row],[Date of Call]])+1)</f>
        <v>2024</v>
      </c>
      <c r="I836" s="39" t="str">
        <f>TEXT(Call_Centre_Data[[#This Row],[Date of Call]],"DDDD")</f>
        <v>Sunday</v>
      </c>
      <c r="J836" s="39" t="str" cm="1">
        <f t="array" ref="J836">_xlfn.IFS(Call_Centre_Data[[#This Row],[Duration]]&lt;=10,"Under 10 Mins", Call_Centre_Data[[#This Row],[Duration]]&lt;=30,"10-30 Mins",Call_Centre_Data[[#This Row],[Duration]]&lt;=60,"30-60 Mins",Call_Centre_Data[[#This Row],[Duration]]&lt;=120,"1-2 Hours",TRUE,"More than 2 Hours")</f>
        <v>1-2 Hours</v>
      </c>
      <c r="K836" s="91">
        <f>ROUND(Call_Centre_Data[[#This Row],[Satisfaction Rating]],0)</f>
        <v>3</v>
      </c>
    </row>
    <row r="837" spans="1:11" x14ac:dyDescent="0.35">
      <c r="A837" s="56" t="s">
        <v>1842</v>
      </c>
      <c r="B837" s="57" t="s">
        <v>998</v>
      </c>
      <c r="C837" s="87">
        <v>55</v>
      </c>
      <c r="D837" s="57" t="s">
        <v>999</v>
      </c>
      <c r="E837" s="58">
        <v>45214</v>
      </c>
      <c r="F837" s="57">
        <v>80</v>
      </c>
      <c r="G837" s="59">
        <v>4.3</v>
      </c>
      <c r="H837" s="57">
        <f>IF(MONTH(Call_Centre_Data[[#This Row],[Date of Call]])&lt;=6,YEAR(Call_Centre_Data[[#This Row],[Date of Call]]),YEAR(Call_Centre_Data[[#This Row],[Date of Call]])+1)</f>
        <v>2024</v>
      </c>
      <c r="I837" s="39" t="str">
        <f>TEXT(Call_Centre_Data[[#This Row],[Date of Call]],"DDDD")</f>
        <v>Sunday</v>
      </c>
      <c r="J837" s="39" t="str" cm="1">
        <f t="array" ref="J837">_xlfn.IFS(Call_Centre_Data[[#This Row],[Duration]]&lt;=10,"Under 10 Mins", Call_Centre_Data[[#This Row],[Duration]]&lt;=30,"10-30 Mins",Call_Centre_Data[[#This Row],[Duration]]&lt;=60,"30-60 Mins",Call_Centre_Data[[#This Row],[Duration]]&lt;=120,"1-2 Hours",TRUE,"More than 2 Hours")</f>
        <v>30-60 Mins</v>
      </c>
      <c r="K837" s="91">
        <f>ROUND(Call_Centre_Data[[#This Row],[Satisfaction Rating]],0)</f>
        <v>4</v>
      </c>
    </row>
    <row r="838" spans="1:11" x14ac:dyDescent="0.35">
      <c r="A838" s="56" t="s">
        <v>1843</v>
      </c>
      <c r="B838" s="57" t="s">
        <v>1002</v>
      </c>
      <c r="C838" s="87">
        <v>77</v>
      </c>
      <c r="D838" s="57" t="s">
        <v>994</v>
      </c>
      <c r="E838" s="58">
        <v>45214</v>
      </c>
      <c r="F838" s="57">
        <v>78</v>
      </c>
      <c r="G838" s="59">
        <v>3.9</v>
      </c>
      <c r="H838" s="57">
        <f>IF(MONTH(Call_Centre_Data[[#This Row],[Date of Call]])&lt;=6,YEAR(Call_Centre_Data[[#This Row],[Date of Call]]),YEAR(Call_Centre_Data[[#This Row],[Date of Call]])+1)</f>
        <v>2024</v>
      </c>
      <c r="I838" s="39" t="str">
        <f>TEXT(Call_Centre_Data[[#This Row],[Date of Call]],"DDDD")</f>
        <v>Sunday</v>
      </c>
      <c r="J838" s="39" t="str" cm="1">
        <f t="array" ref="J838">_xlfn.IFS(Call_Centre_Data[[#This Row],[Duration]]&lt;=10,"Under 10 Mins", Call_Centre_Data[[#This Row],[Duration]]&lt;=30,"10-30 Mins",Call_Centre_Data[[#This Row],[Duration]]&lt;=60,"30-60 Mins",Call_Centre_Data[[#This Row],[Duration]]&lt;=120,"1-2 Hours",TRUE,"More than 2 Hours")</f>
        <v>1-2 Hours</v>
      </c>
      <c r="K838" s="91">
        <f>ROUND(Call_Centre_Data[[#This Row],[Satisfaction Rating]],0)</f>
        <v>4</v>
      </c>
    </row>
    <row r="839" spans="1:11" x14ac:dyDescent="0.35">
      <c r="A839" s="56" t="s">
        <v>1844</v>
      </c>
      <c r="B839" s="57" t="s">
        <v>996</v>
      </c>
      <c r="C839" s="87">
        <v>133</v>
      </c>
      <c r="D839" s="57" t="s">
        <v>1008</v>
      </c>
      <c r="E839" s="58">
        <v>45215</v>
      </c>
      <c r="F839" s="57">
        <v>40</v>
      </c>
      <c r="G839" s="59">
        <v>3.9</v>
      </c>
      <c r="H839" s="57">
        <f>IF(MONTH(Call_Centre_Data[[#This Row],[Date of Call]])&lt;=6,YEAR(Call_Centre_Data[[#This Row],[Date of Call]]),YEAR(Call_Centre_Data[[#This Row],[Date of Call]])+1)</f>
        <v>2024</v>
      </c>
      <c r="I839" s="39" t="str">
        <f>TEXT(Call_Centre_Data[[#This Row],[Date of Call]],"DDDD")</f>
        <v>Monday</v>
      </c>
      <c r="J839" s="39" t="str" cm="1">
        <f t="array" ref="J839">_xlfn.IFS(Call_Centre_Data[[#This Row],[Duration]]&lt;=10,"Under 10 Mins", Call_Centre_Data[[#This Row],[Duration]]&lt;=30,"10-30 Mins",Call_Centre_Data[[#This Row],[Duration]]&lt;=60,"30-60 Mins",Call_Centre_Data[[#This Row],[Duration]]&lt;=120,"1-2 Hours",TRUE,"More than 2 Hours")</f>
        <v>More than 2 Hours</v>
      </c>
      <c r="K839" s="91">
        <f>ROUND(Call_Centre_Data[[#This Row],[Satisfaction Rating]],0)</f>
        <v>4</v>
      </c>
    </row>
    <row r="840" spans="1:11" x14ac:dyDescent="0.35">
      <c r="A840" s="56" t="s">
        <v>1845</v>
      </c>
      <c r="B840" s="57" t="s">
        <v>1002</v>
      </c>
      <c r="C840" s="87">
        <v>77</v>
      </c>
      <c r="D840" s="57" t="s">
        <v>994</v>
      </c>
      <c r="E840" s="58">
        <v>45215</v>
      </c>
      <c r="F840" s="57">
        <v>176</v>
      </c>
      <c r="G840" s="59">
        <v>1.5</v>
      </c>
      <c r="H840" s="57">
        <f>IF(MONTH(Call_Centre_Data[[#This Row],[Date of Call]])&lt;=6,YEAR(Call_Centre_Data[[#This Row],[Date of Call]]),YEAR(Call_Centre_Data[[#This Row],[Date of Call]])+1)</f>
        <v>2024</v>
      </c>
      <c r="I840" s="39" t="str">
        <f>TEXT(Call_Centre_Data[[#This Row],[Date of Call]],"DDDD")</f>
        <v>Monday</v>
      </c>
      <c r="J840" s="39" t="str" cm="1">
        <f t="array" ref="J840">_xlfn.IFS(Call_Centre_Data[[#This Row],[Duration]]&lt;=10,"Under 10 Mins", Call_Centre_Data[[#This Row],[Duration]]&lt;=30,"10-30 Mins",Call_Centre_Data[[#This Row],[Duration]]&lt;=60,"30-60 Mins",Call_Centre_Data[[#This Row],[Duration]]&lt;=120,"1-2 Hours",TRUE,"More than 2 Hours")</f>
        <v>1-2 Hours</v>
      </c>
      <c r="K840" s="91">
        <f>ROUND(Call_Centre_Data[[#This Row],[Satisfaction Rating]],0)</f>
        <v>2</v>
      </c>
    </row>
    <row r="841" spans="1:11" x14ac:dyDescent="0.35">
      <c r="A841" s="56" t="s">
        <v>1846</v>
      </c>
      <c r="B841" s="57" t="s">
        <v>1027</v>
      </c>
      <c r="C841" s="87">
        <v>103</v>
      </c>
      <c r="D841" s="57" t="s">
        <v>1008</v>
      </c>
      <c r="E841" s="58">
        <v>45215</v>
      </c>
      <c r="F841" s="57">
        <v>78</v>
      </c>
      <c r="G841" s="59">
        <v>3</v>
      </c>
      <c r="H841" s="57">
        <f>IF(MONTH(Call_Centre_Data[[#This Row],[Date of Call]])&lt;=6,YEAR(Call_Centre_Data[[#This Row],[Date of Call]]),YEAR(Call_Centre_Data[[#This Row],[Date of Call]])+1)</f>
        <v>2024</v>
      </c>
      <c r="I841" s="39" t="str">
        <f>TEXT(Call_Centre_Data[[#This Row],[Date of Call]],"DDDD")</f>
        <v>Monday</v>
      </c>
      <c r="J841" s="39" t="str" cm="1">
        <f t="array" ref="J841">_xlfn.IFS(Call_Centre_Data[[#This Row],[Duration]]&lt;=10,"Under 10 Mins", Call_Centre_Data[[#This Row],[Duration]]&lt;=30,"10-30 Mins",Call_Centre_Data[[#This Row],[Duration]]&lt;=60,"30-60 Mins",Call_Centre_Data[[#This Row],[Duration]]&lt;=120,"1-2 Hours",TRUE,"More than 2 Hours")</f>
        <v>1-2 Hours</v>
      </c>
      <c r="K841" s="91">
        <f>ROUND(Call_Centre_Data[[#This Row],[Satisfaction Rating]],0)</f>
        <v>3</v>
      </c>
    </row>
    <row r="842" spans="1:11" x14ac:dyDescent="0.35">
      <c r="A842" s="56" t="s">
        <v>1847</v>
      </c>
      <c r="B842" s="57" t="s">
        <v>1060</v>
      </c>
      <c r="C842" s="87">
        <v>32</v>
      </c>
      <c r="D842" s="57" t="s">
        <v>994</v>
      </c>
      <c r="E842" s="58">
        <v>45215</v>
      </c>
      <c r="F842" s="57">
        <v>42</v>
      </c>
      <c r="G842" s="59">
        <v>4.2</v>
      </c>
      <c r="H842" s="57">
        <f>IF(MONTH(Call_Centre_Data[[#This Row],[Date of Call]])&lt;=6,YEAR(Call_Centre_Data[[#This Row],[Date of Call]]),YEAR(Call_Centre_Data[[#This Row],[Date of Call]])+1)</f>
        <v>2024</v>
      </c>
      <c r="I842" s="39" t="str">
        <f>TEXT(Call_Centre_Data[[#This Row],[Date of Call]],"DDDD")</f>
        <v>Monday</v>
      </c>
      <c r="J842" s="39" t="str" cm="1">
        <f t="array" ref="J842">_xlfn.IFS(Call_Centre_Data[[#This Row],[Duration]]&lt;=10,"Under 10 Mins", Call_Centre_Data[[#This Row],[Duration]]&lt;=30,"10-30 Mins",Call_Centre_Data[[#This Row],[Duration]]&lt;=60,"30-60 Mins",Call_Centre_Data[[#This Row],[Duration]]&lt;=120,"1-2 Hours",TRUE,"More than 2 Hours")</f>
        <v>30-60 Mins</v>
      </c>
      <c r="K842" s="91">
        <f>ROUND(Call_Centre_Data[[#This Row],[Satisfaction Rating]],0)</f>
        <v>4</v>
      </c>
    </row>
    <row r="843" spans="1:11" x14ac:dyDescent="0.35">
      <c r="A843" s="56" t="s">
        <v>1848</v>
      </c>
      <c r="B843" s="57" t="s">
        <v>996</v>
      </c>
      <c r="C843" s="87">
        <v>30</v>
      </c>
      <c r="D843" s="57" t="s">
        <v>1008</v>
      </c>
      <c r="E843" s="58">
        <v>45215</v>
      </c>
      <c r="F843" s="57">
        <v>38</v>
      </c>
      <c r="G843" s="59">
        <v>3.7</v>
      </c>
      <c r="H843" s="57">
        <f>IF(MONTH(Call_Centre_Data[[#This Row],[Date of Call]])&lt;=6,YEAR(Call_Centre_Data[[#This Row],[Date of Call]]),YEAR(Call_Centre_Data[[#This Row],[Date of Call]])+1)</f>
        <v>2024</v>
      </c>
      <c r="I843" s="39" t="str">
        <f>TEXT(Call_Centre_Data[[#This Row],[Date of Call]],"DDDD")</f>
        <v>Monday</v>
      </c>
      <c r="J843" s="39" t="str" cm="1">
        <f t="array" ref="J843">_xlfn.IFS(Call_Centre_Data[[#This Row],[Duration]]&lt;=10,"Under 10 Mins", Call_Centre_Data[[#This Row],[Duration]]&lt;=30,"10-30 Mins",Call_Centre_Data[[#This Row],[Duration]]&lt;=60,"30-60 Mins",Call_Centre_Data[[#This Row],[Duration]]&lt;=120,"1-2 Hours",TRUE,"More than 2 Hours")</f>
        <v>10-30 Mins</v>
      </c>
      <c r="K843" s="91">
        <f>ROUND(Call_Centre_Data[[#This Row],[Satisfaction Rating]],0)</f>
        <v>4</v>
      </c>
    </row>
    <row r="844" spans="1:11" x14ac:dyDescent="0.35">
      <c r="A844" s="56" t="s">
        <v>1849</v>
      </c>
      <c r="B844" s="57" t="s">
        <v>993</v>
      </c>
      <c r="C844" s="87">
        <v>87</v>
      </c>
      <c r="D844" s="57" t="s">
        <v>1004</v>
      </c>
      <c r="E844" s="58">
        <v>45215</v>
      </c>
      <c r="F844" s="57">
        <v>27</v>
      </c>
      <c r="G844" s="59">
        <v>4.2</v>
      </c>
      <c r="H844" s="57">
        <f>IF(MONTH(Call_Centre_Data[[#This Row],[Date of Call]])&lt;=6,YEAR(Call_Centre_Data[[#This Row],[Date of Call]]),YEAR(Call_Centre_Data[[#This Row],[Date of Call]])+1)</f>
        <v>2024</v>
      </c>
      <c r="I844" s="39" t="str">
        <f>TEXT(Call_Centre_Data[[#This Row],[Date of Call]],"DDDD")</f>
        <v>Monday</v>
      </c>
      <c r="J844" s="39" t="str" cm="1">
        <f t="array" ref="J844">_xlfn.IFS(Call_Centre_Data[[#This Row],[Duration]]&lt;=10,"Under 10 Mins", Call_Centre_Data[[#This Row],[Duration]]&lt;=30,"10-30 Mins",Call_Centre_Data[[#This Row],[Duration]]&lt;=60,"30-60 Mins",Call_Centre_Data[[#This Row],[Duration]]&lt;=120,"1-2 Hours",TRUE,"More than 2 Hours")</f>
        <v>1-2 Hours</v>
      </c>
      <c r="K844" s="91">
        <f>ROUND(Call_Centre_Data[[#This Row],[Satisfaction Rating]],0)</f>
        <v>4</v>
      </c>
    </row>
    <row r="845" spans="1:11" x14ac:dyDescent="0.35">
      <c r="A845" s="56" t="s">
        <v>1850</v>
      </c>
      <c r="B845" s="57" t="s">
        <v>1002</v>
      </c>
      <c r="C845" s="87">
        <v>137</v>
      </c>
      <c r="D845" s="57" t="s">
        <v>989</v>
      </c>
      <c r="E845" s="58">
        <v>45216</v>
      </c>
      <c r="F845" s="57">
        <v>45</v>
      </c>
      <c r="G845" s="59">
        <v>4.4000000000000004</v>
      </c>
      <c r="H845" s="57">
        <f>IF(MONTH(Call_Centre_Data[[#This Row],[Date of Call]])&lt;=6,YEAR(Call_Centre_Data[[#This Row],[Date of Call]]),YEAR(Call_Centre_Data[[#This Row],[Date of Call]])+1)</f>
        <v>2024</v>
      </c>
      <c r="I845" s="39" t="str">
        <f>TEXT(Call_Centre_Data[[#This Row],[Date of Call]],"DDDD")</f>
        <v>Tuesday</v>
      </c>
      <c r="J845" s="39" t="str" cm="1">
        <f t="array" ref="J845">_xlfn.IFS(Call_Centre_Data[[#This Row],[Duration]]&lt;=10,"Under 10 Mins", Call_Centre_Data[[#This Row],[Duration]]&lt;=30,"10-30 Mins",Call_Centre_Data[[#This Row],[Duration]]&lt;=60,"30-60 Mins",Call_Centre_Data[[#This Row],[Duration]]&lt;=120,"1-2 Hours",TRUE,"More than 2 Hours")</f>
        <v>More than 2 Hours</v>
      </c>
      <c r="K845" s="91">
        <f>ROUND(Call_Centre_Data[[#This Row],[Satisfaction Rating]],0)</f>
        <v>4</v>
      </c>
    </row>
    <row r="846" spans="1:11" x14ac:dyDescent="0.35">
      <c r="A846" s="56" t="s">
        <v>1851</v>
      </c>
      <c r="B846" s="57" t="s">
        <v>1011</v>
      </c>
      <c r="C846" s="87">
        <v>96</v>
      </c>
      <c r="D846" s="57" t="s">
        <v>1008</v>
      </c>
      <c r="E846" s="58">
        <v>45216</v>
      </c>
      <c r="F846" s="57">
        <v>215</v>
      </c>
      <c r="G846" s="59">
        <v>4</v>
      </c>
      <c r="H846" s="57">
        <f>IF(MONTH(Call_Centre_Data[[#This Row],[Date of Call]])&lt;=6,YEAR(Call_Centre_Data[[#This Row],[Date of Call]]),YEAR(Call_Centre_Data[[#This Row],[Date of Call]])+1)</f>
        <v>2024</v>
      </c>
      <c r="I846" s="39" t="str">
        <f>TEXT(Call_Centre_Data[[#This Row],[Date of Call]],"DDDD")</f>
        <v>Tuesday</v>
      </c>
      <c r="J846" s="39" t="str" cm="1">
        <f t="array" ref="J846">_xlfn.IFS(Call_Centre_Data[[#This Row],[Duration]]&lt;=10,"Under 10 Mins", Call_Centre_Data[[#This Row],[Duration]]&lt;=30,"10-30 Mins",Call_Centre_Data[[#This Row],[Duration]]&lt;=60,"30-60 Mins",Call_Centre_Data[[#This Row],[Duration]]&lt;=120,"1-2 Hours",TRUE,"More than 2 Hours")</f>
        <v>1-2 Hours</v>
      </c>
      <c r="K846" s="91">
        <f>ROUND(Call_Centre_Data[[#This Row],[Satisfaction Rating]],0)</f>
        <v>4</v>
      </c>
    </row>
    <row r="847" spans="1:11" x14ac:dyDescent="0.35">
      <c r="A847" s="56" t="s">
        <v>1852</v>
      </c>
      <c r="B847" s="57" t="s">
        <v>1007</v>
      </c>
      <c r="C847" s="87">
        <v>155</v>
      </c>
      <c r="D847" s="57" t="s">
        <v>1008</v>
      </c>
      <c r="E847" s="58">
        <v>45217</v>
      </c>
      <c r="F847" s="57">
        <v>72</v>
      </c>
      <c r="G847" s="59">
        <v>4.7</v>
      </c>
      <c r="H847" s="57">
        <f>IF(MONTH(Call_Centre_Data[[#This Row],[Date of Call]])&lt;=6,YEAR(Call_Centre_Data[[#This Row],[Date of Call]]),YEAR(Call_Centre_Data[[#This Row],[Date of Call]])+1)</f>
        <v>2024</v>
      </c>
      <c r="I847" s="39" t="str">
        <f>TEXT(Call_Centre_Data[[#This Row],[Date of Call]],"DDDD")</f>
        <v>Wednesday</v>
      </c>
      <c r="J847" s="39" t="str" cm="1">
        <f t="array" ref="J847">_xlfn.IFS(Call_Centre_Data[[#This Row],[Duration]]&lt;=10,"Under 10 Mins", Call_Centre_Data[[#This Row],[Duration]]&lt;=30,"10-30 Mins",Call_Centre_Data[[#This Row],[Duration]]&lt;=60,"30-60 Mins",Call_Centre_Data[[#This Row],[Duration]]&lt;=120,"1-2 Hours",TRUE,"More than 2 Hours")</f>
        <v>More than 2 Hours</v>
      </c>
      <c r="K847" s="91">
        <f>ROUND(Call_Centre_Data[[#This Row],[Satisfaction Rating]],0)</f>
        <v>5</v>
      </c>
    </row>
    <row r="848" spans="1:11" x14ac:dyDescent="0.35">
      <c r="A848" s="56" t="s">
        <v>1853</v>
      </c>
      <c r="B848" s="57" t="s">
        <v>996</v>
      </c>
      <c r="C848" s="87">
        <v>173</v>
      </c>
      <c r="D848" s="57" t="s">
        <v>999</v>
      </c>
      <c r="E848" s="58">
        <v>45217</v>
      </c>
      <c r="F848" s="57">
        <v>160</v>
      </c>
      <c r="G848" s="59">
        <v>2.8</v>
      </c>
      <c r="H848" s="57">
        <f>IF(MONTH(Call_Centre_Data[[#This Row],[Date of Call]])&lt;=6,YEAR(Call_Centre_Data[[#This Row],[Date of Call]]),YEAR(Call_Centre_Data[[#This Row],[Date of Call]])+1)</f>
        <v>2024</v>
      </c>
      <c r="I848" s="39" t="str">
        <f>TEXT(Call_Centre_Data[[#This Row],[Date of Call]],"DDDD")</f>
        <v>Wednesday</v>
      </c>
      <c r="J848" s="39" t="str" cm="1">
        <f t="array" ref="J848">_xlfn.IFS(Call_Centre_Data[[#This Row],[Duration]]&lt;=10,"Under 10 Mins", Call_Centre_Data[[#This Row],[Duration]]&lt;=30,"10-30 Mins",Call_Centre_Data[[#This Row],[Duration]]&lt;=60,"30-60 Mins",Call_Centre_Data[[#This Row],[Duration]]&lt;=120,"1-2 Hours",TRUE,"More than 2 Hours")</f>
        <v>More than 2 Hours</v>
      </c>
      <c r="K848" s="91">
        <f>ROUND(Call_Centre_Data[[#This Row],[Satisfaction Rating]],0)</f>
        <v>3</v>
      </c>
    </row>
    <row r="849" spans="1:11" x14ac:dyDescent="0.35">
      <c r="A849" s="56" t="s">
        <v>1854</v>
      </c>
      <c r="B849" s="57" t="s">
        <v>1007</v>
      </c>
      <c r="C849" s="87">
        <v>127</v>
      </c>
      <c r="D849" s="57" t="s">
        <v>1008</v>
      </c>
      <c r="E849" s="58">
        <v>45217</v>
      </c>
      <c r="F849" s="57">
        <v>165</v>
      </c>
      <c r="G849" s="59">
        <v>2.5</v>
      </c>
      <c r="H849" s="57">
        <f>IF(MONTH(Call_Centre_Data[[#This Row],[Date of Call]])&lt;=6,YEAR(Call_Centre_Data[[#This Row],[Date of Call]]),YEAR(Call_Centre_Data[[#This Row],[Date of Call]])+1)</f>
        <v>2024</v>
      </c>
      <c r="I849" s="39" t="str">
        <f>TEXT(Call_Centre_Data[[#This Row],[Date of Call]],"DDDD")</f>
        <v>Wednesday</v>
      </c>
      <c r="J849" s="39" t="str" cm="1">
        <f t="array" ref="J849">_xlfn.IFS(Call_Centre_Data[[#This Row],[Duration]]&lt;=10,"Under 10 Mins", Call_Centre_Data[[#This Row],[Duration]]&lt;=30,"10-30 Mins",Call_Centre_Data[[#This Row],[Duration]]&lt;=60,"30-60 Mins",Call_Centre_Data[[#This Row],[Duration]]&lt;=120,"1-2 Hours",TRUE,"More than 2 Hours")</f>
        <v>More than 2 Hours</v>
      </c>
      <c r="K849" s="91">
        <f>ROUND(Call_Centre_Data[[#This Row],[Satisfaction Rating]],0)</f>
        <v>3</v>
      </c>
    </row>
    <row r="850" spans="1:11" x14ac:dyDescent="0.35">
      <c r="A850" s="56" t="s">
        <v>1855</v>
      </c>
      <c r="B850" s="57" t="s">
        <v>991</v>
      </c>
      <c r="C850" s="87">
        <v>117</v>
      </c>
      <c r="D850" s="57" t="s">
        <v>999</v>
      </c>
      <c r="E850" s="58">
        <v>45217</v>
      </c>
      <c r="F850" s="57">
        <v>120</v>
      </c>
      <c r="G850" s="59">
        <v>3.4</v>
      </c>
      <c r="H850" s="57">
        <f>IF(MONTH(Call_Centre_Data[[#This Row],[Date of Call]])&lt;=6,YEAR(Call_Centre_Data[[#This Row],[Date of Call]]),YEAR(Call_Centre_Data[[#This Row],[Date of Call]])+1)</f>
        <v>2024</v>
      </c>
      <c r="I850" s="39" t="str">
        <f>TEXT(Call_Centre_Data[[#This Row],[Date of Call]],"DDDD")</f>
        <v>Wednesday</v>
      </c>
      <c r="J850" s="39" t="str" cm="1">
        <f t="array" ref="J850">_xlfn.IFS(Call_Centre_Data[[#This Row],[Duration]]&lt;=10,"Under 10 Mins", Call_Centre_Data[[#This Row],[Duration]]&lt;=30,"10-30 Mins",Call_Centre_Data[[#This Row],[Duration]]&lt;=60,"30-60 Mins",Call_Centre_Data[[#This Row],[Duration]]&lt;=120,"1-2 Hours",TRUE,"More than 2 Hours")</f>
        <v>1-2 Hours</v>
      </c>
      <c r="K850" s="91">
        <f>ROUND(Call_Centre_Data[[#This Row],[Satisfaction Rating]],0)</f>
        <v>3</v>
      </c>
    </row>
    <row r="851" spans="1:11" x14ac:dyDescent="0.35">
      <c r="A851" s="56" t="s">
        <v>1856</v>
      </c>
      <c r="B851" s="57" t="s">
        <v>988</v>
      </c>
      <c r="C851" s="87">
        <v>133</v>
      </c>
      <c r="D851" s="57" t="s">
        <v>994</v>
      </c>
      <c r="E851" s="58">
        <v>45217</v>
      </c>
      <c r="F851" s="57">
        <v>117</v>
      </c>
      <c r="G851" s="59">
        <v>4.8</v>
      </c>
      <c r="H851" s="57">
        <f>IF(MONTH(Call_Centre_Data[[#This Row],[Date of Call]])&lt;=6,YEAR(Call_Centre_Data[[#This Row],[Date of Call]]),YEAR(Call_Centre_Data[[#This Row],[Date of Call]])+1)</f>
        <v>2024</v>
      </c>
      <c r="I851" s="39" t="str">
        <f>TEXT(Call_Centre_Data[[#This Row],[Date of Call]],"DDDD")</f>
        <v>Wednesday</v>
      </c>
      <c r="J851" s="39" t="str" cm="1">
        <f t="array" ref="J851">_xlfn.IFS(Call_Centre_Data[[#This Row],[Duration]]&lt;=10,"Under 10 Mins", Call_Centre_Data[[#This Row],[Duration]]&lt;=30,"10-30 Mins",Call_Centre_Data[[#This Row],[Duration]]&lt;=60,"30-60 Mins",Call_Centre_Data[[#This Row],[Duration]]&lt;=120,"1-2 Hours",TRUE,"More than 2 Hours")</f>
        <v>More than 2 Hours</v>
      </c>
      <c r="K851" s="91">
        <f>ROUND(Call_Centre_Data[[#This Row],[Satisfaction Rating]],0)</f>
        <v>5</v>
      </c>
    </row>
    <row r="852" spans="1:11" x14ac:dyDescent="0.35">
      <c r="A852" s="56" t="s">
        <v>1857</v>
      </c>
      <c r="B852" s="57" t="s">
        <v>1013</v>
      </c>
      <c r="C852" s="87">
        <v>166</v>
      </c>
      <c r="D852" s="57" t="s">
        <v>1004</v>
      </c>
      <c r="E852" s="58">
        <v>45218</v>
      </c>
      <c r="F852" s="57">
        <v>29</v>
      </c>
      <c r="G852" s="59">
        <v>4.3</v>
      </c>
      <c r="H852" s="57">
        <f>IF(MONTH(Call_Centre_Data[[#This Row],[Date of Call]])&lt;=6,YEAR(Call_Centre_Data[[#This Row],[Date of Call]]),YEAR(Call_Centre_Data[[#This Row],[Date of Call]])+1)</f>
        <v>2024</v>
      </c>
      <c r="I852" s="39" t="str">
        <f>TEXT(Call_Centre_Data[[#This Row],[Date of Call]],"DDDD")</f>
        <v>Thursday</v>
      </c>
      <c r="J852" s="39" t="str" cm="1">
        <f t="array" ref="J852">_xlfn.IFS(Call_Centre_Data[[#This Row],[Duration]]&lt;=10,"Under 10 Mins", Call_Centre_Data[[#This Row],[Duration]]&lt;=30,"10-30 Mins",Call_Centre_Data[[#This Row],[Duration]]&lt;=60,"30-60 Mins",Call_Centre_Data[[#This Row],[Duration]]&lt;=120,"1-2 Hours",TRUE,"More than 2 Hours")</f>
        <v>More than 2 Hours</v>
      </c>
      <c r="K852" s="91">
        <f>ROUND(Call_Centre_Data[[#This Row],[Satisfaction Rating]],0)</f>
        <v>4</v>
      </c>
    </row>
    <row r="853" spans="1:11" x14ac:dyDescent="0.35">
      <c r="A853" s="56" t="s">
        <v>1858</v>
      </c>
      <c r="B853" s="57" t="s">
        <v>988</v>
      </c>
      <c r="C853" s="87">
        <v>50</v>
      </c>
      <c r="D853" s="57" t="s">
        <v>999</v>
      </c>
      <c r="E853" s="58">
        <v>45218</v>
      </c>
      <c r="F853" s="57">
        <v>64</v>
      </c>
      <c r="G853" s="59">
        <v>4.5</v>
      </c>
      <c r="H853" s="57">
        <f>IF(MONTH(Call_Centre_Data[[#This Row],[Date of Call]])&lt;=6,YEAR(Call_Centre_Data[[#This Row],[Date of Call]]),YEAR(Call_Centre_Data[[#This Row],[Date of Call]])+1)</f>
        <v>2024</v>
      </c>
      <c r="I853" s="39" t="str">
        <f>TEXT(Call_Centre_Data[[#This Row],[Date of Call]],"DDDD")</f>
        <v>Thursday</v>
      </c>
      <c r="J853" s="39" t="str" cm="1">
        <f t="array" ref="J853">_xlfn.IFS(Call_Centre_Data[[#This Row],[Duration]]&lt;=10,"Under 10 Mins", Call_Centre_Data[[#This Row],[Duration]]&lt;=30,"10-30 Mins",Call_Centre_Data[[#This Row],[Duration]]&lt;=60,"30-60 Mins",Call_Centre_Data[[#This Row],[Duration]]&lt;=120,"1-2 Hours",TRUE,"More than 2 Hours")</f>
        <v>30-60 Mins</v>
      </c>
      <c r="K853" s="91">
        <f>ROUND(Call_Centre_Data[[#This Row],[Satisfaction Rating]],0)</f>
        <v>5</v>
      </c>
    </row>
    <row r="854" spans="1:11" x14ac:dyDescent="0.35">
      <c r="A854" s="56" t="s">
        <v>1859</v>
      </c>
      <c r="B854" s="57" t="s">
        <v>1027</v>
      </c>
      <c r="C854" s="87">
        <v>43</v>
      </c>
      <c r="D854" s="57" t="s">
        <v>994</v>
      </c>
      <c r="E854" s="58">
        <v>45218</v>
      </c>
      <c r="F854" s="57">
        <v>84</v>
      </c>
      <c r="G854" s="59">
        <v>3.6</v>
      </c>
      <c r="H854" s="57">
        <f>IF(MONTH(Call_Centre_Data[[#This Row],[Date of Call]])&lt;=6,YEAR(Call_Centre_Data[[#This Row],[Date of Call]]),YEAR(Call_Centre_Data[[#This Row],[Date of Call]])+1)</f>
        <v>2024</v>
      </c>
      <c r="I854" s="39" t="str">
        <f>TEXT(Call_Centre_Data[[#This Row],[Date of Call]],"DDDD")</f>
        <v>Thursday</v>
      </c>
      <c r="J854" s="39" t="str" cm="1">
        <f t="array" ref="J854">_xlfn.IFS(Call_Centre_Data[[#This Row],[Duration]]&lt;=10,"Under 10 Mins", Call_Centre_Data[[#This Row],[Duration]]&lt;=30,"10-30 Mins",Call_Centre_Data[[#This Row],[Duration]]&lt;=60,"30-60 Mins",Call_Centre_Data[[#This Row],[Duration]]&lt;=120,"1-2 Hours",TRUE,"More than 2 Hours")</f>
        <v>30-60 Mins</v>
      </c>
      <c r="K854" s="91">
        <f>ROUND(Call_Centre_Data[[#This Row],[Satisfaction Rating]],0)</f>
        <v>4</v>
      </c>
    </row>
    <row r="855" spans="1:11" x14ac:dyDescent="0.35">
      <c r="A855" s="56" t="s">
        <v>1860</v>
      </c>
      <c r="B855" s="57" t="s">
        <v>1011</v>
      </c>
      <c r="C855" s="87">
        <v>124</v>
      </c>
      <c r="D855" s="57" t="s">
        <v>1008</v>
      </c>
      <c r="E855" s="58">
        <v>45218</v>
      </c>
      <c r="F855" s="57">
        <v>42</v>
      </c>
      <c r="G855" s="59">
        <v>3.7</v>
      </c>
      <c r="H855" s="57">
        <f>IF(MONTH(Call_Centre_Data[[#This Row],[Date of Call]])&lt;=6,YEAR(Call_Centre_Data[[#This Row],[Date of Call]]),YEAR(Call_Centre_Data[[#This Row],[Date of Call]])+1)</f>
        <v>2024</v>
      </c>
      <c r="I855" s="39" t="str">
        <f>TEXT(Call_Centre_Data[[#This Row],[Date of Call]],"DDDD")</f>
        <v>Thursday</v>
      </c>
      <c r="J855" s="39" t="str" cm="1">
        <f t="array" ref="J855">_xlfn.IFS(Call_Centre_Data[[#This Row],[Duration]]&lt;=10,"Under 10 Mins", Call_Centre_Data[[#This Row],[Duration]]&lt;=30,"10-30 Mins",Call_Centre_Data[[#This Row],[Duration]]&lt;=60,"30-60 Mins",Call_Centre_Data[[#This Row],[Duration]]&lt;=120,"1-2 Hours",TRUE,"More than 2 Hours")</f>
        <v>More than 2 Hours</v>
      </c>
      <c r="K855" s="91">
        <f>ROUND(Call_Centre_Data[[#This Row],[Satisfaction Rating]],0)</f>
        <v>4</v>
      </c>
    </row>
    <row r="856" spans="1:11" x14ac:dyDescent="0.35">
      <c r="A856" s="56" t="s">
        <v>1861</v>
      </c>
      <c r="B856" s="57" t="s">
        <v>996</v>
      </c>
      <c r="C856" s="87">
        <v>94</v>
      </c>
      <c r="D856" s="57" t="s">
        <v>1008</v>
      </c>
      <c r="E856" s="58">
        <v>45218</v>
      </c>
      <c r="F856" s="57">
        <v>120</v>
      </c>
      <c r="G856" s="59">
        <v>3.5</v>
      </c>
      <c r="H856" s="57">
        <f>IF(MONTH(Call_Centre_Data[[#This Row],[Date of Call]])&lt;=6,YEAR(Call_Centre_Data[[#This Row],[Date of Call]]),YEAR(Call_Centre_Data[[#This Row],[Date of Call]])+1)</f>
        <v>2024</v>
      </c>
      <c r="I856" s="39" t="str">
        <f>TEXT(Call_Centre_Data[[#This Row],[Date of Call]],"DDDD")</f>
        <v>Thursday</v>
      </c>
      <c r="J856" s="39" t="str" cm="1">
        <f t="array" ref="J856">_xlfn.IFS(Call_Centre_Data[[#This Row],[Duration]]&lt;=10,"Under 10 Mins", Call_Centre_Data[[#This Row],[Duration]]&lt;=30,"10-30 Mins",Call_Centre_Data[[#This Row],[Duration]]&lt;=60,"30-60 Mins",Call_Centre_Data[[#This Row],[Duration]]&lt;=120,"1-2 Hours",TRUE,"More than 2 Hours")</f>
        <v>1-2 Hours</v>
      </c>
      <c r="K856" s="91">
        <f>ROUND(Call_Centre_Data[[#This Row],[Satisfaction Rating]],0)</f>
        <v>4</v>
      </c>
    </row>
    <row r="857" spans="1:11" x14ac:dyDescent="0.35">
      <c r="A857" s="56" t="s">
        <v>1862</v>
      </c>
      <c r="B857" s="57" t="s">
        <v>1027</v>
      </c>
      <c r="C857" s="87">
        <v>126</v>
      </c>
      <c r="D857" s="57" t="s">
        <v>1004</v>
      </c>
      <c r="E857" s="58">
        <v>45219</v>
      </c>
      <c r="F857" s="57">
        <v>80</v>
      </c>
      <c r="G857" s="59">
        <v>4.7</v>
      </c>
      <c r="H857" s="57">
        <f>IF(MONTH(Call_Centre_Data[[#This Row],[Date of Call]])&lt;=6,YEAR(Call_Centre_Data[[#This Row],[Date of Call]]),YEAR(Call_Centre_Data[[#This Row],[Date of Call]])+1)</f>
        <v>2024</v>
      </c>
      <c r="I857" s="39" t="str">
        <f>TEXT(Call_Centre_Data[[#This Row],[Date of Call]],"DDDD")</f>
        <v>Friday</v>
      </c>
      <c r="J857" s="39" t="str" cm="1">
        <f t="array" ref="J857">_xlfn.IFS(Call_Centre_Data[[#This Row],[Duration]]&lt;=10,"Under 10 Mins", Call_Centre_Data[[#This Row],[Duration]]&lt;=30,"10-30 Mins",Call_Centre_Data[[#This Row],[Duration]]&lt;=60,"30-60 Mins",Call_Centre_Data[[#This Row],[Duration]]&lt;=120,"1-2 Hours",TRUE,"More than 2 Hours")</f>
        <v>More than 2 Hours</v>
      </c>
      <c r="K857" s="91">
        <f>ROUND(Call_Centre_Data[[#This Row],[Satisfaction Rating]],0)</f>
        <v>5</v>
      </c>
    </row>
    <row r="858" spans="1:11" x14ac:dyDescent="0.35">
      <c r="A858" s="56" t="s">
        <v>1863</v>
      </c>
      <c r="B858" s="57" t="s">
        <v>1013</v>
      </c>
      <c r="C858" s="87">
        <v>105</v>
      </c>
      <c r="D858" s="57" t="s">
        <v>999</v>
      </c>
      <c r="E858" s="58">
        <v>45219</v>
      </c>
      <c r="F858" s="57">
        <v>185</v>
      </c>
      <c r="G858" s="59">
        <v>3.5</v>
      </c>
      <c r="H858" s="57">
        <f>IF(MONTH(Call_Centre_Data[[#This Row],[Date of Call]])&lt;=6,YEAR(Call_Centre_Data[[#This Row],[Date of Call]]),YEAR(Call_Centre_Data[[#This Row],[Date of Call]])+1)</f>
        <v>2024</v>
      </c>
      <c r="I858" s="39" t="str">
        <f>TEXT(Call_Centre_Data[[#This Row],[Date of Call]],"DDDD")</f>
        <v>Friday</v>
      </c>
      <c r="J858" s="39" t="str" cm="1">
        <f t="array" ref="J858">_xlfn.IFS(Call_Centre_Data[[#This Row],[Duration]]&lt;=10,"Under 10 Mins", Call_Centre_Data[[#This Row],[Duration]]&lt;=30,"10-30 Mins",Call_Centre_Data[[#This Row],[Duration]]&lt;=60,"30-60 Mins",Call_Centre_Data[[#This Row],[Duration]]&lt;=120,"1-2 Hours",TRUE,"More than 2 Hours")</f>
        <v>1-2 Hours</v>
      </c>
      <c r="K858" s="91">
        <f>ROUND(Call_Centre_Data[[#This Row],[Satisfaction Rating]],0)</f>
        <v>4</v>
      </c>
    </row>
    <row r="859" spans="1:11" x14ac:dyDescent="0.35">
      <c r="A859" s="56" t="s">
        <v>1864</v>
      </c>
      <c r="B859" s="57" t="s">
        <v>998</v>
      </c>
      <c r="C859" s="87">
        <v>60</v>
      </c>
      <c r="D859" s="57" t="s">
        <v>989</v>
      </c>
      <c r="E859" s="58">
        <v>45220</v>
      </c>
      <c r="F859" s="57">
        <v>135</v>
      </c>
      <c r="G859" s="59">
        <v>3.9</v>
      </c>
      <c r="H859" s="57">
        <f>IF(MONTH(Call_Centre_Data[[#This Row],[Date of Call]])&lt;=6,YEAR(Call_Centre_Data[[#This Row],[Date of Call]]),YEAR(Call_Centre_Data[[#This Row],[Date of Call]])+1)</f>
        <v>2024</v>
      </c>
      <c r="I859" s="39" t="str">
        <f>TEXT(Call_Centre_Data[[#This Row],[Date of Call]],"DDDD")</f>
        <v>Saturday</v>
      </c>
      <c r="J859" s="39" t="str" cm="1">
        <f t="array" ref="J859">_xlfn.IFS(Call_Centre_Data[[#This Row],[Duration]]&lt;=10,"Under 10 Mins", Call_Centre_Data[[#This Row],[Duration]]&lt;=30,"10-30 Mins",Call_Centre_Data[[#This Row],[Duration]]&lt;=60,"30-60 Mins",Call_Centre_Data[[#This Row],[Duration]]&lt;=120,"1-2 Hours",TRUE,"More than 2 Hours")</f>
        <v>30-60 Mins</v>
      </c>
      <c r="K859" s="91">
        <f>ROUND(Call_Centre_Data[[#This Row],[Satisfaction Rating]],0)</f>
        <v>4</v>
      </c>
    </row>
    <row r="860" spans="1:11" x14ac:dyDescent="0.35">
      <c r="A860" s="56" t="s">
        <v>1865</v>
      </c>
      <c r="B860" s="57" t="s">
        <v>998</v>
      </c>
      <c r="C860" s="87">
        <v>72</v>
      </c>
      <c r="D860" s="57" t="s">
        <v>999</v>
      </c>
      <c r="E860" s="58">
        <v>45220</v>
      </c>
      <c r="F860" s="57">
        <v>20</v>
      </c>
      <c r="G860" s="59">
        <v>4.8</v>
      </c>
      <c r="H860" s="57">
        <f>IF(MONTH(Call_Centre_Data[[#This Row],[Date of Call]])&lt;=6,YEAR(Call_Centre_Data[[#This Row],[Date of Call]]),YEAR(Call_Centre_Data[[#This Row],[Date of Call]])+1)</f>
        <v>2024</v>
      </c>
      <c r="I860" s="39" t="str">
        <f>TEXT(Call_Centre_Data[[#This Row],[Date of Call]],"DDDD")</f>
        <v>Saturday</v>
      </c>
      <c r="J860" s="39" t="str" cm="1">
        <f t="array" ref="J860">_xlfn.IFS(Call_Centre_Data[[#This Row],[Duration]]&lt;=10,"Under 10 Mins", Call_Centre_Data[[#This Row],[Duration]]&lt;=30,"10-30 Mins",Call_Centre_Data[[#This Row],[Duration]]&lt;=60,"30-60 Mins",Call_Centre_Data[[#This Row],[Duration]]&lt;=120,"1-2 Hours",TRUE,"More than 2 Hours")</f>
        <v>1-2 Hours</v>
      </c>
      <c r="K860" s="91">
        <f>ROUND(Call_Centre_Data[[#This Row],[Satisfaction Rating]],0)</f>
        <v>5</v>
      </c>
    </row>
    <row r="861" spans="1:11" x14ac:dyDescent="0.35">
      <c r="A861" s="56" t="s">
        <v>1866</v>
      </c>
      <c r="B861" s="57" t="s">
        <v>1030</v>
      </c>
      <c r="C861" s="87">
        <v>40</v>
      </c>
      <c r="D861" s="57" t="s">
        <v>999</v>
      </c>
      <c r="E861" s="58">
        <v>45220</v>
      </c>
      <c r="F861" s="57">
        <v>31</v>
      </c>
      <c r="G861" s="59">
        <v>4</v>
      </c>
      <c r="H861" s="57">
        <f>IF(MONTH(Call_Centre_Data[[#This Row],[Date of Call]])&lt;=6,YEAR(Call_Centre_Data[[#This Row],[Date of Call]]),YEAR(Call_Centre_Data[[#This Row],[Date of Call]])+1)</f>
        <v>2024</v>
      </c>
      <c r="I861" s="39" t="str">
        <f>TEXT(Call_Centre_Data[[#This Row],[Date of Call]],"DDDD")</f>
        <v>Saturday</v>
      </c>
      <c r="J861" s="39" t="str" cm="1">
        <f t="array" ref="J861">_xlfn.IFS(Call_Centre_Data[[#This Row],[Duration]]&lt;=10,"Under 10 Mins", Call_Centre_Data[[#This Row],[Duration]]&lt;=30,"10-30 Mins",Call_Centre_Data[[#This Row],[Duration]]&lt;=60,"30-60 Mins",Call_Centre_Data[[#This Row],[Duration]]&lt;=120,"1-2 Hours",TRUE,"More than 2 Hours")</f>
        <v>30-60 Mins</v>
      </c>
      <c r="K861" s="91">
        <f>ROUND(Call_Centre_Data[[#This Row],[Satisfaction Rating]],0)</f>
        <v>4</v>
      </c>
    </row>
    <row r="862" spans="1:11" x14ac:dyDescent="0.35">
      <c r="A862" s="56" t="s">
        <v>1867</v>
      </c>
      <c r="B862" s="57" t="s">
        <v>1060</v>
      </c>
      <c r="C862" s="87">
        <v>54</v>
      </c>
      <c r="D862" s="57" t="s">
        <v>1004</v>
      </c>
      <c r="E862" s="58">
        <v>45221</v>
      </c>
      <c r="F862" s="57">
        <v>120</v>
      </c>
      <c r="G862" s="59">
        <v>4.7</v>
      </c>
      <c r="H862" s="57">
        <f>IF(MONTH(Call_Centre_Data[[#This Row],[Date of Call]])&lt;=6,YEAR(Call_Centre_Data[[#This Row],[Date of Call]]),YEAR(Call_Centre_Data[[#This Row],[Date of Call]])+1)</f>
        <v>2024</v>
      </c>
      <c r="I862" s="39" t="str">
        <f>TEXT(Call_Centre_Data[[#This Row],[Date of Call]],"DDDD")</f>
        <v>Sunday</v>
      </c>
      <c r="J862" s="39" t="str" cm="1">
        <f t="array" ref="J862">_xlfn.IFS(Call_Centre_Data[[#This Row],[Duration]]&lt;=10,"Under 10 Mins", Call_Centre_Data[[#This Row],[Duration]]&lt;=30,"10-30 Mins",Call_Centre_Data[[#This Row],[Duration]]&lt;=60,"30-60 Mins",Call_Centre_Data[[#This Row],[Duration]]&lt;=120,"1-2 Hours",TRUE,"More than 2 Hours")</f>
        <v>30-60 Mins</v>
      </c>
      <c r="K862" s="91">
        <f>ROUND(Call_Centre_Data[[#This Row],[Satisfaction Rating]],0)</f>
        <v>5</v>
      </c>
    </row>
    <row r="863" spans="1:11" x14ac:dyDescent="0.35">
      <c r="A863" s="56" t="s">
        <v>1868</v>
      </c>
      <c r="B863" s="57" t="s">
        <v>991</v>
      </c>
      <c r="C863" s="87">
        <v>81</v>
      </c>
      <c r="D863" s="57" t="s">
        <v>994</v>
      </c>
      <c r="E863" s="58">
        <v>45221</v>
      </c>
      <c r="F863" s="57">
        <v>117</v>
      </c>
      <c r="G863" s="59">
        <v>3.6</v>
      </c>
      <c r="H863" s="57">
        <f>IF(MONTH(Call_Centre_Data[[#This Row],[Date of Call]])&lt;=6,YEAR(Call_Centre_Data[[#This Row],[Date of Call]]),YEAR(Call_Centre_Data[[#This Row],[Date of Call]])+1)</f>
        <v>2024</v>
      </c>
      <c r="I863" s="39" t="str">
        <f>TEXT(Call_Centre_Data[[#This Row],[Date of Call]],"DDDD")</f>
        <v>Sunday</v>
      </c>
      <c r="J863" s="39" t="str" cm="1">
        <f t="array" ref="J863">_xlfn.IFS(Call_Centre_Data[[#This Row],[Duration]]&lt;=10,"Under 10 Mins", Call_Centre_Data[[#This Row],[Duration]]&lt;=30,"10-30 Mins",Call_Centre_Data[[#This Row],[Duration]]&lt;=60,"30-60 Mins",Call_Centre_Data[[#This Row],[Duration]]&lt;=120,"1-2 Hours",TRUE,"More than 2 Hours")</f>
        <v>1-2 Hours</v>
      </c>
      <c r="K863" s="91">
        <f>ROUND(Call_Centre_Data[[#This Row],[Satisfaction Rating]],0)</f>
        <v>4</v>
      </c>
    </row>
    <row r="864" spans="1:11" x14ac:dyDescent="0.35">
      <c r="A864" s="56" t="s">
        <v>1869</v>
      </c>
      <c r="B864" s="57" t="s">
        <v>1060</v>
      </c>
      <c r="C864" s="87">
        <v>76</v>
      </c>
      <c r="D864" s="57" t="s">
        <v>1008</v>
      </c>
      <c r="E864" s="58">
        <v>45221</v>
      </c>
      <c r="F864" s="57">
        <v>80</v>
      </c>
      <c r="G864" s="59">
        <v>4.5</v>
      </c>
      <c r="H864" s="57">
        <f>IF(MONTH(Call_Centre_Data[[#This Row],[Date of Call]])&lt;=6,YEAR(Call_Centre_Data[[#This Row],[Date of Call]]),YEAR(Call_Centre_Data[[#This Row],[Date of Call]])+1)</f>
        <v>2024</v>
      </c>
      <c r="I864" s="39" t="str">
        <f>TEXT(Call_Centre_Data[[#This Row],[Date of Call]],"DDDD")</f>
        <v>Sunday</v>
      </c>
      <c r="J864" s="39" t="str" cm="1">
        <f t="array" ref="J864">_xlfn.IFS(Call_Centre_Data[[#This Row],[Duration]]&lt;=10,"Under 10 Mins", Call_Centre_Data[[#This Row],[Duration]]&lt;=30,"10-30 Mins",Call_Centre_Data[[#This Row],[Duration]]&lt;=60,"30-60 Mins",Call_Centre_Data[[#This Row],[Duration]]&lt;=120,"1-2 Hours",TRUE,"More than 2 Hours")</f>
        <v>1-2 Hours</v>
      </c>
      <c r="K864" s="91">
        <f>ROUND(Call_Centre_Data[[#This Row],[Satisfaction Rating]],0)</f>
        <v>5</v>
      </c>
    </row>
    <row r="865" spans="1:11" x14ac:dyDescent="0.35">
      <c r="A865" s="56" t="s">
        <v>1870</v>
      </c>
      <c r="B865" s="57" t="s">
        <v>1060</v>
      </c>
      <c r="C865" s="87">
        <v>37</v>
      </c>
      <c r="D865" s="57" t="s">
        <v>989</v>
      </c>
      <c r="E865" s="58">
        <v>45222</v>
      </c>
      <c r="F865" s="57">
        <v>117</v>
      </c>
      <c r="G865" s="59">
        <v>4</v>
      </c>
      <c r="H865" s="57">
        <f>IF(MONTH(Call_Centre_Data[[#This Row],[Date of Call]])&lt;=6,YEAR(Call_Centre_Data[[#This Row],[Date of Call]]),YEAR(Call_Centre_Data[[#This Row],[Date of Call]])+1)</f>
        <v>2024</v>
      </c>
      <c r="I865" s="39" t="str">
        <f>TEXT(Call_Centre_Data[[#This Row],[Date of Call]],"DDDD")</f>
        <v>Monday</v>
      </c>
      <c r="J865" s="39" t="str" cm="1">
        <f t="array" ref="J865">_xlfn.IFS(Call_Centre_Data[[#This Row],[Duration]]&lt;=10,"Under 10 Mins", Call_Centre_Data[[#This Row],[Duration]]&lt;=30,"10-30 Mins",Call_Centre_Data[[#This Row],[Duration]]&lt;=60,"30-60 Mins",Call_Centre_Data[[#This Row],[Duration]]&lt;=120,"1-2 Hours",TRUE,"More than 2 Hours")</f>
        <v>30-60 Mins</v>
      </c>
      <c r="K865" s="91">
        <f>ROUND(Call_Centre_Data[[#This Row],[Satisfaction Rating]],0)</f>
        <v>4</v>
      </c>
    </row>
    <row r="866" spans="1:11" x14ac:dyDescent="0.35">
      <c r="A866" s="56" t="s">
        <v>1871</v>
      </c>
      <c r="B866" s="57" t="s">
        <v>1013</v>
      </c>
      <c r="C866" s="87">
        <v>96</v>
      </c>
      <c r="D866" s="57" t="s">
        <v>1004</v>
      </c>
      <c r="E866" s="58">
        <v>45222</v>
      </c>
      <c r="F866" s="57">
        <v>60</v>
      </c>
      <c r="G866" s="59">
        <v>4.5</v>
      </c>
      <c r="H866" s="57">
        <f>IF(MONTH(Call_Centre_Data[[#This Row],[Date of Call]])&lt;=6,YEAR(Call_Centre_Data[[#This Row],[Date of Call]]),YEAR(Call_Centre_Data[[#This Row],[Date of Call]])+1)</f>
        <v>2024</v>
      </c>
      <c r="I866" s="39" t="str">
        <f>TEXT(Call_Centre_Data[[#This Row],[Date of Call]],"DDDD")</f>
        <v>Monday</v>
      </c>
      <c r="J866" s="39" t="str" cm="1">
        <f t="array" ref="J866">_xlfn.IFS(Call_Centre_Data[[#This Row],[Duration]]&lt;=10,"Under 10 Mins", Call_Centre_Data[[#This Row],[Duration]]&lt;=30,"10-30 Mins",Call_Centre_Data[[#This Row],[Duration]]&lt;=60,"30-60 Mins",Call_Centre_Data[[#This Row],[Duration]]&lt;=120,"1-2 Hours",TRUE,"More than 2 Hours")</f>
        <v>1-2 Hours</v>
      </c>
      <c r="K866" s="91">
        <f>ROUND(Call_Centre_Data[[#This Row],[Satisfaction Rating]],0)</f>
        <v>5</v>
      </c>
    </row>
    <row r="867" spans="1:11" x14ac:dyDescent="0.35">
      <c r="A867" s="56" t="s">
        <v>1872</v>
      </c>
      <c r="B867" s="57" t="s">
        <v>998</v>
      </c>
      <c r="C867" s="87">
        <v>19</v>
      </c>
      <c r="D867" s="57" t="s">
        <v>1008</v>
      </c>
      <c r="E867" s="58">
        <v>45223</v>
      </c>
      <c r="F867" s="57">
        <v>58</v>
      </c>
      <c r="G867" s="59">
        <v>3.9</v>
      </c>
      <c r="H867" s="57">
        <f>IF(MONTH(Call_Centre_Data[[#This Row],[Date of Call]])&lt;=6,YEAR(Call_Centre_Data[[#This Row],[Date of Call]]),YEAR(Call_Centre_Data[[#This Row],[Date of Call]])+1)</f>
        <v>2024</v>
      </c>
      <c r="I867" s="39" t="str">
        <f>TEXT(Call_Centre_Data[[#This Row],[Date of Call]],"DDDD")</f>
        <v>Tuesday</v>
      </c>
      <c r="J867" s="39" t="str" cm="1">
        <f t="array" ref="J867">_xlfn.IFS(Call_Centre_Data[[#This Row],[Duration]]&lt;=10,"Under 10 Mins", Call_Centre_Data[[#This Row],[Duration]]&lt;=30,"10-30 Mins",Call_Centre_Data[[#This Row],[Duration]]&lt;=60,"30-60 Mins",Call_Centre_Data[[#This Row],[Duration]]&lt;=120,"1-2 Hours",TRUE,"More than 2 Hours")</f>
        <v>10-30 Mins</v>
      </c>
      <c r="K867" s="91">
        <f>ROUND(Call_Centre_Data[[#This Row],[Satisfaction Rating]],0)</f>
        <v>4</v>
      </c>
    </row>
    <row r="868" spans="1:11" x14ac:dyDescent="0.35">
      <c r="A868" s="56" t="s">
        <v>1873</v>
      </c>
      <c r="B868" s="57" t="s">
        <v>1030</v>
      </c>
      <c r="C868" s="87">
        <v>72</v>
      </c>
      <c r="D868" s="57" t="s">
        <v>989</v>
      </c>
      <c r="E868" s="58">
        <v>45223</v>
      </c>
      <c r="F868" s="57">
        <v>41</v>
      </c>
      <c r="G868" s="59">
        <v>4.3</v>
      </c>
      <c r="H868" s="57">
        <f>IF(MONTH(Call_Centre_Data[[#This Row],[Date of Call]])&lt;=6,YEAR(Call_Centre_Data[[#This Row],[Date of Call]]),YEAR(Call_Centre_Data[[#This Row],[Date of Call]])+1)</f>
        <v>2024</v>
      </c>
      <c r="I868" s="39" t="str">
        <f>TEXT(Call_Centre_Data[[#This Row],[Date of Call]],"DDDD")</f>
        <v>Tuesday</v>
      </c>
      <c r="J868" s="39" t="str" cm="1">
        <f t="array" ref="J868">_xlfn.IFS(Call_Centre_Data[[#This Row],[Duration]]&lt;=10,"Under 10 Mins", Call_Centre_Data[[#This Row],[Duration]]&lt;=30,"10-30 Mins",Call_Centre_Data[[#This Row],[Duration]]&lt;=60,"30-60 Mins",Call_Centre_Data[[#This Row],[Duration]]&lt;=120,"1-2 Hours",TRUE,"More than 2 Hours")</f>
        <v>1-2 Hours</v>
      </c>
      <c r="K868" s="91">
        <f>ROUND(Call_Centre_Data[[#This Row],[Satisfaction Rating]],0)</f>
        <v>4</v>
      </c>
    </row>
    <row r="869" spans="1:11" x14ac:dyDescent="0.35">
      <c r="A869" s="56" t="s">
        <v>1874</v>
      </c>
      <c r="B869" s="57" t="s">
        <v>996</v>
      </c>
      <c r="C869" s="87">
        <v>73</v>
      </c>
      <c r="D869" s="57" t="s">
        <v>994</v>
      </c>
      <c r="E869" s="58">
        <v>45223</v>
      </c>
      <c r="F869" s="57">
        <v>180</v>
      </c>
      <c r="G869" s="59">
        <v>3.6</v>
      </c>
      <c r="H869" s="57">
        <f>IF(MONTH(Call_Centre_Data[[#This Row],[Date of Call]])&lt;=6,YEAR(Call_Centre_Data[[#This Row],[Date of Call]]),YEAR(Call_Centre_Data[[#This Row],[Date of Call]])+1)</f>
        <v>2024</v>
      </c>
      <c r="I869" s="39" t="str">
        <f>TEXT(Call_Centre_Data[[#This Row],[Date of Call]],"DDDD")</f>
        <v>Tuesday</v>
      </c>
      <c r="J869" s="39" t="str" cm="1">
        <f t="array" ref="J869">_xlfn.IFS(Call_Centre_Data[[#This Row],[Duration]]&lt;=10,"Under 10 Mins", Call_Centre_Data[[#This Row],[Duration]]&lt;=30,"10-30 Mins",Call_Centre_Data[[#This Row],[Duration]]&lt;=60,"30-60 Mins",Call_Centre_Data[[#This Row],[Duration]]&lt;=120,"1-2 Hours",TRUE,"More than 2 Hours")</f>
        <v>1-2 Hours</v>
      </c>
      <c r="K869" s="91">
        <f>ROUND(Call_Centre_Data[[#This Row],[Satisfaction Rating]],0)</f>
        <v>4</v>
      </c>
    </row>
    <row r="870" spans="1:11" x14ac:dyDescent="0.35">
      <c r="A870" s="56" t="s">
        <v>1875</v>
      </c>
      <c r="B870" s="57" t="s">
        <v>1040</v>
      </c>
      <c r="C870" s="87">
        <v>87</v>
      </c>
      <c r="D870" s="57" t="s">
        <v>994</v>
      </c>
      <c r="E870" s="58">
        <v>45223</v>
      </c>
      <c r="F870" s="57">
        <v>42</v>
      </c>
      <c r="G870" s="59">
        <v>3.6</v>
      </c>
      <c r="H870" s="57">
        <f>IF(MONTH(Call_Centre_Data[[#This Row],[Date of Call]])&lt;=6,YEAR(Call_Centre_Data[[#This Row],[Date of Call]]),YEAR(Call_Centre_Data[[#This Row],[Date of Call]])+1)</f>
        <v>2024</v>
      </c>
      <c r="I870" s="39" t="str">
        <f>TEXT(Call_Centre_Data[[#This Row],[Date of Call]],"DDDD")</f>
        <v>Tuesday</v>
      </c>
      <c r="J870" s="39" t="str" cm="1">
        <f t="array" ref="J870">_xlfn.IFS(Call_Centre_Data[[#This Row],[Duration]]&lt;=10,"Under 10 Mins", Call_Centre_Data[[#This Row],[Duration]]&lt;=30,"10-30 Mins",Call_Centre_Data[[#This Row],[Duration]]&lt;=60,"30-60 Mins",Call_Centre_Data[[#This Row],[Duration]]&lt;=120,"1-2 Hours",TRUE,"More than 2 Hours")</f>
        <v>1-2 Hours</v>
      </c>
      <c r="K870" s="91">
        <f>ROUND(Call_Centre_Data[[#This Row],[Satisfaction Rating]],0)</f>
        <v>4</v>
      </c>
    </row>
    <row r="871" spans="1:11" x14ac:dyDescent="0.35">
      <c r="A871" s="56" t="s">
        <v>1876</v>
      </c>
      <c r="B871" s="57" t="s">
        <v>1040</v>
      </c>
      <c r="C871" s="87">
        <v>68</v>
      </c>
      <c r="D871" s="57" t="s">
        <v>994</v>
      </c>
      <c r="E871" s="58">
        <v>45224</v>
      </c>
      <c r="F871" s="57">
        <v>24</v>
      </c>
      <c r="G871" s="59">
        <v>4</v>
      </c>
      <c r="H871" s="57">
        <f>IF(MONTH(Call_Centre_Data[[#This Row],[Date of Call]])&lt;=6,YEAR(Call_Centre_Data[[#This Row],[Date of Call]]),YEAR(Call_Centre_Data[[#This Row],[Date of Call]])+1)</f>
        <v>2024</v>
      </c>
      <c r="I871" s="39" t="str">
        <f>TEXT(Call_Centre_Data[[#This Row],[Date of Call]],"DDDD")</f>
        <v>Wednesday</v>
      </c>
      <c r="J871" s="39" t="str" cm="1">
        <f t="array" ref="J871">_xlfn.IFS(Call_Centre_Data[[#This Row],[Duration]]&lt;=10,"Under 10 Mins", Call_Centre_Data[[#This Row],[Duration]]&lt;=30,"10-30 Mins",Call_Centre_Data[[#This Row],[Duration]]&lt;=60,"30-60 Mins",Call_Centre_Data[[#This Row],[Duration]]&lt;=120,"1-2 Hours",TRUE,"More than 2 Hours")</f>
        <v>1-2 Hours</v>
      </c>
      <c r="K871" s="91">
        <f>ROUND(Call_Centre_Data[[#This Row],[Satisfaction Rating]],0)</f>
        <v>4</v>
      </c>
    </row>
    <row r="872" spans="1:11" x14ac:dyDescent="0.35">
      <c r="A872" s="56" t="s">
        <v>1877</v>
      </c>
      <c r="B872" s="57" t="s">
        <v>1030</v>
      </c>
      <c r="C872" s="87">
        <v>101</v>
      </c>
      <c r="D872" s="57" t="s">
        <v>994</v>
      </c>
      <c r="E872" s="58">
        <v>45224</v>
      </c>
      <c r="F872" s="57">
        <v>125</v>
      </c>
      <c r="G872" s="59">
        <v>4.2</v>
      </c>
      <c r="H872" s="57">
        <f>IF(MONTH(Call_Centre_Data[[#This Row],[Date of Call]])&lt;=6,YEAR(Call_Centre_Data[[#This Row],[Date of Call]]),YEAR(Call_Centre_Data[[#This Row],[Date of Call]])+1)</f>
        <v>2024</v>
      </c>
      <c r="I872" s="39" t="str">
        <f>TEXT(Call_Centre_Data[[#This Row],[Date of Call]],"DDDD")</f>
        <v>Wednesday</v>
      </c>
      <c r="J872" s="39" t="str" cm="1">
        <f t="array" ref="J872">_xlfn.IFS(Call_Centre_Data[[#This Row],[Duration]]&lt;=10,"Under 10 Mins", Call_Centre_Data[[#This Row],[Duration]]&lt;=30,"10-30 Mins",Call_Centre_Data[[#This Row],[Duration]]&lt;=60,"30-60 Mins",Call_Centre_Data[[#This Row],[Duration]]&lt;=120,"1-2 Hours",TRUE,"More than 2 Hours")</f>
        <v>1-2 Hours</v>
      </c>
      <c r="K872" s="91">
        <f>ROUND(Call_Centre_Data[[#This Row],[Satisfaction Rating]],0)</f>
        <v>4</v>
      </c>
    </row>
    <row r="873" spans="1:11" x14ac:dyDescent="0.35">
      <c r="A873" s="56" t="s">
        <v>1878</v>
      </c>
      <c r="B873" s="57" t="s">
        <v>1030</v>
      </c>
      <c r="C873" s="87">
        <v>107</v>
      </c>
      <c r="D873" s="57" t="s">
        <v>989</v>
      </c>
      <c r="E873" s="58">
        <v>45225</v>
      </c>
      <c r="F873" s="57">
        <v>78</v>
      </c>
      <c r="G873" s="59">
        <v>4.3</v>
      </c>
      <c r="H873" s="57">
        <f>IF(MONTH(Call_Centre_Data[[#This Row],[Date of Call]])&lt;=6,YEAR(Call_Centre_Data[[#This Row],[Date of Call]]),YEAR(Call_Centre_Data[[#This Row],[Date of Call]])+1)</f>
        <v>2024</v>
      </c>
      <c r="I873" s="39" t="str">
        <f>TEXT(Call_Centre_Data[[#This Row],[Date of Call]],"DDDD")</f>
        <v>Thursday</v>
      </c>
      <c r="J873" s="39" t="str" cm="1">
        <f t="array" ref="J873">_xlfn.IFS(Call_Centre_Data[[#This Row],[Duration]]&lt;=10,"Under 10 Mins", Call_Centre_Data[[#This Row],[Duration]]&lt;=30,"10-30 Mins",Call_Centre_Data[[#This Row],[Duration]]&lt;=60,"30-60 Mins",Call_Centre_Data[[#This Row],[Duration]]&lt;=120,"1-2 Hours",TRUE,"More than 2 Hours")</f>
        <v>1-2 Hours</v>
      </c>
      <c r="K873" s="91">
        <f>ROUND(Call_Centre_Data[[#This Row],[Satisfaction Rating]],0)</f>
        <v>4</v>
      </c>
    </row>
    <row r="874" spans="1:11" x14ac:dyDescent="0.35">
      <c r="A874" s="56" t="s">
        <v>1879</v>
      </c>
      <c r="B874" s="57" t="s">
        <v>1019</v>
      </c>
      <c r="C874" s="87">
        <v>109</v>
      </c>
      <c r="D874" s="57" t="s">
        <v>999</v>
      </c>
      <c r="E874" s="58">
        <v>45225</v>
      </c>
      <c r="F874" s="57">
        <v>180</v>
      </c>
      <c r="G874" s="59">
        <v>3.8</v>
      </c>
      <c r="H874" s="57">
        <f>IF(MONTH(Call_Centre_Data[[#This Row],[Date of Call]])&lt;=6,YEAR(Call_Centre_Data[[#This Row],[Date of Call]]),YEAR(Call_Centre_Data[[#This Row],[Date of Call]])+1)</f>
        <v>2024</v>
      </c>
      <c r="I874" s="39" t="str">
        <f>TEXT(Call_Centre_Data[[#This Row],[Date of Call]],"DDDD")</f>
        <v>Thursday</v>
      </c>
      <c r="J874" s="39" t="str" cm="1">
        <f t="array" ref="J874">_xlfn.IFS(Call_Centre_Data[[#This Row],[Duration]]&lt;=10,"Under 10 Mins", Call_Centre_Data[[#This Row],[Duration]]&lt;=30,"10-30 Mins",Call_Centre_Data[[#This Row],[Duration]]&lt;=60,"30-60 Mins",Call_Centre_Data[[#This Row],[Duration]]&lt;=120,"1-2 Hours",TRUE,"More than 2 Hours")</f>
        <v>1-2 Hours</v>
      </c>
      <c r="K874" s="91">
        <f>ROUND(Call_Centre_Data[[#This Row],[Satisfaction Rating]],0)</f>
        <v>4</v>
      </c>
    </row>
    <row r="875" spans="1:11" x14ac:dyDescent="0.35">
      <c r="A875" s="56" t="s">
        <v>1880</v>
      </c>
      <c r="B875" s="57" t="s">
        <v>1011</v>
      </c>
      <c r="C875" s="87">
        <v>171</v>
      </c>
      <c r="D875" s="57" t="s">
        <v>989</v>
      </c>
      <c r="E875" s="58">
        <v>45225</v>
      </c>
      <c r="F875" s="57">
        <v>84</v>
      </c>
      <c r="G875" s="59">
        <v>4.4000000000000004</v>
      </c>
      <c r="H875" s="57">
        <f>IF(MONTH(Call_Centre_Data[[#This Row],[Date of Call]])&lt;=6,YEAR(Call_Centre_Data[[#This Row],[Date of Call]]),YEAR(Call_Centre_Data[[#This Row],[Date of Call]])+1)</f>
        <v>2024</v>
      </c>
      <c r="I875" s="39" t="str">
        <f>TEXT(Call_Centre_Data[[#This Row],[Date of Call]],"DDDD")</f>
        <v>Thursday</v>
      </c>
      <c r="J875" s="39" t="str" cm="1">
        <f t="array" ref="J875">_xlfn.IFS(Call_Centre_Data[[#This Row],[Duration]]&lt;=10,"Under 10 Mins", Call_Centre_Data[[#This Row],[Duration]]&lt;=30,"10-30 Mins",Call_Centre_Data[[#This Row],[Duration]]&lt;=60,"30-60 Mins",Call_Centre_Data[[#This Row],[Duration]]&lt;=120,"1-2 Hours",TRUE,"More than 2 Hours")</f>
        <v>More than 2 Hours</v>
      </c>
      <c r="K875" s="91">
        <f>ROUND(Call_Centre_Data[[#This Row],[Satisfaction Rating]],0)</f>
        <v>4</v>
      </c>
    </row>
    <row r="876" spans="1:11" x14ac:dyDescent="0.35">
      <c r="A876" s="56" t="s">
        <v>1881</v>
      </c>
      <c r="B876" s="57" t="s">
        <v>998</v>
      </c>
      <c r="C876" s="87">
        <v>21</v>
      </c>
      <c r="D876" s="57" t="s">
        <v>989</v>
      </c>
      <c r="E876" s="58">
        <v>45225</v>
      </c>
      <c r="F876" s="57">
        <v>26</v>
      </c>
      <c r="G876" s="59">
        <v>4.7</v>
      </c>
      <c r="H876" s="57">
        <f>IF(MONTH(Call_Centre_Data[[#This Row],[Date of Call]])&lt;=6,YEAR(Call_Centre_Data[[#This Row],[Date of Call]]),YEAR(Call_Centre_Data[[#This Row],[Date of Call]])+1)</f>
        <v>2024</v>
      </c>
      <c r="I876" s="39" t="str">
        <f>TEXT(Call_Centre_Data[[#This Row],[Date of Call]],"DDDD")</f>
        <v>Thursday</v>
      </c>
      <c r="J876" s="39" t="str" cm="1">
        <f t="array" ref="J876">_xlfn.IFS(Call_Centre_Data[[#This Row],[Duration]]&lt;=10,"Under 10 Mins", Call_Centre_Data[[#This Row],[Duration]]&lt;=30,"10-30 Mins",Call_Centre_Data[[#This Row],[Duration]]&lt;=60,"30-60 Mins",Call_Centre_Data[[#This Row],[Duration]]&lt;=120,"1-2 Hours",TRUE,"More than 2 Hours")</f>
        <v>10-30 Mins</v>
      </c>
      <c r="K876" s="91">
        <f>ROUND(Call_Centre_Data[[#This Row],[Satisfaction Rating]],0)</f>
        <v>5</v>
      </c>
    </row>
    <row r="877" spans="1:11" x14ac:dyDescent="0.35">
      <c r="A877" s="56" t="s">
        <v>1882</v>
      </c>
      <c r="B877" s="57" t="s">
        <v>991</v>
      </c>
      <c r="C877" s="87">
        <v>94</v>
      </c>
      <c r="D877" s="57" t="s">
        <v>989</v>
      </c>
      <c r="E877" s="58">
        <v>45226</v>
      </c>
      <c r="F877" s="57">
        <v>140</v>
      </c>
      <c r="G877" s="59">
        <v>3.6</v>
      </c>
      <c r="H877" s="57">
        <f>IF(MONTH(Call_Centre_Data[[#This Row],[Date of Call]])&lt;=6,YEAR(Call_Centre_Data[[#This Row],[Date of Call]]),YEAR(Call_Centre_Data[[#This Row],[Date of Call]])+1)</f>
        <v>2024</v>
      </c>
      <c r="I877" s="39" t="str">
        <f>TEXT(Call_Centre_Data[[#This Row],[Date of Call]],"DDDD")</f>
        <v>Friday</v>
      </c>
      <c r="J877" s="39" t="str" cm="1">
        <f t="array" ref="J877">_xlfn.IFS(Call_Centre_Data[[#This Row],[Duration]]&lt;=10,"Under 10 Mins", Call_Centre_Data[[#This Row],[Duration]]&lt;=30,"10-30 Mins",Call_Centre_Data[[#This Row],[Duration]]&lt;=60,"30-60 Mins",Call_Centre_Data[[#This Row],[Duration]]&lt;=120,"1-2 Hours",TRUE,"More than 2 Hours")</f>
        <v>1-2 Hours</v>
      </c>
      <c r="K877" s="91">
        <f>ROUND(Call_Centre_Data[[#This Row],[Satisfaction Rating]],0)</f>
        <v>4</v>
      </c>
    </row>
    <row r="878" spans="1:11" x14ac:dyDescent="0.35">
      <c r="A878" s="56" t="s">
        <v>1883</v>
      </c>
      <c r="B878" s="57" t="s">
        <v>996</v>
      </c>
      <c r="C878" s="87">
        <v>97</v>
      </c>
      <c r="D878" s="57" t="s">
        <v>999</v>
      </c>
      <c r="E878" s="58">
        <v>45226</v>
      </c>
      <c r="F878" s="57">
        <v>31</v>
      </c>
      <c r="G878" s="59">
        <v>2.2000000000000002</v>
      </c>
      <c r="H878" s="57">
        <f>IF(MONTH(Call_Centre_Data[[#This Row],[Date of Call]])&lt;=6,YEAR(Call_Centre_Data[[#This Row],[Date of Call]]),YEAR(Call_Centre_Data[[#This Row],[Date of Call]])+1)</f>
        <v>2024</v>
      </c>
      <c r="I878" s="39" t="str">
        <f>TEXT(Call_Centre_Data[[#This Row],[Date of Call]],"DDDD")</f>
        <v>Friday</v>
      </c>
      <c r="J878" s="39" t="str" cm="1">
        <f t="array" ref="J878">_xlfn.IFS(Call_Centre_Data[[#This Row],[Duration]]&lt;=10,"Under 10 Mins", Call_Centre_Data[[#This Row],[Duration]]&lt;=30,"10-30 Mins",Call_Centre_Data[[#This Row],[Duration]]&lt;=60,"30-60 Mins",Call_Centre_Data[[#This Row],[Duration]]&lt;=120,"1-2 Hours",TRUE,"More than 2 Hours")</f>
        <v>1-2 Hours</v>
      </c>
      <c r="K878" s="91">
        <f>ROUND(Call_Centre_Data[[#This Row],[Satisfaction Rating]],0)</f>
        <v>2</v>
      </c>
    </row>
    <row r="879" spans="1:11" x14ac:dyDescent="0.35">
      <c r="A879" s="56" t="s">
        <v>1884</v>
      </c>
      <c r="B879" s="57" t="s">
        <v>1013</v>
      </c>
      <c r="C879" s="87">
        <v>72</v>
      </c>
      <c r="D879" s="57" t="s">
        <v>999</v>
      </c>
      <c r="E879" s="58">
        <v>45226</v>
      </c>
      <c r="F879" s="57">
        <v>108</v>
      </c>
      <c r="G879" s="59">
        <v>4.8</v>
      </c>
      <c r="H879" s="57">
        <f>IF(MONTH(Call_Centre_Data[[#This Row],[Date of Call]])&lt;=6,YEAR(Call_Centre_Data[[#This Row],[Date of Call]]),YEAR(Call_Centre_Data[[#This Row],[Date of Call]])+1)</f>
        <v>2024</v>
      </c>
      <c r="I879" s="39" t="str">
        <f>TEXT(Call_Centre_Data[[#This Row],[Date of Call]],"DDDD")</f>
        <v>Friday</v>
      </c>
      <c r="J879" s="39" t="str" cm="1">
        <f t="array" ref="J879">_xlfn.IFS(Call_Centre_Data[[#This Row],[Duration]]&lt;=10,"Under 10 Mins", Call_Centre_Data[[#This Row],[Duration]]&lt;=30,"10-30 Mins",Call_Centre_Data[[#This Row],[Duration]]&lt;=60,"30-60 Mins",Call_Centre_Data[[#This Row],[Duration]]&lt;=120,"1-2 Hours",TRUE,"More than 2 Hours")</f>
        <v>1-2 Hours</v>
      </c>
      <c r="K879" s="91">
        <f>ROUND(Call_Centre_Data[[#This Row],[Satisfaction Rating]],0)</f>
        <v>5</v>
      </c>
    </row>
    <row r="880" spans="1:11" x14ac:dyDescent="0.35">
      <c r="A880" s="56" t="s">
        <v>1885</v>
      </c>
      <c r="B880" s="57" t="s">
        <v>1011</v>
      </c>
      <c r="C880" s="87">
        <v>143</v>
      </c>
      <c r="D880" s="57" t="s">
        <v>1004</v>
      </c>
      <c r="E880" s="58">
        <v>45227</v>
      </c>
      <c r="F880" s="57">
        <v>58</v>
      </c>
      <c r="G880" s="59">
        <v>4.3</v>
      </c>
      <c r="H880" s="57">
        <f>IF(MONTH(Call_Centre_Data[[#This Row],[Date of Call]])&lt;=6,YEAR(Call_Centre_Data[[#This Row],[Date of Call]]),YEAR(Call_Centre_Data[[#This Row],[Date of Call]])+1)</f>
        <v>2024</v>
      </c>
      <c r="I880" s="39" t="str">
        <f>TEXT(Call_Centre_Data[[#This Row],[Date of Call]],"DDDD")</f>
        <v>Saturday</v>
      </c>
      <c r="J880" s="39" t="str" cm="1">
        <f t="array" ref="J880">_xlfn.IFS(Call_Centre_Data[[#This Row],[Duration]]&lt;=10,"Under 10 Mins", Call_Centre_Data[[#This Row],[Duration]]&lt;=30,"10-30 Mins",Call_Centre_Data[[#This Row],[Duration]]&lt;=60,"30-60 Mins",Call_Centre_Data[[#This Row],[Duration]]&lt;=120,"1-2 Hours",TRUE,"More than 2 Hours")</f>
        <v>More than 2 Hours</v>
      </c>
      <c r="K880" s="91">
        <f>ROUND(Call_Centre_Data[[#This Row],[Satisfaction Rating]],0)</f>
        <v>4</v>
      </c>
    </row>
    <row r="881" spans="1:11" x14ac:dyDescent="0.35">
      <c r="A881" s="56" t="s">
        <v>1886</v>
      </c>
      <c r="B881" s="57" t="s">
        <v>1011</v>
      </c>
      <c r="C881" s="87">
        <v>64</v>
      </c>
      <c r="D881" s="57" t="s">
        <v>999</v>
      </c>
      <c r="E881" s="58">
        <v>45227</v>
      </c>
      <c r="F881" s="57">
        <v>185</v>
      </c>
      <c r="G881" s="59">
        <v>2.2000000000000002</v>
      </c>
      <c r="H881" s="57">
        <f>IF(MONTH(Call_Centre_Data[[#This Row],[Date of Call]])&lt;=6,YEAR(Call_Centre_Data[[#This Row],[Date of Call]]),YEAR(Call_Centre_Data[[#This Row],[Date of Call]])+1)</f>
        <v>2024</v>
      </c>
      <c r="I881" s="39" t="str">
        <f>TEXT(Call_Centre_Data[[#This Row],[Date of Call]],"DDDD")</f>
        <v>Saturday</v>
      </c>
      <c r="J881" s="39" t="str" cm="1">
        <f t="array" ref="J881">_xlfn.IFS(Call_Centre_Data[[#This Row],[Duration]]&lt;=10,"Under 10 Mins", Call_Centre_Data[[#This Row],[Duration]]&lt;=30,"10-30 Mins",Call_Centre_Data[[#This Row],[Duration]]&lt;=60,"30-60 Mins",Call_Centre_Data[[#This Row],[Duration]]&lt;=120,"1-2 Hours",TRUE,"More than 2 Hours")</f>
        <v>1-2 Hours</v>
      </c>
      <c r="K881" s="91">
        <f>ROUND(Call_Centre_Data[[#This Row],[Satisfaction Rating]],0)</f>
        <v>2</v>
      </c>
    </row>
    <row r="882" spans="1:11" x14ac:dyDescent="0.35">
      <c r="A882" s="56" t="s">
        <v>1887</v>
      </c>
      <c r="B882" s="57" t="s">
        <v>1011</v>
      </c>
      <c r="C882" s="87">
        <v>69</v>
      </c>
      <c r="D882" s="57" t="s">
        <v>999</v>
      </c>
      <c r="E882" s="58">
        <v>45227</v>
      </c>
      <c r="F882" s="57">
        <v>40</v>
      </c>
      <c r="G882" s="59">
        <v>4.8</v>
      </c>
      <c r="H882" s="57">
        <f>IF(MONTH(Call_Centre_Data[[#This Row],[Date of Call]])&lt;=6,YEAR(Call_Centre_Data[[#This Row],[Date of Call]]),YEAR(Call_Centre_Data[[#This Row],[Date of Call]])+1)</f>
        <v>2024</v>
      </c>
      <c r="I882" s="39" t="str">
        <f>TEXT(Call_Centre_Data[[#This Row],[Date of Call]],"DDDD")</f>
        <v>Saturday</v>
      </c>
      <c r="J882" s="39" t="str" cm="1">
        <f t="array" ref="J882">_xlfn.IFS(Call_Centre_Data[[#This Row],[Duration]]&lt;=10,"Under 10 Mins", Call_Centre_Data[[#This Row],[Duration]]&lt;=30,"10-30 Mins",Call_Centre_Data[[#This Row],[Duration]]&lt;=60,"30-60 Mins",Call_Centre_Data[[#This Row],[Duration]]&lt;=120,"1-2 Hours",TRUE,"More than 2 Hours")</f>
        <v>1-2 Hours</v>
      </c>
      <c r="K882" s="91">
        <f>ROUND(Call_Centre_Data[[#This Row],[Satisfaction Rating]],0)</f>
        <v>5</v>
      </c>
    </row>
    <row r="883" spans="1:11" x14ac:dyDescent="0.35">
      <c r="A883" s="56" t="s">
        <v>1888</v>
      </c>
      <c r="B883" s="57" t="s">
        <v>1011</v>
      </c>
      <c r="C883" s="87">
        <v>18</v>
      </c>
      <c r="D883" s="57" t="s">
        <v>1008</v>
      </c>
      <c r="E883" s="58">
        <v>45227</v>
      </c>
      <c r="F883" s="57">
        <v>225</v>
      </c>
      <c r="G883" s="59">
        <v>2.6</v>
      </c>
      <c r="H883" s="57">
        <f>IF(MONTH(Call_Centre_Data[[#This Row],[Date of Call]])&lt;=6,YEAR(Call_Centre_Data[[#This Row],[Date of Call]]),YEAR(Call_Centre_Data[[#This Row],[Date of Call]])+1)</f>
        <v>2024</v>
      </c>
      <c r="I883" s="39" t="str">
        <f>TEXT(Call_Centre_Data[[#This Row],[Date of Call]],"DDDD")</f>
        <v>Saturday</v>
      </c>
      <c r="J883" s="39" t="str" cm="1">
        <f t="array" ref="J883">_xlfn.IFS(Call_Centre_Data[[#This Row],[Duration]]&lt;=10,"Under 10 Mins", Call_Centre_Data[[#This Row],[Duration]]&lt;=30,"10-30 Mins",Call_Centre_Data[[#This Row],[Duration]]&lt;=60,"30-60 Mins",Call_Centre_Data[[#This Row],[Duration]]&lt;=120,"1-2 Hours",TRUE,"More than 2 Hours")</f>
        <v>10-30 Mins</v>
      </c>
      <c r="K883" s="91">
        <f>ROUND(Call_Centre_Data[[#This Row],[Satisfaction Rating]],0)</f>
        <v>3</v>
      </c>
    </row>
    <row r="884" spans="1:11" x14ac:dyDescent="0.35">
      <c r="A884" s="56" t="s">
        <v>1889</v>
      </c>
      <c r="B884" s="57" t="s">
        <v>996</v>
      </c>
      <c r="C884" s="87">
        <v>100</v>
      </c>
      <c r="D884" s="57" t="s">
        <v>1004</v>
      </c>
      <c r="E884" s="58">
        <v>45227</v>
      </c>
      <c r="F884" s="57">
        <v>150</v>
      </c>
      <c r="G884" s="59">
        <v>2.6</v>
      </c>
      <c r="H884" s="57">
        <f>IF(MONTH(Call_Centre_Data[[#This Row],[Date of Call]])&lt;=6,YEAR(Call_Centre_Data[[#This Row],[Date of Call]]),YEAR(Call_Centre_Data[[#This Row],[Date of Call]])+1)</f>
        <v>2024</v>
      </c>
      <c r="I884" s="39" t="str">
        <f>TEXT(Call_Centre_Data[[#This Row],[Date of Call]],"DDDD")</f>
        <v>Saturday</v>
      </c>
      <c r="J884" s="39" t="str" cm="1">
        <f t="array" ref="J884">_xlfn.IFS(Call_Centre_Data[[#This Row],[Duration]]&lt;=10,"Under 10 Mins", Call_Centre_Data[[#This Row],[Duration]]&lt;=30,"10-30 Mins",Call_Centre_Data[[#This Row],[Duration]]&lt;=60,"30-60 Mins",Call_Centre_Data[[#This Row],[Duration]]&lt;=120,"1-2 Hours",TRUE,"More than 2 Hours")</f>
        <v>1-2 Hours</v>
      </c>
      <c r="K884" s="91">
        <f>ROUND(Call_Centre_Data[[#This Row],[Satisfaction Rating]],0)</f>
        <v>3</v>
      </c>
    </row>
    <row r="885" spans="1:11" x14ac:dyDescent="0.35">
      <c r="A885" s="56" t="s">
        <v>1890</v>
      </c>
      <c r="B885" s="57" t="s">
        <v>1007</v>
      </c>
      <c r="C885" s="87">
        <v>110</v>
      </c>
      <c r="D885" s="57" t="s">
        <v>994</v>
      </c>
      <c r="E885" s="58">
        <v>45228</v>
      </c>
      <c r="F885" s="57">
        <v>88</v>
      </c>
      <c r="G885" s="59">
        <v>3.4</v>
      </c>
      <c r="H885" s="57">
        <f>IF(MONTH(Call_Centre_Data[[#This Row],[Date of Call]])&lt;=6,YEAR(Call_Centre_Data[[#This Row],[Date of Call]]),YEAR(Call_Centre_Data[[#This Row],[Date of Call]])+1)</f>
        <v>2024</v>
      </c>
      <c r="I885" s="39" t="str">
        <f>TEXT(Call_Centre_Data[[#This Row],[Date of Call]],"DDDD")</f>
        <v>Sunday</v>
      </c>
      <c r="J885" s="39" t="str" cm="1">
        <f t="array" ref="J885">_xlfn.IFS(Call_Centre_Data[[#This Row],[Duration]]&lt;=10,"Under 10 Mins", Call_Centre_Data[[#This Row],[Duration]]&lt;=30,"10-30 Mins",Call_Centre_Data[[#This Row],[Duration]]&lt;=60,"30-60 Mins",Call_Centre_Data[[#This Row],[Duration]]&lt;=120,"1-2 Hours",TRUE,"More than 2 Hours")</f>
        <v>1-2 Hours</v>
      </c>
      <c r="K885" s="91">
        <f>ROUND(Call_Centre_Data[[#This Row],[Satisfaction Rating]],0)</f>
        <v>3</v>
      </c>
    </row>
    <row r="886" spans="1:11" x14ac:dyDescent="0.35">
      <c r="A886" s="56" t="s">
        <v>1891</v>
      </c>
      <c r="B886" s="57" t="s">
        <v>1022</v>
      </c>
      <c r="C886" s="87">
        <v>41</v>
      </c>
      <c r="D886" s="57" t="s">
        <v>989</v>
      </c>
      <c r="E886" s="58">
        <v>45228</v>
      </c>
      <c r="F886" s="57">
        <v>140</v>
      </c>
      <c r="G886" s="59">
        <v>3.7</v>
      </c>
      <c r="H886" s="57">
        <f>IF(MONTH(Call_Centre_Data[[#This Row],[Date of Call]])&lt;=6,YEAR(Call_Centre_Data[[#This Row],[Date of Call]]),YEAR(Call_Centre_Data[[#This Row],[Date of Call]])+1)</f>
        <v>2024</v>
      </c>
      <c r="I886" s="39" t="str">
        <f>TEXT(Call_Centre_Data[[#This Row],[Date of Call]],"DDDD")</f>
        <v>Sunday</v>
      </c>
      <c r="J886" s="39" t="str" cm="1">
        <f t="array" ref="J886">_xlfn.IFS(Call_Centre_Data[[#This Row],[Duration]]&lt;=10,"Under 10 Mins", Call_Centre_Data[[#This Row],[Duration]]&lt;=30,"10-30 Mins",Call_Centre_Data[[#This Row],[Duration]]&lt;=60,"30-60 Mins",Call_Centre_Data[[#This Row],[Duration]]&lt;=120,"1-2 Hours",TRUE,"More than 2 Hours")</f>
        <v>30-60 Mins</v>
      </c>
      <c r="K886" s="91">
        <f>ROUND(Call_Centre_Data[[#This Row],[Satisfaction Rating]],0)</f>
        <v>4</v>
      </c>
    </row>
    <row r="887" spans="1:11" x14ac:dyDescent="0.35">
      <c r="A887" s="56" t="s">
        <v>1892</v>
      </c>
      <c r="B887" s="57" t="s">
        <v>1007</v>
      </c>
      <c r="C887" s="87">
        <v>147</v>
      </c>
      <c r="D887" s="57" t="s">
        <v>994</v>
      </c>
      <c r="E887" s="58">
        <v>45228</v>
      </c>
      <c r="F887" s="57">
        <v>68</v>
      </c>
      <c r="G887" s="59">
        <v>2.1</v>
      </c>
      <c r="H887" s="57">
        <f>IF(MONTH(Call_Centre_Data[[#This Row],[Date of Call]])&lt;=6,YEAR(Call_Centre_Data[[#This Row],[Date of Call]]),YEAR(Call_Centre_Data[[#This Row],[Date of Call]])+1)</f>
        <v>2024</v>
      </c>
      <c r="I887" s="39" t="str">
        <f>TEXT(Call_Centre_Data[[#This Row],[Date of Call]],"DDDD")</f>
        <v>Sunday</v>
      </c>
      <c r="J887" s="39" t="str" cm="1">
        <f t="array" ref="J887">_xlfn.IFS(Call_Centre_Data[[#This Row],[Duration]]&lt;=10,"Under 10 Mins", Call_Centre_Data[[#This Row],[Duration]]&lt;=30,"10-30 Mins",Call_Centre_Data[[#This Row],[Duration]]&lt;=60,"30-60 Mins",Call_Centre_Data[[#This Row],[Duration]]&lt;=120,"1-2 Hours",TRUE,"More than 2 Hours")</f>
        <v>More than 2 Hours</v>
      </c>
      <c r="K887" s="91">
        <f>ROUND(Call_Centre_Data[[#This Row],[Satisfaction Rating]],0)</f>
        <v>2</v>
      </c>
    </row>
    <row r="888" spans="1:11" x14ac:dyDescent="0.35">
      <c r="A888" s="56" t="s">
        <v>1893</v>
      </c>
      <c r="B888" s="57" t="s">
        <v>991</v>
      </c>
      <c r="C888" s="87">
        <v>31</v>
      </c>
      <c r="D888" s="57" t="s">
        <v>1008</v>
      </c>
      <c r="E888" s="58">
        <v>45229</v>
      </c>
      <c r="F888" s="57">
        <v>105</v>
      </c>
      <c r="G888" s="59">
        <v>3.6</v>
      </c>
      <c r="H888" s="57">
        <f>IF(MONTH(Call_Centre_Data[[#This Row],[Date of Call]])&lt;=6,YEAR(Call_Centre_Data[[#This Row],[Date of Call]]),YEAR(Call_Centre_Data[[#This Row],[Date of Call]])+1)</f>
        <v>2024</v>
      </c>
      <c r="I888" s="39" t="str">
        <f>TEXT(Call_Centre_Data[[#This Row],[Date of Call]],"DDDD")</f>
        <v>Monday</v>
      </c>
      <c r="J888" s="39" t="str" cm="1">
        <f t="array" ref="J888">_xlfn.IFS(Call_Centre_Data[[#This Row],[Duration]]&lt;=10,"Under 10 Mins", Call_Centre_Data[[#This Row],[Duration]]&lt;=30,"10-30 Mins",Call_Centre_Data[[#This Row],[Duration]]&lt;=60,"30-60 Mins",Call_Centre_Data[[#This Row],[Duration]]&lt;=120,"1-2 Hours",TRUE,"More than 2 Hours")</f>
        <v>30-60 Mins</v>
      </c>
      <c r="K888" s="91">
        <f>ROUND(Call_Centre_Data[[#This Row],[Satisfaction Rating]],0)</f>
        <v>4</v>
      </c>
    </row>
    <row r="889" spans="1:11" x14ac:dyDescent="0.35">
      <c r="A889" s="56" t="s">
        <v>1894</v>
      </c>
      <c r="B889" s="57" t="s">
        <v>1040</v>
      </c>
      <c r="C889" s="87">
        <v>142</v>
      </c>
      <c r="D889" s="57" t="s">
        <v>989</v>
      </c>
      <c r="E889" s="58">
        <v>45229</v>
      </c>
      <c r="F889" s="57">
        <v>40</v>
      </c>
      <c r="G889" s="59">
        <v>3.8</v>
      </c>
      <c r="H889" s="57">
        <f>IF(MONTH(Call_Centre_Data[[#This Row],[Date of Call]])&lt;=6,YEAR(Call_Centre_Data[[#This Row],[Date of Call]]),YEAR(Call_Centre_Data[[#This Row],[Date of Call]])+1)</f>
        <v>2024</v>
      </c>
      <c r="I889" s="39" t="str">
        <f>TEXT(Call_Centre_Data[[#This Row],[Date of Call]],"DDDD")</f>
        <v>Monday</v>
      </c>
      <c r="J889" s="39" t="str" cm="1">
        <f t="array" ref="J889">_xlfn.IFS(Call_Centre_Data[[#This Row],[Duration]]&lt;=10,"Under 10 Mins", Call_Centre_Data[[#This Row],[Duration]]&lt;=30,"10-30 Mins",Call_Centre_Data[[#This Row],[Duration]]&lt;=60,"30-60 Mins",Call_Centre_Data[[#This Row],[Duration]]&lt;=120,"1-2 Hours",TRUE,"More than 2 Hours")</f>
        <v>More than 2 Hours</v>
      </c>
      <c r="K889" s="91">
        <f>ROUND(Call_Centre_Data[[#This Row],[Satisfaction Rating]],0)</f>
        <v>4</v>
      </c>
    </row>
    <row r="890" spans="1:11" x14ac:dyDescent="0.35">
      <c r="A890" s="56" t="s">
        <v>1895</v>
      </c>
      <c r="B890" s="57" t="s">
        <v>1019</v>
      </c>
      <c r="C890" s="87">
        <v>61</v>
      </c>
      <c r="D890" s="57" t="s">
        <v>989</v>
      </c>
      <c r="E890" s="58">
        <v>45229</v>
      </c>
      <c r="F890" s="57">
        <v>82</v>
      </c>
      <c r="G890" s="59">
        <v>3.1</v>
      </c>
      <c r="H890" s="57">
        <f>IF(MONTH(Call_Centre_Data[[#This Row],[Date of Call]])&lt;=6,YEAR(Call_Centre_Data[[#This Row],[Date of Call]]),YEAR(Call_Centre_Data[[#This Row],[Date of Call]])+1)</f>
        <v>2024</v>
      </c>
      <c r="I890" s="39" t="str">
        <f>TEXT(Call_Centre_Data[[#This Row],[Date of Call]],"DDDD")</f>
        <v>Monday</v>
      </c>
      <c r="J890" s="39" t="str" cm="1">
        <f t="array" ref="J890">_xlfn.IFS(Call_Centre_Data[[#This Row],[Duration]]&lt;=10,"Under 10 Mins", Call_Centre_Data[[#This Row],[Duration]]&lt;=30,"10-30 Mins",Call_Centre_Data[[#This Row],[Duration]]&lt;=60,"30-60 Mins",Call_Centre_Data[[#This Row],[Duration]]&lt;=120,"1-2 Hours",TRUE,"More than 2 Hours")</f>
        <v>1-2 Hours</v>
      </c>
      <c r="K890" s="91">
        <f>ROUND(Call_Centre_Data[[#This Row],[Satisfaction Rating]],0)</f>
        <v>3</v>
      </c>
    </row>
    <row r="891" spans="1:11" x14ac:dyDescent="0.35">
      <c r="A891" s="56" t="s">
        <v>1896</v>
      </c>
      <c r="B891" s="57" t="s">
        <v>988</v>
      </c>
      <c r="C891" s="87">
        <v>86</v>
      </c>
      <c r="D891" s="57" t="s">
        <v>1008</v>
      </c>
      <c r="E891" s="58">
        <v>45230</v>
      </c>
      <c r="F891" s="57">
        <v>90</v>
      </c>
      <c r="G891" s="59">
        <v>4.4000000000000004</v>
      </c>
      <c r="H891" s="57">
        <f>IF(MONTH(Call_Centre_Data[[#This Row],[Date of Call]])&lt;=6,YEAR(Call_Centre_Data[[#This Row],[Date of Call]]),YEAR(Call_Centre_Data[[#This Row],[Date of Call]])+1)</f>
        <v>2024</v>
      </c>
      <c r="I891" s="39" t="str">
        <f>TEXT(Call_Centre_Data[[#This Row],[Date of Call]],"DDDD")</f>
        <v>Tuesday</v>
      </c>
      <c r="J891" s="39" t="str" cm="1">
        <f t="array" ref="J891">_xlfn.IFS(Call_Centre_Data[[#This Row],[Duration]]&lt;=10,"Under 10 Mins", Call_Centre_Data[[#This Row],[Duration]]&lt;=30,"10-30 Mins",Call_Centre_Data[[#This Row],[Duration]]&lt;=60,"30-60 Mins",Call_Centre_Data[[#This Row],[Duration]]&lt;=120,"1-2 Hours",TRUE,"More than 2 Hours")</f>
        <v>1-2 Hours</v>
      </c>
      <c r="K891" s="91">
        <f>ROUND(Call_Centre_Data[[#This Row],[Satisfaction Rating]],0)</f>
        <v>4</v>
      </c>
    </row>
    <row r="892" spans="1:11" x14ac:dyDescent="0.35">
      <c r="A892" s="56" t="s">
        <v>1897</v>
      </c>
      <c r="B892" s="57" t="s">
        <v>993</v>
      </c>
      <c r="C892" s="87">
        <v>165</v>
      </c>
      <c r="D892" s="57" t="s">
        <v>1004</v>
      </c>
      <c r="E892" s="58">
        <v>45231</v>
      </c>
      <c r="F892" s="57">
        <v>66</v>
      </c>
      <c r="G892" s="59">
        <v>4.8</v>
      </c>
      <c r="H892" s="57">
        <f>IF(MONTH(Call_Centre_Data[[#This Row],[Date of Call]])&lt;=6,YEAR(Call_Centre_Data[[#This Row],[Date of Call]]),YEAR(Call_Centre_Data[[#This Row],[Date of Call]])+1)</f>
        <v>2024</v>
      </c>
      <c r="I892" s="39" t="str">
        <f>TEXT(Call_Centre_Data[[#This Row],[Date of Call]],"DDDD")</f>
        <v>Wednesday</v>
      </c>
      <c r="J892" s="39" t="str" cm="1">
        <f t="array" ref="J892">_xlfn.IFS(Call_Centre_Data[[#This Row],[Duration]]&lt;=10,"Under 10 Mins", Call_Centre_Data[[#This Row],[Duration]]&lt;=30,"10-30 Mins",Call_Centre_Data[[#This Row],[Duration]]&lt;=60,"30-60 Mins",Call_Centre_Data[[#This Row],[Duration]]&lt;=120,"1-2 Hours",TRUE,"More than 2 Hours")</f>
        <v>More than 2 Hours</v>
      </c>
      <c r="K892" s="91">
        <f>ROUND(Call_Centre_Data[[#This Row],[Satisfaction Rating]],0)</f>
        <v>5</v>
      </c>
    </row>
    <row r="893" spans="1:11" x14ac:dyDescent="0.35">
      <c r="A893" s="56" t="s">
        <v>1898</v>
      </c>
      <c r="B893" s="57" t="s">
        <v>1060</v>
      </c>
      <c r="C893" s="87">
        <v>62</v>
      </c>
      <c r="D893" s="57" t="s">
        <v>994</v>
      </c>
      <c r="E893" s="58">
        <v>45231</v>
      </c>
      <c r="F893" s="57">
        <v>78</v>
      </c>
      <c r="G893" s="59">
        <v>3.5</v>
      </c>
      <c r="H893" s="57">
        <f>IF(MONTH(Call_Centre_Data[[#This Row],[Date of Call]])&lt;=6,YEAR(Call_Centre_Data[[#This Row],[Date of Call]]),YEAR(Call_Centre_Data[[#This Row],[Date of Call]])+1)</f>
        <v>2024</v>
      </c>
      <c r="I893" s="39" t="str">
        <f>TEXT(Call_Centre_Data[[#This Row],[Date of Call]],"DDDD")</f>
        <v>Wednesday</v>
      </c>
      <c r="J893" s="39" t="str" cm="1">
        <f t="array" ref="J893">_xlfn.IFS(Call_Centre_Data[[#This Row],[Duration]]&lt;=10,"Under 10 Mins", Call_Centre_Data[[#This Row],[Duration]]&lt;=30,"10-30 Mins",Call_Centre_Data[[#This Row],[Duration]]&lt;=60,"30-60 Mins",Call_Centre_Data[[#This Row],[Duration]]&lt;=120,"1-2 Hours",TRUE,"More than 2 Hours")</f>
        <v>1-2 Hours</v>
      </c>
      <c r="K893" s="91">
        <f>ROUND(Call_Centre_Data[[#This Row],[Satisfaction Rating]],0)</f>
        <v>4</v>
      </c>
    </row>
    <row r="894" spans="1:11" x14ac:dyDescent="0.35">
      <c r="A894" s="56" t="s">
        <v>1899</v>
      </c>
      <c r="B894" s="57" t="s">
        <v>996</v>
      </c>
      <c r="C894" s="87">
        <v>103</v>
      </c>
      <c r="D894" s="57" t="s">
        <v>1004</v>
      </c>
      <c r="E894" s="58">
        <v>45232</v>
      </c>
      <c r="F894" s="57">
        <v>66</v>
      </c>
      <c r="G894" s="59">
        <v>4.4000000000000004</v>
      </c>
      <c r="H894" s="57">
        <f>IF(MONTH(Call_Centre_Data[[#This Row],[Date of Call]])&lt;=6,YEAR(Call_Centre_Data[[#This Row],[Date of Call]]),YEAR(Call_Centre_Data[[#This Row],[Date of Call]])+1)</f>
        <v>2024</v>
      </c>
      <c r="I894" s="39" t="str">
        <f>TEXT(Call_Centre_Data[[#This Row],[Date of Call]],"DDDD")</f>
        <v>Thursday</v>
      </c>
      <c r="J894" s="39" t="str" cm="1">
        <f t="array" ref="J894">_xlfn.IFS(Call_Centre_Data[[#This Row],[Duration]]&lt;=10,"Under 10 Mins", Call_Centre_Data[[#This Row],[Duration]]&lt;=30,"10-30 Mins",Call_Centre_Data[[#This Row],[Duration]]&lt;=60,"30-60 Mins",Call_Centre_Data[[#This Row],[Duration]]&lt;=120,"1-2 Hours",TRUE,"More than 2 Hours")</f>
        <v>1-2 Hours</v>
      </c>
      <c r="K894" s="91">
        <f>ROUND(Call_Centre_Data[[#This Row],[Satisfaction Rating]],0)</f>
        <v>4</v>
      </c>
    </row>
    <row r="895" spans="1:11" x14ac:dyDescent="0.35">
      <c r="A895" s="56" t="s">
        <v>1900</v>
      </c>
      <c r="B895" s="57" t="s">
        <v>1040</v>
      </c>
      <c r="C895" s="87">
        <v>56</v>
      </c>
      <c r="D895" s="57" t="s">
        <v>1008</v>
      </c>
      <c r="E895" s="58">
        <v>45233</v>
      </c>
      <c r="F895" s="57">
        <v>160</v>
      </c>
      <c r="G895" s="59">
        <v>3.8</v>
      </c>
      <c r="H895" s="57">
        <f>IF(MONTH(Call_Centre_Data[[#This Row],[Date of Call]])&lt;=6,YEAR(Call_Centre_Data[[#This Row],[Date of Call]]),YEAR(Call_Centre_Data[[#This Row],[Date of Call]])+1)</f>
        <v>2024</v>
      </c>
      <c r="I895" s="39" t="str">
        <f>TEXT(Call_Centre_Data[[#This Row],[Date of Call]],"DDDD")</f>
        <v>Friday</v>
      </c>
      <c r="J895" s="39" t="str" cm="1">
        <f t="array" ref="J895">_xlfn.IFS(Call_Centre_Data[[#This Row],[Duration]]&lt;=10,"Under 10 Mins", Call_Centre_Data[[#This Row],[Duration]]&lt;=30,"10-30 Mins",Call_Centre_Data[[#This Row],[Duration]]&lt;=60,"30-60 Mins",Call_Centre_Data[[#This Row],[Duration]]&lt;=120,"1-2 Hours",TRUE,"More than 2 Hours")</f>
        <v>30-60 Mins</v>
      </c>
      <c r="K895" s="91">
        <f>ROUND(Call_Centre_Data[[#This Row],[Satisfaction Rating]],0)</f>
        <v>4</v>
      </c>
    </row>
    <row r="896" spans="1:11" x14ac:dyDescent="0.35">
      <c r="A896" s="56" t="s">
        <v>1901</v>
      </c>
      <c r="B896" s="57" t="s">
        <v>1030</v>
      </c>
      <c r="C896" s="87">
        <v>114</v>
      </c>
      <c r="D896" s="57" t="s">
        <v>989</v>
      </c>
      <c r="E896" s="58">
        <v>45234</v>
      </c>
      <c r="F896" s="57">
        <v>144</v>
      </c>
      <c r="G896" s="59">
        <v>3.8</v>
      </c>
      <c r="H896" s="57">
        <f>IF(MONTH(Call_Centre_Data[[#This Row],[Date of Call]])&lt;=6,YEAR(Call_Centre_Data[[#This Row],[Date of Call]]),YEAR(Call_Centre_Data[[#This Row],[Date of Call]])+1)</f>
        <v>2024</v>
      </c>
      <c r="I896" s="39" t="str">
        <f>TEXT(Call_Centre_Data[[#This Row],[Date of Call]],"DDDD")</f>
        <v>Saturday</v>
      </c>
      <c r="J896" s="39" t="str" cm="1">
        <f t="array" ref="J896">_xlfn.IFS(Call_Centre_Data[[#This Row],[Duration]]&lt;=10,"Under 10 Mins", Call_Centre_Data[[#This Row],[Duration]]&lt;=30,"10-30 Mins",Call_Centre_Data[[#This Row],[Duration]]&lt;=60,"30-60 Mins",Call_Centre_Data[[#This Row],[Duration]]&lt;=120,"1-2 Hours",TRUE,"More than 2 Hours")</f>
        <v>1-2 Hours</v>
      </c>
      <c r="K896" s="91">
        <f>ROUND(Call_Centre_Data[[#This Row],[Satisfaction Rating]],0)</f>
        <v>4</v>
      </c>
    </row>
    <row r="897" spans="1:11" x14ac:dyDescent="0.35">
      <c r="A897" s="56" t="s">
        <v>1902</v>
      </c>
      <c r="B897" s="57" t="s">
        <v>1040</v>
      </c>
      <c r="C897" s="87">
        <v>112</v>
      </c>
      <c r="D897" s="57" t="s">
        <v>999</v>
      </c>
      <c r="E897" s="58">
        <v>45234</v>
      </c>
      <c r="F897" s="57">
        <v>200</v>
      </c>
      <c r="G897" s="59">
        <v>4.5999999999999996</v>
      </c>
      <c r="H897" s="57">
        <f>IF(MONTH(Call_Centre_Data[[#This Row],[Date of Call]])&lt;=6,YEAR(Call_Centre_Data[[#This Row],[Date of Call]]),YEAR(Call_Centre_Data[[#This Row],[Date of Call]])+1)</f>
        <v>2024</v>
      </c>
      <c r="I897" s="39" t="str">
        <f>TEXT(Call_Centre_Data[[#This Row],[Date of Call]],"DDDD")</f>
        <v>Saturday</v>
      </c>
      <c r="J897" s="39" t="str" cm="1">
        <f t="array" ref="J897">_xlfn.IFS(Call_Centre_Data[[#This Row],[Duration]]&lt;=10,"Under 10 Mins", Call_Centre_Data[[#This Row],[Duration]]&lt;=30,"10-30 Mins",Call_Centre_Data[[#This Row],[Duration]]&lt;=60,"30-60 Mins",Call_Centre_Data[[#This Row],[Duration]]&lt;=120,"1-2 Hours",TRUE,"More than 2 Hours")</f>
        <v>1-2 Hours</v>
      </c>
      <c r="K897" s="91">
        <f>ROUND(Call_Centre_Data[[#This Row],[Satisfaction Rating]],0)</f>
        <v>5</v>
      </c>
    </row>
    <row r="898" spans="1:11" x14ac:dyDescent="0.35">
      <c r="A898" s="56" t="s">
        <v>1903</v>
      </c>
      <c r="B898" s="57" t="s">
        <v>1002</v>
      </c>
      <c r="C898" s="87">
        <v>52</v>
      </c>
      <c r="D898" s="57" t="s">
        <v>994</v>
      </c>
      <c r="E898" s="58">
        <v>45236</v>
      </c>
      <c r="F898" s="57">
        <v>220</v>
      </c>
      <c r="G898" s="59">
        <v>5</v>
      </c>
      <c r="H898" s="57">
        <f>IF(MONTH(Call_Centre_Data[[#This Row],[Date of Call]])&lt;=6,YEAR(Call_Centre_Data[[#This Row],[Date of Call]]),YEAR(Call_Centre_Data[[#This Row],[Date of Call]])+1)</f>
        <v>2024</v>
      </c>
      <c r="I898" s="39" t="str">
        <f>TEXT(Call_Centre_Data[[#This Row],[Date of Call]],"DDDD")</f>
        <v>Monday</v>
      </c>
      <c r="J898" s="39" t="str" cm="1">
        <f t="array" ref="J898">_xlfn.IFS(Call_Centre_Data[[#This Row],[Duration]]&lt;=10,"Under 10 Mins", Call_Centre_Data[[#This Row],[Duration]]&lt;=30,"10-30 Mins",Call_Centre_Data[[#This Row],[Duration]]&lt;=60,"30-60 Mins",Call_Centre_Data[[#This Row],[Duration]]&lt;=120,"1-2 Hours",TRUE,"More than 2 Hours")</f>
        <v>30-60 Mins</v>
      </c>
      <c r="K898" s="91">
        <f>ROUND(Call_Centre_Data[[#This Row],[Satisfaction Rating]],0)</f>
        <v>5</v>
      </c>
    </row>
    <row r="899" spans="1:11" x14ac:dyDescent="0.35">
      <c r="A899" s="56" t="s">
        <v>1904</v>
      </c>
      <c r="B899" s="57" t="s">
        <v>996</v>
      </c>
      <c r="C899" s="87">
        <v>105</v>
      </c>
      <c r="D899" s="57" t="s">
        <v>1004</v>
      </c>
      <c r="E899" s="58">
        <v>45237</v>
      </c>
      <c r="F899" s="57">
        <v>112</v>
      </c>
      <c r="G899" s="59">
        <v>3.2</v>
      </c>
      <c r="H899" s="57">
        <f>IF(MONTH(Call_Centre_Data[[#This Row],[Date of Call]])&lt;=6,YEAR(Call_Centre_Data[[#This Row],[Date of Call]]),YEAR(Call_Centre_Data[[#This Row],[Date of Call]])+1)</f>
        <v>2024</v>
      </c>
      <c r="I899" s="39" t="str">
        <f>TEXT(Call_Centre_Data[[#This Row],[Date of Call]],"DDDD")</f>
        <v>Tuesday</v>
      </c>
      <c r="J899" s="39" t="str" cm="1">
        <f t="array" ref="J899">_xlfn.IFS(Call_Centre_Data[[#This Row],[Duration]]&lt;=10,"Under 10 Mins", Call_Centre_Data[[#This Row],[Duration]]&lt;=30,"10-30 Mins",Call_Centre_Data[[#This Row],[Duration]]&lt;=60,"30-60 Mins",Call_Centre_Data[[#This Row],[Duration]]&lt;=120,"1-2 Hours",TRUE,"More than 2 Hours")</f>
        <v>1-2 Hours</v>
      </c>
      <c r="K899" s="91">
        <f>ROUND(Call_Centre_Data[[#This Row],[Satisfaction Rating]],0)</f>
        <v>3</v>
      </c>
    </row>
    <row r="900" spans="1:11" x14ac:dyDescent="0.35">
      <c r="A900" s="56" t="s">
        <v>1905</v>
      </c>
      <c r="B900" s="57" t="s">
        <v>993</v>
      </c>
      <c r="C900" s="87">
        <v>91</v>
      </c>
      <c r="D900" s="57" t="s">
        <v>1008</v>
      </c>
      <c r="E900" s="58">
        <v>45237</v>
      </c>
      <c r="F900" s="57">
        <v>110</v>
      </c>
      <c r="G900" s="59">
        <v>3.7</v>
      </c>
      <c r="H900" s="57">
        <f>IF(MONTH(Call_Centre_Data[[#This Row],[Date of Call]])&lt;=6,YEAR(Call_Centre_Data[[#This Row],[Date of Call]]),YEAR(Call_Centre_Data[[#This Row],[Date of Call]])+1)</f>
        <v>2024</v>
      </c>
      <c r="I900" s="39" t="str">
        <f>TEXT(Call_Centre_Data[[#This Row],[Date of Call]],"DDDD")</f>
        <v>Tuesday</v>
      </c>
      <c r="J900" s="39" t="str" cm="1">
        <f t="array" ref="J900">_xlfn.IFS(Call_Centre_Data[[#This Row],[Duration]]&lt;=10,"Under 10 Mins", Call_Centre_Data[[#This Row],[Duration]]&lt;=30,"10-30 Mins",Call_Centre_Data[[#This Row],[Duration]]&lt;=60,"30-60 Mins",Call_Centre_Data[[#This Row],[Duration]]&lt;=120,"1-2 Hours",TRUE,"More than 2 Hours")</f>
        <v>1-2 Hours</v>
      </c>
      <c r="K900" s="91">
        <f>ROUND(Call_Centre_Data[[#This Row],[Satisfaction Rating]],0)</f>
        <v>4</v>
      </c>
    </row>
    <row r="901" spans="1:11" x14ac:dyDescent="0.35">
      <c r="A901" s="56" t="s">
        <v>1906</v>
      </c>
      <c r="B901" s="57" t="s">
        <v>1027</v>
      </c>
      <c r="C901" s="87">
        <v>74</v>
      </c>
      <c r="D901" s="57" t="s">
        <v>989</v>
      </c>
      <c r="E901" s="58">
        <v>45238</v>
      </c>
      <c r="F901" s="57">
        <v>160</v>
      </c>
      <c r="G901" s="59">
        <v>2.7</v>
      </c>
      <c r="H901" s="57">
        <f>IF(MONTH(Call_Centre_Data[[#This Row],[Date of Call]])&lt;=6,YEAR(Call_Centre_Data[[#This Row],[Date of Call]]),YEAR(Call_Centre_Data[[#This Row],[Date of Call]])+1)</f>
        <v>2024</v>
      </c>
      <c r="I901" s="39" t="str">
        <f>TEXT(Call_Centre_Data[[#This Row],[Date of Call]],"DDDD")</f>
        <v>Wednesday</v>
      </c>
      <c r="J901" s="39" t="str" cm="1">
        <f t="array" ref="J901">_xlfn.IFS(Call_Centre_Data[[#This Row],[Duration]]&lt;=10,"Under 10 Mins", Call_Centre_Data[[#This Row],[Duration]]&lt;=30,"10-30 Mins",Call_Centre_Data[[#This Row],[Duration]]&lt;=60,"30-60 Mins",Call_Centre_Data[[#This Row],[Duration]]&lt;=120,"1-2 Hours",TRUE,"More than 2 Hours")</f>
        <v>1-2 Hours</v>
      </c>
      <c r="K901" s="91">
        <f>ROUND(Call_Centre_Data[[#This Row],[Satisfaction Rating]],0)</f>
        <v>3</v>
      </c>
    </row>
    <row r="902" spans="1:11" x14ac:dyDescent="0.35">
      <c r="A902" s="56" t="s">
        <v>1907</v>
      </c>
      <c r="B902" s="57" t="s">
        <v>1027</v>
      </c>
      <c r="C902" s="87">
        <v>30</v>
      </c>
      <c r="D902" s="57" t="s">
        <v>1008</v>
      </c>
      <c r="E902" s="58">
        <v>45238</v>
      </c>
      <c r="F902" s="57">
        <v>84</v>
      </c>
      <c r="G902" s="59">
        <v>4</v>
      </c>
      <c r="H902" s="57">
        <f>IF(MONTH(Call_Centre_Data[[#This Row],[Date of Call]])&lt;=6,YEAR(Call_Centre_Data[[#This Row],[Date of Call]]),YEAR(Call_Centre_Data[[#This Row],[Date of Call]])+1)</f>
        <v>2024</v>
      </c>
      <c r="I902" s="39" t="str">
        <f>TEXT(Call_Centre_Data[[#This Row],[Date of Call]],"DDDD")</f>
        <v>Wednesday</v>
      </c>
      <c r="J902" s="39" t="str" cm="1">
        <f t="array" ref="J902">_xlfn.IFS(Call_Centre_Data[[#This Row],[Duration]]&lt;=10,"Under 10 Mins", Call_Centre_Data[[#This Row],[Duration]]&lt;=30,"10-30 Mins",Call_Centre_Data[[#This Row],[Duration]]&lt;=60,"30-60 Mins",Call_Centre_Data[[#This Row],[Duration]]&lt;=120,"1-2 Hours",TRUE,"More than 2 Hours")</f>
        <v>10-30 Mins</v>
      </c>
      <c r="K902" s="91">
        <f>ROUND(Call_Centre_Data[[#This Row],[Satisfaction Rating]],0)</f>
        <v>4</v>
      </c>
    </row>
    <row r="903" spans="1:11" x14ac:dyDescent="0.35">
      <c r="A903" s="56" t="s">
        <v>1908</v>
      </c>
      <c r="B903" s="57" t="s">
        <v>993</v>
      </c>
      <c r="C903" s="87">
        <v>56</v>
      </c>
      <c r="D903" s="57" t="s">
        <v>994</v>
      </c>
      <c r="E903" s="58">
        <v>45238</v>
      </c>
      <c r="F903" s="57">
        <v>124</v>
      </c>
      <c r="G903" s="59">
        <v>2.6</v>
      </c>
      <c r="H903" s="57">
        <f>IF(MONTH(Call_Centre_Data[[#This Row],[Date of Call]])&lt;=6,YEAR(Call_Centre_Data[[#This Row],[Date of Call]]),YEAR(Call_Centre_Data[[#This Row],[Date of Call]])+1)</f>
        <v>2024</v>
      </c>
      <c r="I903" s="39" t="str">
        <f>TEXT(Call_Centre_Data[[#This Row],[Date of Call]],"DDDD")</f>
        <v>Wednesday</v>
      </c>
      <c r="J903" s="39" t="str" cm="1">
        <f t="array" ref="J903">_xlfn.IFS(Call_Centre_Data[[#This Row],[Duration]]&lt;=10,"Under 10 Mins", Call_Centre_Data[[#This Row],[Duration]]&lt;=30,"10-30 Mins",Call_Centre_Data[[#This Row],[Duration]]&lt;=60,"30-60 Mins",Call_Centre_Data[[#This Row],[Duration]]&lt;=120,"1-2 Hours",TRUE,"More than 2 Hours")</f>
        <v>30-60 Mins</v>
      </c>
      <c r="K903" s="91">
        <f>ROUND(Call_Centre_Data[[#This Row],[Satisfaction Rating]],0)</f>
        <v>3</v>
      </c>
    </row>
    <row r="904" spans="1:11" x14ac:dyDescent="0.35">
      <c r="A904" s="56" t="s">
        <v>1909</v>
      </c>
      <c r="B904" s="57" t="s">
        <v>1027</v>
      </c>
      <c r="C904" s="87">
        <v>151</v>
      </c>
      <c r="D904" s="57" t="s">
        <v>999</v>
      </c>
      <c r="E904" s="58">
        <v>45238</v>
      </c>
      <c r="F904" s="57">
        <v>84</v>
      </c>
      <c r="G904" s="59">
        <v>4.5999999999999996</v>
      </c>
      <c r="H904" s="57">
        <f>IF(MONTH(Call_Centre_Data[[#This Row],[Date of Call]])&lt;=6,YEAR(Call_Centre_Data[[#This Row],[Date of Call]]),YEAR(Call_Centre_Data[[#This Row],[Date of Call]])+1)</f>
        <v>2024</v>
      </c>
      <c r="I904" s="39" t="str">
        <f>TEXT(Call_Centre_Data[[#This Row],[Date of Call]],"DDDD")</f>
        <v>Wednesday</v>
      </c>
      <c r="J904" s="39" t="str" cm="1">
        <f t="array" ref="J904">_xlfn.IFS(Call_Centre_Data[[#This Row],[Duration]]&lt;=10,"Under 10 Mins", Call_Centre_Data[[#This Row],[Duration]]&lt;=30,"10-30 Mins",Call_Centre_Data[[#This Row],[Duration]]&lt;=60,"30-60 Mins",Call_Centre_Data[[#This Row],[Duration]]&lt;=120,"1-2 Hours",TRUE,"More than 2 Hours")</f>
        <v>More than 2 Hours</v>
      </c>
      <c r="K904" s="91">
        <f>ROUND(Call_Centre_Data[[#This Row],[Satisfaction Rating]],0)</f>
        <v>5</v>
      </c>
    </row>
    <row r="905" spans="1:11" x14ac:dyDescent="0.35">
      <c r="A905" s="56" t="s">
        <v>1910</v>
      </c>
      <c r="B905" s="57" t="s">
        <v>991</v>
      </c>
      <c r="C905" s="87">
        <v>108</v>
      </c>
      <c r="D905" s="57" t="s">
        <v>1004</v>
      </c>
      <c r="E905" s="58">
        <v>45239</v>
      </c>
      <c r="F905" s="57">
        <v>130</v>
      </c>
      <c r="G905" s="59">
        <v>2.7</v>
      </c>
      <c r="H905" s="57">
        <f>IF(MONTH(Call_Centre_Data[[#This Row],[Date of Call]])&lt;=6,YEAR(Call_Centre_Data[[#This Row],[Date of Call]]),YEAR(Call_Centre_Data[[#This Row],[Date of Call]])+1)</f>
        <v>2024</v>
      </c>
      <c r="I905" s="39" t="str">
        <f>TEXT(Call_Centre_Data[[#This Row],[Date of Call]],"DDDD")</f>
        <v>Thursday</v>
      </c>
      <c r="J905" s="39" t="str" cm="1">
        <f t="array" ref="J905">_xlfn.IFS(Call_Centre_Data[[#This Row],[Duration]]&lt;=10,"Under 10 Mins", Call_Centre_Data[[#This Row],[Duration]]&lt;=30,"10-30 Mins",Call_Centre_Data[[#This Row],[Duration]]&lt;=60,"30-60 Mins",Call_Centre_Data[[#This Row],[Duration]]&lt;=120,"1-2 Hours",TRUE,"More than 2 Hours")</f>
        <v>1-2 Hours</v>
      </c>
      <c r="K905" s="91">
        <f>ROUND(Call_Centre_Data[[#This Row],[Satisfaction Rating]],0)</f>
        <v>3</v>
      </c>
    </row>
    <row r="906" spans="1:11" x14ac:dyDescent="0.35">
      <c r="A906" s="56" t="s">
        <v>1911</v>
      </c>
      <c r="B906" s="57" t="s">
        <v>1030</v>
      </c>
      <c r="C906" s="87">
        <v>124</v>
      </c>
      <c r="D906" s="57" t="s">
        <v>989</v>
      </c>
      <c r="E906" s="58">
        <v>45239</v>
      </c>
      <c r="F906" s="57">
        <v>215</v>
      </c>
      <c r="G906" s="59">
        <v>3.5</v>
      </c>
      <c r="H906" s="57">
        <f>IF(MONTH(Call_Centre_Data[[#This Row],[Date of Call]])&lt;=6,YEAR(Call_Centre_Data[[#This Row],[Date of Call]]),YEAR(Call_Centre_Data[[#This Row],[Date of Call]])+1)</f>
        <v>2024</v>
      </c>
      <c r="I906" s="39" t="str">
        <f>TEXT(Call_Centre_Data[[#This Row],[Date of Call]],"DDDD")</f>
        <v>Thursday</v>
      </c>
      <c r="J906" s="39" t="str" cm="1">
        <f t="array" ref="J906">_xlfn.IFS(Call_Centre_Data[[#This Row],[Duration]]&lt;=10,"Under 10 Mins", Call_Centre_Data[[#This Row],[Duration]]&lt;=30,"10-30 Mins",Call_Centre_Data[[#This Row],[Duration]]&lt;=60,"30-60 Mins",Call_Centre_Data[[#This Row],[Duration]]&lt;=120,"1-2 Hours",TRUE,"More than 2 Hours")</f>
        <v>More than 2 Hours</v>
      </c>
      <c r="K906" s="91">
        <f>ROUND(Call_Centre_Data[[#This Row],[Satisfaction Rating]],0)</f>
        <v>4</v>
      </c>
    </row>
    <row r="907" spans="1:11" x14ac:dyDescent="0.35">
      <c r="A907" s="56" t="s">
        <v>1912</v>
      </c>
      <c r="B907" s="57" t="s">
        <v>996</v>
      </c>
      <c r="C907" s="87">
        <v>110</v>
      </c>
      <c r="D907" s="57" t="s">
        <v>994</v>
      </c>
      <c r="E907" s="58">
        <v>45240</v>
      </c>
      <c r="F907" s="57">
        <v>132</v>
      </c>
      <c r="G907" s="59">
        <v>3.6</v>
      </c>
      <c r="H907" s="57">
        <f>IF(MONTH(Call_Centre_Data[[#This Row],[Date of Call]])&lt;=6,YEAR(Call_Centre_Data[[#This Row],[Date of Call]]),YEAR(Call_Centre_Data[[#This Row],[Date of Call]])+1)</f>
        <v>2024</v>
      </c>
      <c r="I907" s="39" t="str">
        <f>TEXT(Call_Centre_Data[[#This Row],[Date of Call]],"DDDD")</f>
        <v>Friday</v>
      </c>
      <c r="J907" s="39" t="str" cm="1">
        <f t="array" ref="J907">_xlfn.IFS(Call_Centre_Data[[#This Row],[Duration]]&lt;=10,"Under 10 Mins", Call_Centre_Data[[#This Row],[Duration]]&lt;=30,"10-30 Mins",Call_Centre_Data[[#This Row],[Duration]]&lt;=60,"30-60 Mins",Call_Centre_Data[[#This Row],[Duration]]&lt;=120,"1-2 Hours",TRUE,"More than 2 Hours")</f>
        <v>1-2 Hours</v>
      </c>
      <c r="K907" s="91">
        <f>ROUND(Call_Centre_Data[[#This Row],[Satisfaction Rating]],0)</f>
        <v>4</v>
      </c>
    </row>
    <row r="908" spans="1:11" x14ac:dyDescent="0.35">
      <c r="A908" s="56" t="s">
        <v>1913</v>
      </c>
      <c r="B908" s="57" t="s">
        <v>1007</v>
      </c>
      <c r="C908" s="87">
        <v>89</v>
      </c>
      <c r="D908" s="57" t="s">
        <v>1004</v>
      </c>
      <c r="E908" s="58">
        <v>45240</v>
      </c>
      <c r="F908" s="57">
        <v>88</v>
      </c>
      <c r="G908" s="59">
        <v>4.9000000000000004</v>
      </c>
      <c r="H908" s="57">
        <f>IF(MONTH(Call_Centre_Data[[#This Row],[Date of Call]])&lt;=6,YEAR(Call_Centre_Data[[#This Row],[Date of Call]]),YEAR(Call_Centre_Data[[#This Row],[Date of Call]])+1)</f>
        <v>2024</v>
      </c>
      <c r="I908" s="39" t="str">
        <f>TEXT(Call_Centre_Data[[#This Row],[Date of Call]],"DDDD")</f>
        <v>Friday</v>
      </c>
      <c r="J908" s="39" t="str" cm="1">
        <f t="array" ref="J908">_xlfn.IFS(Call_Centre_Data[[#This Row],[Duration]]&lt;=10,"Under 10 Mins", Call_Centre_Data[[#This Row],[Duration]]&lt;=30,"10-30 Mins",Call_Centre_Data[[#This Row],[Duration]]&lt;=60,"30-60 Mins",Call_Centre_Data[[#This Row],[Duration]]&lt;=120,"1-2 Hours",TRUE,"More than 2 Hours")</f>
        <v>1-2 Hours</v>
      </c>
      <c r="K908" s="91">
        <f>ROUND(Call_Centre_Data[[#This Row],[Satisfaction Rating]],0)</f>
        <v>5</v>
      </c>
    </row>
    <row r="909" spans="1:11" x14ac:dyDescent="0.35">
      <c r="A909" s="56" t="s">
        <v>1914</v>
      </c>
      <c r="B909" s="57" t="s">
        <v>988</v>
      </c>
      <c r="C909" s="87">
        <v>95</v>
      </c>
      <c r="D909" s="57" t="s">
        <v>994</v>
      </c>
      <c r="E909" s="58">
        <v>45240</v>
      </c>
      <c r="F909" s="57">
        <v>140</v>
      </c>
      <c r="G909" s="59">
        <v>3.9</v>
      </c>
      <c r="H909" s="57">
        <f>IF(MONTH(Call_Centre_Data[[#This Row],[Date of Call]])&lt;=6,YEAR(Call_Centre_Data[[#This Row],[Date of Call]]),YEAR(Call_Centre_Data[[#This Row],[Date of Call]])+1)</f>
        <v>2024</v>
      </c>
      <c r="I909" s="39" t="str">
        <f>TEXT(Call_Centre_Data[[#This Row],[Date of Call]],"DDDD")</f>
        <v>Friday</v>
      </c>
      <c r="J909" s="39" t="str" cm="1">
        <f t="array" ref="J909">_xlfn.IFS(Call_Centre_Data[[#This Row],[Duration]]&lt;=10,"Under 10 Mins", Call_Centre_Data[[#This Row],[Duration]]&lt;=30,"10-30 Mins",Call_Centre_Data[[#This Row],[Duration]]&lt;=60,"30-60 Mins",Call_Centre_Data[[#This Row],[Duration]]&lt;=120,"1-2 Hours",TRUE,"More than 2 Hours")</f>
        <v>1-2 Hours</v>
      </c>
      <c r="K909" s="91">
        <f>ROUND(Call_Centre_Data[[#This Row],[Satisfaction Rating]],0)</f>
        <v>4</v>
      </c>
    </row>
    <row r="910" spans="1:11" x14ac:dyDescent="0.35">
      <c r="A910" s="56" t="s">
        <v>1915</v>
      </c>
      <c r="B910" s="57" t="s">
        <v>1027</v>
      </c>
      <c r="C910" s="87">
        <v>84</v>
      </c>
      <c r="D910" s="57" t="s">
        <v>1004</v>
      </c>
      <c r="E910" s="58">
        <v>45241</v>
      </c>
      <c r="F910" s="57">
        <v>66</v>
      </c>
      <c r="G910" s="59">
        <v>4.7</v>
      </c>
      <c r="H910" s="57">
        <f>IF(MONTH(Call_Centre_Data[[#This Row],[Date of Call]])&lt;=6,YEAR(Call_Centre_Data[[#This Row],[Date of Call]]),YEAR(Call_Centre_Data[[#This Row],[Date of Call]])+1)</f>
        <v>2024</v>
      </c>
      <c r="I910" s="39" t="str">
        <f>TEXT(Call_Centre_Data[[#This Row],[Date of Call]],"DDDD")</f>
        <v>Saturday</v>
      </c>
      <c r="J910" s="39" t="str" cm="1">
        <f t="array" ref="J910">_xlfn.IFS(Call_Centre_Data[[#This Row],[Duration]]&lt;=10,"Under 10 Mins", Call_Centre_Data[[#This Row],[Duration]]&lt;=30,"10-30 Mins",Call_Centre_Data[[#This Row],[Duration]]&lt;=60,"30-60 Mins",Call_Centre_Data[[#This Row],[Duration]]&lt;=120,"1-2 Hours",TRUE,"More than 2 Hours")</f>
        <v>1-2 Hours</v>
      </c>
      <c r="K910" s="91">
        <f>ROUND(Call_Centre_Data[[#This Row],[Satisfaction Rating]],0)</f>
        <v>5</v>
      </c>
    </row>
    <row r="911" spans="1:11" x14ac:dyDescent="0.35">
      <c r="A911" s="56" t="s">
        <v>1916</v>
      </c>
      <c r="B911" s="57" t="s">
        <v>1013</v>
      </c>
      <c r="C911" s="87">
        <v>89</v>
      </c>
      <c r="D911" s="57" t="s">
        <v>989</v>
      </c>
      <c r="E911" s="58">
        <v>45241</v>
      </c>
      <c r="F911" s="57">
        <v>23</v>
      </c>
      <c r="G911" s="59">
        <v>4.5</v>
      </c>
      <c r="H911" s="57">
        <f>IF(MONTH(Call_Centre_Data[[#This Row],[Date of Call]])&lt;=6,YEAR(Call_Centre_Data[[#This Row],[Date of Call]]),YEAR(Call_Centre_Data[[#This Row],[Date of Call]])+1)</f>
        <v>2024</v>
      </c>
      <c r="I911" s="39" t="str">
        <f>TEXT(Call_Centre_Data[[#This Row],[Date of Call]],"DDDD")</f>
        <v>Saturday</v>
      </c>
      <c r="J911" s="39" t="str" cm="1">
        <f t="array" ref="J911">_xlfn.IFS(Call_Centre_Data[[#This Row],[Duration]]&lt;=10,"Under 10 Mins", Call_Centre_Data[[#This Row],[Duration]]&lt;=30,"10-30 Mins",Call_Centre_Data[[#This Row],[Duration]]&lt;=60,"30-60 Mins",Call_Centre_Data[[#This Row],[Duration]]&lt;=120,"1-2 Hours",TRUE,"More than 2 Hours")</f>
        <v>1-2 Hours</v>
      </c>
      <c r="K911" s="91">
        <f>ROUND(Call_Centre_Data[[#This Row],[Satisfaction Rating]],0)</f>
        <v>5</v>
      </c>
    </row>
    <row r="912" spans="1:11" x14ac:dyDescent="0.35">
      <c r="A912" s="56" t="s">
        <v>1917</v>
      </c>
      <c r="B912" s="57" t="s">
        <v>1007</v>
      </c>
      <c r="C912" s="87">
        <v>146</v>
      </c>
      <c r="D912" s="57" t="s">
        <v>989</v>
      </c>
      <c r="E912" s="58">
        <v>45242</v>
      </c>
      <c r="F912" s="57">
        <v>220</v>
      </c>
      <c r="G912" s="59">
        <v>4.5</v>
      </c>
      <c r="H912" s="57">
        <f>IF(MONTH(Call_Centre_Data[[#This Row],[Date of Call]])&lt;=6,YEAR(Call_Centre_Data[[#This Row],[Date of Call]]),YEAR(Call_Centre_Data[[#This Row],[Date of Call]])+1)</f>
        <v>2024</v>
      </c>
      <c r="I912" s="39" t="str">
        <f>TEXT(Call_Centre_Data[[#This Row],[Date of Call]],"DDDD")</f>
        <v>Sunday</v>
      </c>
      <c r="J912" s="39" t="str" cm="1">
        <f t="array" ref="J912">_xlfn.IFS(Call_Centre_Data[[#This Row],[Duration]]&lt;=10,"Under 10 Mins", Call_Centre_Data[[#This Row],[Duration]]&lt;=30,"10-30 Mins",Call_Centre_Data[[#This Row],[Duration]]&lt;=60,"30-60 Mins",Call_Centre_Data[[#This Row],[Duration]]&lt;=120,"1-2 Hours",TRUE,"More than 2 Hours")</f>
        <v>More than 2 Hours</v>
      </c>
      <c r="K912" s="91">
        <f>ROUND(Call_Centre_Data[[#This Row],[Satisfaction Rating]],0)</f>
        <v>5</v>
      </c>
    </row>
    <row r="913" spans="1:11" x14ac:dyDescent="0.35">
      <c r="A913" s="56" t="s">
        <v>1918</v>
      </c>
      <c r="B913" s="57" t="s">
        <v>1011</v>
      </c>
      <c r="C913" s="87">
        <v>62</v>
      </c>
      <c r="D913" s="57" t="s">
        <v>1008</v>
      </c>
      <c r="E913" s="58">
        <v>45243</v>
      </c>
      <c r="F913" s="57">
        <v>175</v>
      </c>
      <c r="G913" s="59">
        <v>4.4000000000000004</v>
      </c>
      <c r="H913" s="57">
        <f>IF(MONTH(Call_Centre_Data[[#This Row],[Date of Call]])&lt;=6,YEAR(Call_Centre_Data[[#This Row],[Date of Call]]),YEAR(Call_Centre_Data[[#This Row],[Date of Call]])+1)</f>
        <v>2024</v>
      </c>
      <c r="I913" s="39" t="str">
        <f>TEXT(Call_Centre_Data[[#This Row],[Date of Call]],"DDDD")</f>
        <v>Monday</v>
      </c>
      <c r="J913" s="39" t="str" cm="1">
        <f t="array" ref="J913">_xlfn.IFS(Call_Centre_Data[[#This Row],[Duration]]&lt;=10,"Under 10 Mins", Call_Centre_Data[[#This Row],[Duration]]&lt;=30,"10-30 Mins",Call_Centre_Data[[#This Row],[Duration]]&lt;=60,"30-60 Mins",Call_Centre_Data[[#This Row],[Duration]]&lt;=120,"1-2 Hours",TRUE,"More than 2 Hours")</f>
        <v>1-2 Hours</v>
      </c>
      <c r="K913" s="91">
        <f>ROUND(Call_Centre_Data[[#This Row],[Satisfaction Rating]],0)</f>
        <v>4</v>
      </c>
    </row>
    <row r="914" spans="1:11" x14ac:dyDescent="0.35">
      <c r="A914" s="56" t="s">
        <v>1919</v>
      </c>
      <c r="B914" s="57" t="s">
        <v>1040</v>
      </c>
      <c r="C914" s="87">
        <v>82</v>
      </c>
      <c r="D914" s="57" t="s">
        <v>989</v>
      </c>
      <c r="E914" s="58">
        <v>45243</v>
      </c>
      <c r="F914" s="57">
        <v>172</v>
      </c>
      <c r="G914" s="59">
        <v>4.0999999999999996</v>
      </c>
      <c r="H914" s="57">
        <f>IF(MONTH(Call_Centre_Data[[#This Row],[Date of Call]])&lt;=6,YEAR(Call_Centre_Data[[#This Row],[Date of Call]]),YEAR(Call_Centre_Data[[#This Row],[Date of Call]])+1)</f>
        <v>2024</v>
      </c>
      <c r="I914" s="39" t="str">
        <f>TEXT(Call_Centre_Data[[#This Row],[Date of Call]],"DDDD")</f>
        <v>Monday</v>
      </c>
      <c r="J914" s="39" t="str" cm="1">
        <f t="array" ref="J914">_xlfn.IFS(Call_Centre_Data[[#This Row],[Duration]]&lt;=10,"Under 10 Mins", Call_Centre_Data[[#This Row],[Duration]]&lt;=30,"10-30 Mins",Call_Centre_Data[[#This Row],[Duration]]&lt;=60,"30-60 Mins",Call_Centre_Data[[#This Row],[Duration]]&lt;=120,"1-2 Hours",TRUE,"More than 2 Hours")</f>
        <v>1-2 Hours</v>
      </c>
      <c r="K914" s="91">
        <f>ROUND(Call_Centre_Data[[#This Row],[Satisfaction Rating]],0)</f>
        <v>4</v>
      </c>
    </row>
    <row r="915" spans="1:11" x14ac:dyDescent="0.35">
      <c r="A915" s="56" t="s">
        <v>1920</v>
      </c>
      <c r="B915" s="57" t="s">
        <v>1019</v>
      </c>
      <c r="C915" s="87">
        <v>91</v>
      </c>
      <c r="D915" s="57" t="s">
        <v>999</v>
      </c>
      <c r="E915" s="58">
        <v>45243</v>
      </c>
      <c r="F915" s="57">
        <v>108</v>
      </c>
      <c r="G915" s="59">
        <v>3.8</v>
      </c>
      <c r="H915" s="57">
        <f>IF(MONTH(Call_Centre_Data[[#This Row],[Date of Call]])&lt;=6,YEAR(Call_Centre_Data[[#This Row],[Date of Call]]),YEAR(Call_Centre_Data[[#This Row],[Date of Call]])+1)</f>
        <v>2024</v>
      </c>
      <c r="I915" s="39" t="str">
        <f>TEXT(Call_Centre_Data[[#This Row],[Date of Call]],"DDDD")</f>
        <v>Monday</v>
      </c>
      <c r="J915" s="39" t="str" cm="1">
        <f t="array" ref="J915">_xlfn.IFS(Call_Centre_Data[[#This Row],[Duration]]&lt;=10,"Under 10 Mins", Call_Centre_Data[[#This Row],[Duration]]&lt;=30,"10-30 Mins",Call_Centre_Data[[#This Row],[Duration]]&lt;=60,"30-60 Mins",Call_Centre_Data[[#This Row],[Duration]]&lt;=120,"1-2 Hours",TRUE,"More than 2 Hours")</f>
        <v>1-2 Hours</v>
      </c>
      <c r="K915" s="91">
        <f>ROUND(Call_Centre_Data[[#This Row],[Satisfaction Rating]],0)</f>
        <v>4</v>
      </c>
    </row>
    <row r="916" spans="1:11" x14ac:dyDescent="0.35">
      <c r="A916" s="56" t="s">
        <v>1921</v>
      </c>
      <c r="B916" s="57" t="s">
        <v>1013</v>
      </c>
      <c r="C916" s="87">
        <v>39</v>
      </c>
      <c r="D916" s="57" t="s">
        <v>989</v>
      </c>
      <c r="E916" s="58">
        <v>45244</v>
      </c>
      <c r="F916" s="57">
        <v>43</v>
      </c>
      <c r="G916" s="59">
        <v>4.2</v>
      </c>
      <c r="H916" s="57">
        <f>IF(MONTH(Call_Centre_Data[[#This Row],[Date of Call]])&lt;=6,YEAR(Call_Centre_Data[[#This Row],[Date of Call]]),YEAR(Call_Centre_Data[[#This Row],[Date of Call]])+1)</f>
        <v>2024</v>
      </c>
      <c r="I916" s="39" t="str">
        <f>TEXT(Call_Centre_Data[[#This Row],[Date of Call]],"DDDD")</f>
        <v>Tuesday</v>
      </c>
      <c r="J916" s="39" t="str" cm="1">
        <f t="array" ref="J916">_xlfn.IFS(Call_Centre_Data[[#This Row],[Duration]]&lt;=10,"Under 10 Mins", Call_Centre_Data[[#This Row],[Duration]]&lt;=30,"10-30 Mins",Call_Centre_Data[[#This Row],[Duration]]&lt;=60,"30-60 Mins",Call_Centre_Data[[#This Row],[Duration]]&lt;=120,"1-2 Hours",TRUE,"More than 2 Hours")</f>
        <v>30-60 Mins</v>
      </c>
      <c r="K916" s="91">
        <f>ROUND(Call_Centre_Data[[#This Row],[Satisfaction Rating]],0)</f>
        <v>4</v>
      </c>
    </row>
    <row r="917" spans="1:11" x14ac:dyDescent="0.35">
      <c r="A917" s="56" t="s">
        <v>1922</v>
      </c>
      <c r="B917" s="57" t="s">
        <v>1007</v>
      </c>
      <c r="C917" s="87">
        <v>149</v>
      </c>
      <c r="D917" s="57" t="s">
        <v>994</v>
      </c>
      <c r="E917" s="58">
        <v>45244</v>
      </c>
      <c r="F917" s="57">
        <v>44</v>
      </c>
      <c r="G917" s="59">
        <v>2.2000000000000002</v>
      </c>
      <c r="H917" s="57">
        <f>IF(MONTH(Call_Centre_Data[[#This Row],[Date of Call]])&lt;=6,YEAR(Call_Centre_Data[[#This Row],[Date of Call]]),YEAR(Call_Centre_Data[[#This Row],[Date of Call]])+1)</f>
        <v>2024</v>
      </c>
      <c r="I917" s="39" t="str">
        <f>TEXT(Call_Centre_Data[[#This Row],[Date of Call]],"DDDD")</f>
        <v>Tuesday</v>
      </c>
      <c r="J917" s="39" t="str" cm="1">
        <f t="array" ref="J917">_xlfn.IFS(Call_Centre_Data[[#This Row],[Duration]]&lt;=10,"Under 10 Mins", Call_Centre_Data[[#This Row],[Duration]]&lt;=30,"10-30 Mins",Call_Centre_Data[[#This Row],[Duration]]&lt;=60,"30-60 Mins",Call_Centre_Data[[#This Row],[Duration]]&lt;=120,"1-2 Hours",TRUE,"More than 2 Hours")</f>
        <v>More than 2 Hours</v>
      </c>
      <c r="K917" s="91">
        <f>ROUND(Call_Centre_Data[[#This Row],[Satisfaction Rating]],0)</f>
        <v>2</v>
      </c>
    </row>
    <row r="918" spans="1:11" x14ac:dyDescent="0.35">
      <c r="A918" s="56" t="s">
        <v>1923</v>
      </c>
      <c r="B918" s="57" t="s">
        <v>1040</v>
      </c>
      <c r="C918" s="87">
        <v>138</v>
      </c>
      <c r="D918" s="57" t="s">
        <v>1008</v>
      </c>
      <c r="E918" s="58">
        <v>45244</v>
      </c>
      <c r="F918" s="57">
        <v>105</v>
      </c>
      <c r="G918" s="59">
        <v>3.9</v>
      </c>
      <c r="H918" s="57">
        <f>IF(MONTH(Call_Centre_Data[[#This Row],[Date of Call]])&lt;=6,YEAR(Call_Centre_Data[[#This Row],[Date of Call]]),YEAR(Call_Centre_Data[[#This Row],[Date of Call]])+1)</f>
        <v>2024</v>
      </c>
      <c r="I918" s="39" t="str">
        <f>TEXT(Call_Centre_Data[[#This Row],[Date of Call]],"DDDD")</f>
        <v>Tuesday</v>
      </c>
      <c r="J918" s="39" t="str" cm="1">
        <f t="array" ref="J918">_xlfn.IFS(Call_Centre_Data[[#This Row],[Duration]]&lt;=10,"Under 10 Mins", Call_Centre_Data[[#This Row],[Duration]]&lt;=30,"10-30 Mins",Call_Centre_Data[[#This Row],[Duration]]&lt;=60,"30-60 Mins",Call_Centre_Data[[#This Row],[Duration]]&lt;=120,"1-2 Hours",TRUE,"More than 2 Hours")</f>
        <v>More than 2 Hours</v>
      </c>
      <c r="K918" s="91">
        <f>ROUND(Call_Centre_Data[[#This Row],[Satisfaction Rating]],0)</f>
        <v>4</v>
      </c>
    </row>
    <row r="919" spans="1:11" x14ac:dyDescent="0.35">
      <c r="A919" s="56" t="s">
        <v>1924</v>
      </c>
      <c r="B919" s="57" t="s">
        <v>1011</v>
      </c>
      <c r="C919" s="87">
        <v>113</v>
      </c>
      <c r="D919" s="57" t="s">
        <v>994</v>
      </c>
      <c r="E919" s="58">
        <v>45245</v>
      </c>
      <c r="F919" s="57">
        <v>34</v>
      </c>
      <c r="G919" s="59">
        <v>3.9</v>
      </c>
      <c r="H919" s="57">
        <f>IF(MONTH(Call_Centre_Data[[#This Row],[Date of Call]])&lt;=6,YEAR(Call_Centre_Data[[#This Row],[Date of Call]]),YEAR(Call_Centre_Data[[#This Row],[Date of Call]])+1)</f>
        <v>2024</v>
      </c>
      <c r="I919" s="39" t="str">
        <f>TEXT(Call_Centre_Data[[#This Row],[Date of Call]],"DDDD")</f>
        <v>Wednesday</v>
      </c>
      <c r="J919" s="39" t="str" cm="1">
        <f t="array" ref="J919">_xlfn.IFS(Call_Centre_Data[[#This Row],[Duration]]&lt;=10,"Under 10 Mins", Call_Centre_Data[[#This Row],[Duration]]&lt;=30,"10-30 Mins",Call_Centre_Data[[#This Row],[Duration]]&lt;=60,"30-60 Mins",Call_Centre_Data[[#This Row],[Duration]]&lt;=120,"1-2 Hours",TRUE,"More than 2 Hours")</f>
        <v>1-2 Hours</v>
      </c>
      <c r="K919" s="91">
        <f>ROUND(Call_Centre_Data[[#This Row],[Satisfaction Rating]],0)</f>
        <v>4</v>
      </c>
    </row>
    <row r="920" spans="1:11" x14ac:dyDescent="0.35">
      <c r="A920" s="56" t="s">
        <v>1925</v>
      </c>
      <c r="B920" s="57" t="s">
        <v>998</v>
      </c>
      <c r="C920" s="87">
        <v>88</v>
      </c>
      <c r="D920" s="57" t="s">
        <v>989</v>
      </c>
      <c r="E920" s="58">
        <v>45245</v>
      </c>
      <c r="F920" s="57">
        <v>220</v>
      </c>
      <c r="G920" s="59">
        <v>4.0999999999999996</v>
      </c>
      <c r="H920" s="57">
        <f>IF(MONTH(Call_Centre_Data[[#This Row],[Date of Call]])&lt;=6,YEAR(Call_Centre_Data[[#This Row],[Date of Call]]),YEAR(Call_Centre_Data[[#This Row],[Date of Call]])+1)</f>
        <v>2024</v>
      </c>
      <c r="I920" s="39" t="str">
        <f>TEXT(Call_Centre_Data[[#This Row],[Date of Call]],"DDDD")</f>
        <v>Wednesday</v>
      </c>
      <c r="J920" s="39" t="str" cm="1">
        <f t="array" ref="J920">_xlfn.IFS(Call_Centre_Data[[#This Row],[Duration]]&lt;=10,"Under 10 Mins", Call_Centre_Data[[#This Row],[Duration]]&lt;=30,"10-30 Mins",Call_Centre_Data[[#This Row],[Duration]]&lt;=60,"30-60 Mins",Call_Centre_Data[[#This Row],[Duration]]&lt;=120,"1-2 Hours",TRUE,"More than 2 Hours")</f>
        <v>1-2 Hours</v>
      </c>
      <c r="K920" s="91">
        <f>ROUND(Call_Centre_Data[[#This Row],[Satisfaction Rating]],0)</f>
        <v>4</v>
      </c>
    </row>
    <row r="921" spans="1:11" x14ac:dyDescent="0.35">
      <c r="A921" s="56" t="s">
        <v>1926</v>
      </c>
      <c r="B921" s="57" t="s">
        <v>988</v>
      </c>
      <c r="C921" s="87">
        <v>64</v>
      </c>
      <c r="D921" s="57" t="s">
        <v>1008</v>
      </c>
      <c r="E921" s="58">
        <v>45245</v>
      </c>
      <c r="F921" s="57">
        <v>225</v>
      </c>
      <c r="G921" s="59">
        <v>4.5999999999999996</v>
      </c>
      <c r="H921" s="57">
        <f>IF(MONTH(Call_Centre_Data[[#This Row],[Date of Call]])&lt;=6,YEAR(Call_Centre_Data[[#This Row],[Date of Call]]),YEAR(Call_Centre_Data[[#This Row],[Date of Call]])+1)</f>
        <v>2024</v>
      </c>
      <c r="I921" s="39" t="str">
        <f>TEXT(Call_Centre_Data[[#This Row],[Date of Call]],"DDDD")</f>
        <v>Wednesday</v>
      </c>
      <c r="J921" s="39" t="str" cm="1">
        <f t="array" ref="J921">_xlfn.IFS(Call_Centre_Data[[#This Row],[Duration]]&lt;=10,"Under 10 Mins", Call_Centre_Data[[#This Row],[Duration]]&lt;=30,"10-30 Mins",Call_Centre_Data[[#This Row],[Duration]]&lt;=60,"30-60 Mins",Call_Centre_Data[[#This Row],[Duration]]&lt;=120,"1-2 Hours",TRUE,"More than 2 Hours")</f>
        <v>1-2 Hours</v>
      </c>
      <c r="K921" s="91">
        <f>ROUND(Call_Centre_Data[[#This Row],[Satisfaction Rating]],0)</f>
        <v>5</v>
      </c>
    </row>
    <row r="922" spans="1:11" x14ac:dyDescent="0.35">
      <c r="A922" s="56" t="s">
        <v>1927</v>
      </c>
      <c r="B922" s="57" t="s">
        <v>993</v>
      </c>
      <c r="C922" s="87">
        <v>53</v>
      </c>
      <c r="D922" s="57" t="s">
        <v>1008</v>
      </c>
      <c r="E922" s="58">
        <v>45246</v>
      </c>
      <c r="F922" s="57">
        <v>37</v>
      </c>
      <c r="G922" s="59">
        <v>4.0999999999999996</v>
      </c>
      <c r="H922" s="57">
        <f>IF(MONTH(Call_Centre_Data[[#This Row],[Date of Call]])&lt;=6,YEAR(Call_Centre_Data[[#This Row],[Date of Call]]),YEAR(Call_Centre_Data[[#This Row],[Date of Call]])+1)</f>
        <v>2024</v>
      </c>
      <c r="I922" s="39" t="str">
        <f>TEXT(Call_Centre_Data[[#This Row],[Date of Call]],"DDDD")</f>
        <v>Thursday</v>
      </c>
      <c r="J922" s="39" t="str" cm="1">
        <f t="array" ref="J922">_xlfn.IFS(Call_Centre_Data[[#This Row],[Duration]]&lt;=10,"Under 10 Mins", Call_Centre_Data[[#This Row],[Duration]]&lt;=30,"10-30 Mins",Call_Centre_Data[[#This Row],[Duration]]&lt;=60,"30-60 Mins",Call_Centre_Data[[#This Row],[Duration]]&lt;=120,"1-2 Hours",TRUE,"More than 2 Hours")</f>
        <v>30-60 Mins</v>
      </c>
      <c r="K922" s="91">
        <f>ROUND(Call_Centre_Data[[#This Row],[Satisfaction Rating]],0)</f>
        <v>4</v>
      </c>
    </row>
    <row r="923" spans="1:11" x14ac:dyDescent="0.35">
      <c r="A923" s="56" t="s">
        <v>1928</v>
      </c>
      <c r="B923" s="57" t="s">
        <v>1030</v>
      </c>
      <c r="C923" s="87">
        <v>63</v>
      </c>
      <c r="D923" s="57" t="s">
        <v>994</v>
      </c>
      <c r="E923" s="58">
        <v>45246</v>
      </c>
      <c r="F923" s="57">
        <v>44</v>
      </c>
      <c r="G923" s="59">
        <v>5</v>
      </c>
      <c r="H923" s="57">
        <f>IF(MONTH(Call_Centre_Data[[#This Row],[Date of Call]])&lt;=6,YEAR(Call_Centre_Data[[#This Row],[Date of Call]]),YEAR(Call_Centre_Data[[#This Row],[Date of Call]])+1)</f>
        <v>2024</v>
      </c>
      <c r="I923" s="39" t="str">
        <f>TEXT(Call_Centre_Data[[#This Row],[Date of Call]],"DDDD")</f>
        <v>Thursday</v>
      </c>
      <c r="J923" s="39" t="str" cm="1">
        <f t="array" ref="J923">_xlfn.IFS(Call_Centre_Data[[#This Row],[Duration]]&lt;=10,"Under 10 Mins", Call_Centre_Data[[#This Row],[Duration]]&lt;=30,"10-30 Mins",Call_Centre_Data[[#This Row],[Duration]]&lt;=60,"30-60 Mins",Call_Centre_Data[[#This Row],[Duration]]&lt;=120,"1-2 Hours",TRUE,"More than 2 Hours")</f>
        <v>1-2 Hours</v>
      </c>
      <c r="K923" s="91">
        <f>ROUND(Call_Centre_Data[[#This Row],[Satisfaction Rating]],0)</f>
        <v>5</v>
      </c>
    </row>
    <row r="924" spans="1:11" x14ac:dyDescent="0.35">
      <c r="A924" s="56" t="s">
        <v>1929</v>
      </c>
      <c r="B924" s="57" t="s">
        <v>1002</v>
      </c>
      <c r="C924" s="87">
        <v>54</v>
      </c>
      <c r="D924" s="57" t="s">
        <v>994</v>
      </c>
      <c r="E924" s="58">
        <v>45247</v>
      </c>
      <c r="F924" s="57">
        <v>35</v>
      </c>
      <c r="G924" s="59">
        <v>2.8</v>
      </c>
      <c r="H924" s="57">
        <f>IF(MONTH(Call_Centre_Data[[#This Row],[Date of Call]])&lt;=6,YEAR(Call_Centre_Data[[#This Row],[Date of Call]]),YEAR(Call_Centre_Data[[#This Row],[Date of Call]])+1)</f>
        <v>2024</v>
      </c>
      <c r="I924" s="39" t="str">
        <f>TEXT(Call_Centre_Data[[#This Row],[Date of Call]],"DDDD")</f>
        <v>Friday</v>
      </c>
      <c r="J924" s="39" t="str" cm="1">
        <f t="array" ref="J924">_xlfn.IFS(Call_Centre_Data[[#This Row],[Duration]]&lt;=10,"Under 10 Mins", Call_Centre_Data[[#This Row],[Duration]]&lt;=30,"10-30 Mins",Call_Centre_Data[[#This Row],[Duration]]&lt;=60,"30-60 Mins",Call_Centre_Data[[#This Row],[Duration]]&lt;=120,"1-2 Hours",TRUE,"More than 2 Hours")</f>
        <v>30-60 Mins</v>
      </c>
      <c r="K924" s="91">
        <f>ROUND(Call_Centre_Data[[#This Row],[Satisfaction Rating]],0)</f>
        <v>3</v>
      </c>
    </row>
    <row r="925" spans="1:11" x14ac:dyDescent="0.35">
      <c r="A925" s="56" t="s">
        <v>1930</v>
      </c>
      <c r="B925" s="57" t="s">
        <v>1030</v>
      </c>
      <c r="C925" s="87">
        <v>54</v>
      </c>
      <c r="D925" s="57" t="s">
        <v>989</v>
      </c>
      <c r="E925" s="58">
        <v>45247</v>
      </c>
      <c r="F925" s="57">
        <v>145</v>
      </c>
      <c r="G925" s="59">
        <v>2.7</v>
      </c>
      <c r="H925" s="57">
        <f>IF(MONTH(Call_Centre_Data[[#This Row],[Date of Call]])&lt;=6,YEAR(Call_Centre_Data[[#This Row],[Date of Call]]),YEAR(Call_Centre_Data[[#This Row],[Date of Call]])+1)</f>
        <v>2024</v>
      </c>
      <c r="I925" s="39" t="str">
        <f>TEXT(Call_Centre_Data[[#This Row],[Date of Call]],"DDDD")</f>
        <v>Friday</v>
      </c>
      <c r="J925" s="39" t="str" cm="1">
        <f t="array" ref="J925">_xlfn.IFS(Call_Centre_Data[[#This Row],[Duration]]&lt;=10,"Under 10 Mins", Call_Centre_Data[[#This Row],[Duration]]&lt;=30,"10-30 Mins",Call_Centre_Data[[#This Row],[Duration]]&lt;=60,"30-60 Mins",Call_Centre_Data[[#This Row],[Duration]]&lt;=120,"1-2 Hours",TRUE,"More than 2 Hours")</f>
        <v>30-60 Mins</v>
      </c>
      <c r="K925" s="91">
        <f>ROUND(Call_Centre_Data[[#This Row],[Satisfaction Rating]],0)</f>
        <v>3</v>
      </c>
    </row>
    <row r="926" spans="1:11" x14ac:dyDescent="0.35">
      <c r="A926" s="56" t="s">
        <v>1931</v>
      </c>
      <c r="B926" s="57" t="s">
        <v>1007</v>
      </c>
      <c r="C926" s="87">
        <v>71</v>
      </c>
      <c r="D926" s="57" t="s">
        <v>1008</v>
      </c>
      <c r="E926" s="58">
        <v>45247</v>
      </c>
      <c r="F926" s="57">
        <v>64</v>
      </c>
      <c r="G926" s="59">
        <v>3.9</v>
      </c>
      <c r="H926" s="57">
        <f>IF(MONTH(Call_Centre_Data[[#This Row],[Date of Call]])&lt;=6,YEAR(Call_Centre_Data[[#This Row],[Date of Call]]),YEAR(Call_Centre_Data[[#This Row],[Date of Call]])+1)</f>
        <v>2024</v>
      </c>
      <c r="I926" s="39" t="str">
        <f>TEXT(Call_Centre_Data[[#This Row],[Date of Call]],"DDDD")</f>
        <v>Friday</v>
      </c>
      <c r="J926" s="39" t="str" cm="1">
        <f t="array" ref="J926">_xlfn.IFS(Call_Centre_Data[[#This Row],[Duration]]&lt;=10,"Under 10 Mins", Call_Centre_Data[[#This Row],[Duration]]&lt;=30,"10-30 Mins",Call_Centre_Data[[#This Row],[Duration]]&lt;=60,"30-60 Mins",Call_Centre_Data[[#This Row],[Duration]]&lt;=120,"1-2 Hours",TRUE,"More than 2 Hours")</f>
        <v>1-2 Hours</v>
      </c>
      <c r="K926" s="91">
        <f>ROUND(Call_Centre_Data[[#This Row],[Satisfaction Rating]],0)</f>
        <v>4</v>
      </c>
    </row>
    <row r="927" spans="1:11" x14ac:dyDescent="0.35">
      <c r="A927" s="56" t="s">
        <v>1932</v>
      </c>
      <c r="B927" s="57" t="s">
        <v>1030</v>
      </c>
      <c r="C927" s="87">
        <v>93</v>
      </c>
      <c r="D927" s="57" t="s">
        <v>989</v>
      </c>
      <c r="E927" s="58">
        <v>45248</v>
      </c>
      <c r="F927" s="57">
        <v>185</v>
      </c>
      <c r="G927" s="59">
        <v>4.3</v>
      </c>
      <c r="H927" s="57">
        <f>IF(MONTH(Call_Centre_Data[[#This Row],[Date of Call]])&lt;=6,YEAR(Call_Centre_Data[[#This Row],[Date of Call]]),YEAR(Call_Centre_Data[[#This Row],[Date of Call]])+1)</f>
        <v>2024</v>
      </c>
      <c r="I927" s="39" t="str">
        <f>TEXT(Call_Centre_Data[[#This Row],[Date of Call]],"DDDD")</f>
        <v>Saturday</v>
      </c>
      <c r="J927" s="39" t="str" cm="1">
        <f t="array" ref="J927">_xlfn.IFS(Call_Centre_Data[[#This Row],[Duration]]&lt;=10,"Under 10 Mins", Call_Centre_Data[[#This Row],[Duration]]&lt;=30,"10-30 Mins",Call_Centre_Data[[#This Row],[Duration]]&lt;=60,"30-60 Mins",Call_Centre_Data[[#This Row],[Duration]]&lt;=120,"1-2 Hours",TRUE,"More than 2 Hours")</f>
        <v>1-2 Hours</v>
      </c>
      <c r="K927" s="91">
        <f>ROUND(Call_Centre_Data[[#This Row],[Satisfaction Rating]],0)</f>
        <v>4</v>
      </c>
    </row>
    <row r="928" spans="1:11" x14ac:dyDescent="0.35">
      <c r="A928" s="56" t="s">
        <v>1933</v>
      </c>
      <c r="B928" s="57" t="s">
        <v>996</v>
      </c>
      <c r="C928" s="87">
        <v>96</v>
      </c>
      <c r="D928" s="57" t="s">
        <v>994</v>
      </c>
      <c r="E928" s="58">
        <v>45248</v>
      </c>
      <c r="F928" s="57">
        <v>215</v>
      </c>
      <c r="G928" s="59">
        <v>2.5</v>
      </c>
      <c r="H928" s="57">
        <f>IF(MONTH(Call_Centre_Data[[#This Row],[Date of Call]])&lt;=6,YEAR(Call_Centre_Data[[#This Row],[Date of Call]]),YEAR(Call_Centre_Data[[#This Row],[Date of Call]])+1)</f>
        <v>2024</v>
      </c>
      <c r="I928" s="39" t="str">
        <f>TEXT(Call_Centre_Data[[#This Row],[Date of Call]],"DDDD")</f>
        <v>Saturday</v>
      </c>
      <c r="J928" s="39" t="str" cm="1">
        <f t="array" ref="J928">_xlfn.IFS(Call_Centre_Data[[#This Row],[Duration]]&lt;=10,"Under 10 Mins", Call_Centre_Data[[#This Row],[Duration]]&lt;=30,"10-30 Mins",Call_Centre_Data[[#This Row],[Duration]]&lt;=60,"30-60 Mins",Call_Centre_Data[[#This Row],[Duration]]&lt;=120,"1-2 Hours",TRUE,"More than 2 Hours")</f>
        <v>1-2 Hours</v>
      </c>
      <c r="K928" s="91">
        <f>ROUND(Call_Centre_Data[[#This Row],[Satisfaction Rating]],0)</f>
        <v>3</v>
      </c>
    </row>
    <row r="929" spans="1:11" x14ac:dyDescent="0.35">
      <c r="A929" s="56" t="s">
        <v>1934</v>
      </c>
      <c r="B929" s="57" t="s">
        <v>1013</v>
      </c>
      <c r="C929" s="87">
        <v>31</v>
      </c>
      <c r="D929" s="57" t="s">
        <v>999</v>
      </c>
      <c r="E929" s="58">
        <v>45248</v>
      </c>
      <c r="F929" s="57">
        <v>88</v>
      </c>
      <c r="G929" s="59">
        <v>3.4</v>
      </c>
      <c r="H929" s="57">
        <f>IF(MONTH(Call_Centre_Data[[#This Row],[Date of Call]])&lt;=6,YEAR(Call_Centre_Data[[#This Row],[Date of Call]]),YEAR(Call_Centre_Data[[#This Row],[Date of Call]])+1)</f>
        <v>2024</v>
      </c>
      <c r="I929" s="39" t="str">
        <f>TEXT(Call_Centre_Data[[#This Row],[Date of Call]],"DDDD")</f>
        <v>Saturday</v>
      </c>
      <c r="J929" s="39" t="str" cm="1">
        <f t="array" ref="J929">_xlfn.IFS(Call_Centre_Data[[#This Row],[Duration]]&lt;=10,"Under 10 Mins", Call_Centre_Data[[#This Row],[Duration]]&lt;=30,"10-30 Mins",Call_Centre_Data[[#This Row],[Duration]]&lt;=60,"30-60 Mins",Call_Centre_Data[[#This Row],[Duration]]&lt;=120,"1-2 Hours",TRUE,"More than 2 Hours")</f>
        <v>30-60 Mins</v>
      </c>
      <c r="K929" s="91">
        <f>ROUND(Call_Centre_Data[[#This Row],[Satisfaction Rating]],0)</f>
        <v>3</v>
      </c>
    </row>
    <row r="930" spans="1:11" x14ac:dyDescent="0.35">
      <c r="A930" s="56" t="s">
        <v>1935</v>
      </c>
      <c r="B930" s="57" t="s">
        <v>1030</v>
      </c>
      <c r="C930" s="87">
        <v>107</v>
      </c>
      <c r="D930" s="57" t="s">
        <v>1008</v>
      </c>
      <c r="E930" s="58">
        <v>45248</v>
      </c>
      <c r="F930" s="57">
        <v>23</v>
      </c>
      <c r="G930" s="59">
        <v>3.4</v>
      </c>
      <c r="H930" s="57">
        <f>IF(MONTH(Call_Centre_Data[[#This Row],[Date of Call]])&lt;=6,YEAR(Call_Centre_Data[[#This Row],[Date of Call]]),YEAR(Call_Centre_Data[[#This Row],[Date of Call]])+1)</f>
        <v>2024</v>
      </c>
      <c r="I930" s="39" t="str">
        <f>TEXT(Call_Centre_Data[[#This Row],[Date of Call]],"DDDD")</f>
        <v>Saturday</v>
      </c>
      <c r="J930" s="39" t="str" cm="1">
        <f t="array" ref="J930">_xlfn.IFS(Call_Centre_Data[[#This Row],[Duration]]&lt;=10,"Under 10 Mins", Call_Centre_Data[[#This Row],[Duration]]&lt;=30,"10-30 Mins",Call_Centre_Data[[#This Row],[Duration]]&lt;=60,"30-60 Mins",Call_Centre_Data[[#This Row],[Duration]]&lt;=120,"1-2 Hours",TRUE,"More than 2 Hours")</f>
        <v>1-2 Hours</v>
      </c>
      <c r="K930" s="91">
        <f>ROUND(Call_Centre_Data[[#This Row],[Satisfaction Rating]],0)</f>
        <v>3</v>
      </c>
    </row>
    <row r="931" spans="1:11" x14ac:dyDescent="0.35">
      <c r="A931" s="56" t="s">
        <v>1936</v>
      </c>
      <c r="B931" s="57" t="s">
        <v>993</v>
      </c>
      <c r="C931" s="87">
        <v>50</v>
      </c>
      <c r="D931" s="57" t="s">
        <v>999</v>
      </c>
      <c r="E931" s="58">
        <v>45249</v>
      </c>
      <c r="F931" s="57">
        <v>180</v>
      </c>
      <c r="G931" s="59">
        <v>1.8</v>
      </c>
      <c r="H931" s="57">
        <f>IF(MONTH(Call_Centre_Data[[#This Row],[Date of Call]])&lt;=6,YEAR(Call_Centre_Data[[#This Row],[Date of Call]]),YEAR(Call_Centre_Data[[#This Row],[Date of Call]])+1)</f>
        <v>2024</v>
      </c>
      <c r="I931" s="39" t="str">
        <f>TEXT(Call_Centre_Data[[#This Row],[Date of Call]],"DDDD")</f>
        <v>Sunday</v>
      </c>
      <c r="J931" s="39" t="str" cm="1">
        <f t="array" ref="J931">_xlfn.IFS(Call_Centre_Data[[#This Row],[Duration]]&lt;=10,"Under 10 Mins", Call_Centre_Data[[#This Row],[Duration]]&lt;=30,"10-30 Mins",Call_Centre_Data[[#This Row],[Duration]]&lt;=60,"30-60 Mins",Call_Centre_Data[[#This Row],[Duration]]&lt;=120,"1-2 Hours",TRUE,"More than 2 Hours")</f>
        <v>30-60 Mins</v>
      </c>
      <c r="K931" s="91">
        <f>ROUND(Call_Centre_Data[[#This Row],[Satisfaction Rating]],0)</f>
        <v>2</v>
      </c>
    </row>
    <row r="932" spans="1:11" x14ac:dyDescent="0.35">
      <c r="A932" s="56" t="s">
        <v>1937</v>
      </c>
      <c r="B932" s="57" t="s">
        <v>1040</v>
      </c>
      <c r="C932" s="87">
        <v>69</v>
      </c>
      <c r="D932" s="57" t="s">
        <v>1008</v>
      </c>
      <c r="E932" s="58">
        <v>45250</v>
      </c>
      <c r="F932" s="57">
        <v>225</v>
      </c>
      <c r="G932" s="59">
        <v>3.7</v>
      </c>
      <c r="H932" s="57">
        <f>IF(MONTH(Call_Centre_Data[[#This Row],[Date of Call]])&lt;=6,YEAR(Call_Centre_Data[[#This Row],[Date of Call]]),YEAR(Call_Centre_Data[[#This Row],[Date of Call]])+1)</f>
        <v>2024</v>
      </c>
      <c r="I932" s="39" t="str">
        <f>TEXT(Call_Centre_Data[[#This Row],[Date of Call]],"DDDD")</f>
        <v>Monday</v>
      </c>
      <c r="J932" s="39" t="str" cm="1">
        <f t="array" ref="J932">_xlfn.IFS(Call_Centre_Data[[#This Row],[Duration]]&lt;=10,"Under 10 Mins", Call_Centre_Data[[#This Row],[Duration]]&lt;=30,"10-30 Mins",Call_Centre_Data[[#This Row],[Duration]]&lt;=60,"30-60 Mins",Call_Centre_Data[[#This Row],[Duration]]&lt;=120,"1-2 Hours",TRUE,"More than 2 Hours")</f>
        <v>1-2 Hours</v>
      </c>
      <c r="K932" s="91">
        <f>ROUND(Call_Centre_Data[[#This Row],[Satisfaction Rating]],0)</f>
        <v>4</v>
      </c>
    </row>
    <row r="933" spans="1:11" x14ac:dyDescent="0.35">
      <c r="A933" s="56" t="s">
        <v>1938</v>
      </c>
      <c r="B933" s="57" t="s">
        <v>998</v>
      </c>
      <c r="C933" s="87">
        <v>26</v>
      </c>
      <c r="D933" s="57" t="s">
        <v>994</v>
      </c>
      <c r="E933" s="58">
        <v>45251</v>
      </c>
      <c r="F933" s="57">
        <v>74</v>
      </c>
      <c r="G933" s="59">
        <v>4.0999999999999996</v>
      </c>
      <c r="H933" s="57">
        <f>IF(MONTH(Call_Centre_Data[[#This Row],[Date of Call]])&lt;=6,YEAR(Call_Centre_Data[[#This Row],[Date of Call]]),YEAR(Call_Centre_Data[[#This Row],[Date of Call]])+1)</f>
        <v>2024</v>
      </c>
      <c r="I933" s="39" t="str">
        <f>TEXT(Call_Centre_Data[[#This Row],[Date of Call]],"DDDD")</f>
        <v>Tuesday</v>
      </c>
      <c r="J933" s="39" t="str" cm="1">
        <f t="array" ref="J933">_xlfn.IFS(Call_Centre_Data[[#This Row],[Duration]]&lt;=10,"Under 10 Mins", Call_Centre_Data[[#This Row],[Duration]]&lt;=30,"10-30 Mins",Call_Centre_Data[[#This Row],[Duration]]&lt;=60,"30-60 Mins",Call_Centre_Data[[#This Row],[Duration]]&lt;=120,"1-2 Hours",TRUE,"More than 2 Hours")</f>
        <v>10-30 Mins</v>
      </c>
      <c r="K933" s="91">
        <f>ROUND(Call_Centre_Data[[#This Row],[Satisfaction Rating]],0)</f>
        <v>4</v>
      </c>
    </row>
    <row r="934" spans="1:11" x14ac:dyDescent="0.35">
      <c r="A934" s="56" t="s">
        <v>1939</v>
      </c>
      <c r="B934" s="57" t="s">
        <v>996</v>
      </c>
      <c r="C934" s="87">
        <v>158</v>
      </c>
      <c r="D934" s="57" t="s">
        <v>1008</v>
      </c>
      <c r="E934" s="58">
        <v>45251</v>
      </c>
      <c r="F934" s="57">
        <v>36</v>
      </c>
      <c r="G934" s="59">
        <v>3</v>
      </c>
      <c r="H934" s="57">
        <f>IF(MONTH(Call_Centre_Data[[#This Row],[Date of Call]])&lt;=6,YEAR(Call_Centre_Data[[#This Row],[Date of Call]]),YEAR(Call_Centre_Data[[#This Row],[Date of Call]])+1)</f>
        <v>2024</v>
      </c>
      <c r="I934" s="39" t="str">
        <f>TEXT(Call_Centre_Data[[#This Row],[Date of Call]],"DDDD")</f>
        <v>Tuesday</v>
      </c>
      <c r="J934" s="39" t="str" cm="1">
        <f t="array" ref="J934">_xlfn.IFS(Call_Centre_Data[[#This Row],[Duration]]&lt;=10,"Under 10 Mins", Call_Centre_Data[[#This Row],[Duration]]&lt;=30,"10-30 Mins",Call_Centre_Data[[#This Row],[Duration]]&lt;=60,"30-60 Mins",Call_Centre_Data[[#This Row],[Duration]]&lt;=120,"1-2 Hours",TRUE,"More than 2 Hours")</f>
        <v>More than 2 Hours</v>
      </c>
      <c r="K934" s="91">
        <f>ROUND(Call_Centre_Data[[#This Row],[Satisfaction Rating]],0)</f>
        <v>3</v>
      </c>
    </row>
    <row r="935" spans="1:11" x14ac:dyDescent="0.35">
      <c r="A935" s="56" t="s">
        <v>1940</v>
      </c>
      <c r="B935" s="57" t="s">
        <v>1002</v>
      </c>
      <c r="C935" s="87">
        <v>99</v>
      </c>
      <c r="D935" s="57" t="s">
        <v>1008</v>
      </c>
      <c r="E935" s="58">
        <v>45253</v>
      </c>
      <c r="F935" s="57">
        <v>116</v>
      </c>
      <c r="G935" s="59">
        <v>3.9</v>
      </c>
      <c r="H935" s="57">
        <f>IF(MONTH(Call_Centre_Data[[#This Row],[Date of Call]])&lt;=6,YEAR(Call_Centre_Data[[#This Row],[Date of Call]]),YEAR(Call_Centre_Data[[#This Row],[Date of Call]])+1)</f>
        <v>2024</v>
      </c>
      <c r="I935" s="39" t="str">
        <f>TEXT(Call_Centre_Data[[#This Row],[Date of Call]],"DDDD")</f>
        <v>Thursday</v>
      </c>
      <c r="J935" s="39" t="str" cm="1">
        <f t="array" ref="J935">_xlfn.IFS(Call_Centre_Data[[#This Row],[Duration]]&lt;=10,"Under 10 Mins", Call_Centre_Data[[#This Row],[Duration]]&lt;=30,"10-30 Mins",Call_Centre_Data[[#This Row],[Duration]]&lt;=60,"30-60 Mins",Call_Centre_Data[[#This Row],[Duration]]&lt;=120,"1-2 Hours",TRUE,"More than 2 Hours")</f>
        <v>1-2 Hours</v>
      </c>
      <c r="K935" s="91">
        <f>ROUND(Call_Centre_Data[[#This Row],[Satisfaction Rating]],0)</f>
        <v>4</v>
      </c>
    </row>
    <row r="936" spans="1:11" x14ac:dyDescent="0.35">
      <c r="A936" s="56" t="s">
        <v>1941</v>
      </c>
      <c r="B936" s="57" t="s">
        <v>996</v>
      </c>
      <c r="C936" s="87">
        <v>78</v>
      </c>
      <c r="D936" s="57" t="s">
        <v>999</v>
      </c>
      <c r="E936" s="58">
        <v>45253</v>
      </c>
      <c r="F936" s="57">
        <v>140</v>
      </c>
      <c r="G936" s="59">
        <v>4</v>
      </c>
      <c r="H936" s="57">
        <f>IF(MONTH(Call_Centre_Data[[#This Row],[Date of Call]])&lt;=6,YEAR(Call_Centre_Data[[#This Row],[Date of Call]]),YEAR(Call_Centre_Data[[#This Row],[Date of Call]])+1)</f>
        <v>2024</v>
      </c>
      <c r="I936" s="39" t="str">
        <f>TEXT(Call_Centre_Data[[#This Row],[Date of Call]],"DDDD")</f>
        <v>Thursday</v>
      </c>
      <c r="J936" s="39" t="str" cm="1">
        <f t="array" ref="J936">_xlfn.IFS(Call_Centre_Data[[#This Row],[Duration]]&lt;=10,"Under 10 Mins", Call_Centre_Data[[#This Row],[Duration]]&lt;=30,"10-30 Mins",Call_Centre_Data[[#This Row],[Duration]]&lt;=60,"30-60 Mins",Call_Centre_Data[[#This Row],[Duration]]&lt;=120,"1-2 Hours",TRUE,"More than 2 Hours")</f>
        <v>1-2 Hours</v>
      </c>
      <c r="K936" s="91">
        <f>ROUND(Call_Centre_Data[[#This Row],[Satisfaction Rating]],0)</f>
        <v>4</v>
      </c>
    </row>
    <row r="937" spans="1:11" x14ac:dyDescent="0.35">
      <c r="A937" s="56" t="s">
        <v>1942</v>
      </c>
      <c r="B937" s="57" t="s">
        <v>996</v>
      </c>
      <c r="C937" s="87">
        <v>102</v>
      </c>
      <c r="D937" s="57" t="s">
        <v>994</v>
      </c>
      <c r="E937" s="58">
        <v>45254</v>
      </c>
      <c r="F937" s="57">
        <v>104</v>
      </c>
      <c r="G937" s="59">
        <v>4.5</v>
      </c>
      <c r="H937" s="57">
        <f>IF(MONTH(Call_Centre_Data[[#This Row],[Date of Call]])&lt;=6,YEAR(Call_Centre_Data[[#This Row],[Date of Call]]),YEAR(Call_Centre_Data[[#This Row],[Date of Call]])+1)</f>
        <v>2024</v>
      </c>
      <c r="I937" s="39" t="str">
        <f>TEXT(Call_Centre_Data[[#This Row],[Date of Call]],"DDDD")</f>
        <v>Friday</v>
      </c>
      <c r="J937" s="39" t="str" cm="1">
        <f t="array" ref="J937">_xlfn.IFS(Call_Centre_Data[[#This Row],[Duration]]&lt;=10,"Under 10 Mins", Call_Centre_Data[[#This Row],[Duration]]&lt;=30,"10-30 Mins",Call_Centre_Data[[#This Row],[Duration]]&lt;=60,"30-60 Mins",Call_Centre_Data[[#This Row],[Duration]]&lt;=120,"1-2 Hours",TRUE,"More than 2 Hours")</f>
        <v>1-2 Hours</v>
      </c>
      <c r="K937" s="91">
        <f>ROUND(Call_Centre_Data[[#This Row],[Satisfaction Rating]],0)</f>
        <v>5</v>
      </c>
    </row>
    <row r="938" spans="1:11" x14ac:dyDescent="0.35">
      <c r="A938" s="56" t="s">
        <v>1943</v>
      </c>
      <c r="B938" s="57" t="s">
        <v>1002</v>
      </c>
      <c r="C938" s="87">
        <v>158</v>
      </c>
      <c r="D938" s="57" t="s">
        <v>1004</v>
      </c>
      <c r="E938" s="58">
        <v>45254</v>
      </c>
      <c r="F938" s="57">
        <v>148</v>
      </c>
      <c r="G938" s="59">
        <v>4</v>
      </c>
      <c r="H938" s="57">
        <f>IF(MONTH(Call_Centre_Data[[#This Row],[Date of Call]])&lt;=6,YEAR(Call_Centre_Data[[#This Row],[Date of Call]]),YEAR(Call_Centre_Data[[#This Row],[Date of Call]])+1)</f>
        <v>2024</v>
      </c>
      <c r="I938" s="39" t="str">
        <f>TEXT(Call_Centre_Data[[#This Row],[Date of Call]],"DDDD")</f>
        <v>Friday</v>
      </c>
      <c r="J938" s="39" t="str" cm="1">
        <f t="array" ref="J938">_xlfn.IFS(Call_Centre_Data[[#This Row],[Duration]]&lt;=10,"Under 10 Mins", Call_Centre_Data[[#This Row],[Duration]]&lt;=30,"10-30 Mins",Call_Centre_Data[[#This Row],[Duration]]&lt;=60,"30-60 Mins",Call_Centre_Data[[#This Row],[Duration]]&lt;=120,"1-2 Hours",TRUE,"More than 2 Hours")</f>
        <v>More than 2 Hours</v>
      </c>
      <c r="K938" s="91">
        <f>ROUND(Call_Centre_Data[[#This Row],[Satisfaction Rating]],0)</f>
        <v>4</v>
      </c>
    </row>
    <row r="939" spans="1:11" x14ac:dyDescent="0.35">
      <c r="A939" s="56" t="s">
        <v>1944</v>
      </c>
      <c r="B939" s="57" t="s">
        <v>1013</v>
      </c>
      <c r="C939" s="87">
        <v>56</v>
      </c>
      <c r="D939" s="57" t="s">
        <v>1008</v>
      </c>
      <c r="E939" s="58">
        <v>45254</v>
      </c>
      <c r="F939" s="57">
        <v>205</v>
      </c>
      <c r="G939" s="59">
        <v>4.3</v>
      </c>
      <c r="H939" s="57">
        <f>IF(MONTH(Call_Centre_Data[[#This Row],[Date of Call]])&lt;=6,YEAR(Call_Centre_Data[[#This Row],[Date of Call]]),YEAR(Call_Centre_Data[[#This Row],[Date of Call]])+1)</f>
        <v>2024</v>
      </c>
      <c r="I939" s="39" t="str">
        <f>TEXT(Call_Centre_Data[[#This Row],[Date of Call]],"DDDD")</f>
        <v>Friday</v>
      </c>
      <c r="J939" s="39" t="str" cm="1">
        <f t="array" ref="J939">_xlfn.IFS(Call_Centre_Data[[#This Row],[Duration]]&lt;=10,"Under 10 Mins", Call_Centre_Data[[#This Row],[Duration]]&lt;=30,"10-30 Mins",Call_Centre_Data[[#This Row],[Duration]]&lt;=60,"30-60 Mins",Call_Centre_Data[[#This Row],[Duration]]&lt;=120,"1-2 Hours",TRUE,"More than 2 Hours")</f>
        <v>30-60 Mins</v>
      </c>
      <c r="K939" s="91">
        <f>ROUND(Call_Centre_Data[[#This Row],[Satisfaction Rating]],0)</f>
        <v>4</v>
      </c>
    </row>
    <row r="940" spans="1:11" x14ac:dyDescent="0.35">
      <c r="A940" s="56" t="s">
        <v>1945</v>
      </c>
      <c r="B940" s="57" t="s">
        <v>991</v>
      </c>
      <c r="C940" s="87">
        <v>17</v>
      </c>
      <c r="D940" s="57" t="s">
        <v>989</v>
      </c>
      <c r="E940" s="58">
        <v>45254</v>
      </c>
      <c r="F940" s="57">
        <v>210</v>
      </c>
      <c r="G940" s="59">
        <v>4.8</v>
      </c>
      <c r="H940" s="57">
        <f>IF(MONTH(Call_Centre_Data[[#This Row],[Date of Call]])&lt;=6,YEAR(Call_Centre_Data[[#This Row],[Date of Call]]),YEAR(Call_Centre_Data[[#This Row],[Date of Call]])+1)</f>
        <v>2024</v>
      </c>
      <c r="I940" s="39" t="str">
        <f>TEXT(Call_Centre_Data[[#This Row],[Date of Call]],"DDDD")</f>
        <v>Friday</v>
      </c>
      <c r="J940" s="39" t="str" cm="1">
        <f t="array" ref="J940">_xlfn.IFS(Call_Centre_Data[[#This Row],[Duration]]&lt;=10,"Under 10 Mins", Call_Centre_Data[[#This Row],[Duration]]&lt;=30,"10-30 Mins",Call_Centre_Data[[#This Row],[Duration]]&lt;=60,"30-60 Mins",Call_Centre_Data[[#This Row],[Duration]]&lt;=120,"1-2 Hours",TRUE,"More than 2 Hours")</f>
        <v>10-30 Mins</v>
      </c>
      <c r="K940" s="91">
        <f>ROUND(Call_Centre_Data[[#This Row],[Satisfaction Rating]],0)</f>
        <v>5</v>
      </c>
    </row>
    <row r="941" spans="1:11" x14ac:dyDescent="0.35">
      <c r="A941" s="56" t="s">
        <v>1946</v>
      </c>
      <c r="B941" s="57" t="s">
        <v>998</v>
      </c>
      <c r="C941" s="87">
        <v>104</v>
      </c>
      <c r="D941" s="57" t="s">
        <v>1004</v>
      </c>
      <c r="E941" s="58">
        <v>45256</v>
      </c>
      <c r="F941" s="57">
        <v>41</v>
      </c>
      <c r="G941" s="59">
        <v>4.7</v>
      </c>
      <c r="H941" s="57">
        <f>IF(MONTH(Call_Centre_Data[[#This Row],[Date of Call]])&lt;=6,YEAR(Call_Centre_Data[[#This Row],[Date of Call]]),YEAR(Call_Centre_Data[[#This Row],[Date of Call]])+1)</f>
        <v>2024</v>
      </c>
      <c r="I941" s="39" t="str">
        <f>TEXT(Call_Centre_Data[[#This Row],[Date of Call]],"DDDD")</f>
        <v>Sunday</v>
      </c>
      <c r="J941" s="39" t="str" cm="1">
        <f t="array" ref="J941">_xlfn.IFS(Call_Centre_Data[[#This Row],[Duration]]&lt;=10,"Under 10 Mins", Call_Centre_Data[[#This Row],[Duration]]&lt;=30,"10-30 Mins",Call_Centre_Data[[#This Row],[Duration]]&lt;=60,"30-60 Mins",Call_Centre_Data[[#This Row],[Duration]]&lt;=120,"1-2 Hours",TRUE,"More than 2 Hours")</f>
        <v>1-2 Hours</v>
      </c>
      <c r="K941" s="91">
        <f>ROUND(Call_Centre_Data[[#This Row],[Satisfaction Rating]],0)</f>
        <v>5</v>
      </c>
    </row>
    <row r="942" spans="1:11" x14ac:dyDescent="0.35">
      <c r="A942" s="56" t="s">
        <v>1947</v>
      </c>
      <c r="B942" s="57" t="s">
        <v>1027</v>
      </c>
      <c r="C942" s="87">
        <v>96</v>
      </c>
      <c r="D942" s="57" t="s">
        <v>999</v>
      </c>
      <c r="E942" s="58">
        <v>45256</v>
      </c>
      <c r="F942" s="57">
        <v>136</v>
      </c>
      <c r="G942" s="59">
        <v>5</v>
      </c>
      <c r="H942" s="57">
        <f>IF(MONTH(Call_Centre_Data[[#This Row],[Date of Call]])&lt;=6,YEAR(Call_Centre_Data[[#This Row],[Date of Call]]),YEAR(Call_Centre_Data[[#This Row],[Date of Call]])+1)</f>
        <v>2024</v>
      </c>
      <c r="I942" s="39" t="str">
        <f>TEXT(Call_Centre_Data[[#This Row],[Date of Call]],"DDDD")</f>
        <v>Sunday</v>
      </c>
      <c r="J942" s="39" t="str" cm="1">
        <f t="array" ref="J942">_xlfn.IFS(Call_Centre_Data[[#This Row],[Duration]]&lt;=10,"Under 10 Mins", Call_Centre_Data[[#This Row],[Duration]]&lt;=30,"10-30 Mins",Call_Centre_Data[[#This Row],[Duration]]&lt;=60,"30-60 Mins",Call_Centre_Data[[#This Row],[Duration]]&lt;=120,"1-2 Hours",TRUE,"More than 2 Hours")</f>
        <v>1-2 Hours</v>
      </c>
      <c r="K942" s="91">
        <f>ROUND(Call_Centre_Data[[#This Row],[Satisfaction Rating]],0)</f>
        <v>5</v>
      </c>
    </row>
    <row r="943" spans="1:11" x14ac:dyDescent="0.35">
      <c r="A943" s="56" t="s">
        <v>1948</v>
      </c>
      <c r="B943" s="57" t="s">
        <v>1019</v>
      </c>
      <c r="C943" s="87">
        <v>83</v>
      </c>
      <c r="D943" s="57" t="s">
        <v>994</v>
      </c>
      <c r="E943" s="58">
        <v>45257</v>
      </c>
      <c r="F943" s="57">
        <v>126</v>
      </c>
      <c r="G943" s="59">
        <v>1.5</v>
      </c>
      <c r="H943" s="57">
        <f>IF(MONTH(Call_Centre_Data[[#This Row],[Date of Call]])&lt;=6,YEAR(Call_Centre_Data[[#This Row],[Date of Call]]),YEAR(Call_Centre_Data[[#This Row],[Date of Call]])+1)</f>
        <v>2024</v>
      </c>
      <c r="I943" s="39" t="str">
        <f>TEXT(Call_Centre_Data[[#This Row],[Date of Call]],"DDDD")</f>
        <v>Monday</v>
      </c>
      <c r="J943" s="39" t="str" cm="1">
        <f t="array" ref="J943">_xlfn.IFS(Call_Centre_Data[[#This Row],[Duration]]&lt;=10,"Under 10 Mins", Call_Centre_Data[[#This Row],[Duration]]&lt;=30,"10-30 Mins",Call_Centre_Data[[#This Row],[Duration]]&lt;=60,"30-60 Mins",Call_Centre_Data[[#This Row],[Duration]]&lt;=120,"1-2 Hours",TRUE,"More than 2 Hours")</f>
        <v>1-2 Hours</v>
      </c>
      <c r="K943" s="91">
        <f>ROUND(Call_Centre_Data[[#This Row],[Satisfaction Rating]],0)</f>
        <v>2</v>
      </c>
    </row>
    <row r="944" spans="1:11" x14ac:dyDescent="0.35">
      <c r="A944" s="56" t="s">
        <v>1949</v>
      </c>
      <c r="B944" s="57" t="s">
        <v>993</v>
      </c>
      <c r="C944" s="87">
        <v>80</v>
      </c>
      <c r="D944" s="57" t="s">
        <v>989</v>
      </c>
      <c r="E944" s="58">
        <v>45258</v>
      </c>
      <c r="F944" s="57">
        <v>148</v>
      </c>
      <c r="G944" s="59">
        <v>4.0999999999999996</v>
      </c>
      <c r="H944" s="57">
        <f>IF(MONTH(Call_Centre_Data[[#This Row],[Date of Call]])&lt;=6,YEAR(Call_Centre_Data[[#This Row],[Date of Call]]),YEAR(Call_Centre_Data[[#This Row],[Date of Call]])+1)</f>
        <v>2024</v>
      </c>
      <c r="I944" s="39" t="str">
        <f>TEXT(Call_Centre_Data[[#This Row],[Date of Call]],"DDDD")</f>
        <v>Tuesday</v>
      </c>
      <c r="J944" s="39" t="str" cm="1">
        <f t="array" ref="J944">_xlfn.IFS(Call_Centre_Data[[#This Row],[Duration]]&lt;=10,"Under 10 Mins", Call_Centre_Data[[#This Row],[Duration]]&lt;=30,"10-30 Mins",Call_Centre_Data[[#This Row],[Duration]]&lt;=60,"30-60 Mins",Call_Centre_Data[[#This Row],[Duration]]&lt;=120,"1-2 Hours",TRUE,"More than 2 Hours")</f>
        <v>1-2 Hours</v>
      </c>
      <c r="K944" s="91">
        <f>ROUND(Call_Centre_Data[[#This Row],[Satisfaction Rating]],0)</f>
        <v>4</v>
      </c>
    </row>
    <row r="945" spans="1:11" x14ac:dyDescent="0.35">
      <c r="A945" s="56" t="s">
        <v>1950</v>
      </c>
      <c r="B945" s="57" t="s">
        <v>1019</v>
      </c>
      <c r="C945" s="87">
        <v>152</v>
      </c>
      <c r="D945" s="57" t="s">
        <v>994</v>
      </c>
      <c r="E945" s="58">
        <v>45258</v>
      </c>
      <c r="F945" s="57">
        <v>125</v>
      </c>
      <c r="G945" s="59">
        <v>3.9</v>
      </c>
      <c r="H945" s="57">
        <f>IF(MONTH(Call_Centre_Data[[#This Row],[Date of Call]])&lt;=6,YEAR(Call_Centre_Data[[#This Row],[Date of Call]]),YEAR(Call_Centre_Data[[#This Row],[Date of Call]])+1)</f>
        <v>2024</v>
      </c>
      <c r="I945" s="39" t="str">
        <f>TEXT(Call_Centre_Data[[#This Row],[Date of Call]],"DDDD")</f>
        <v>Tuesday</v>
      </c>
      <c r="J945" s="39" t="str" cm="1">
        <f t="array" ref="J945">_xlfn.IFS(Call_Centre_Data[[#This Row],[Duration]]&lt;=10,"Under 10 Mins", Call_Centre_Data[[#This Row],[Duration]]&lt;=30,"10-30 Mins",Call_Centre_Data[[#This Row],[Duration]]&lt;=60,"30-60 Mins",Call_Centre_Data[[#This Row],[Duration]]&lt;=120,"1-2 Hours",TRUE,"More than 2 Hours")</f>
        <v>More than 2 Hours</v>
      </c>
      <c r="K945" s="91">
        <f>ROUND(Call_Centre_Data[[#This Row],[Satisfaction Rating]],0)</f>
        <v>4</v>
      </c>
    </row>
    <row r="946" spans="1:11" x14ac:dyDescent="0.35">
      <c r="A946" s="56" t="s">
        <v>1951</v>
      </c>
      <c r="B946" s="57" t="s">
        <v>1007</v>
      </c>
      <c r="C946" s="87">
        <v>34</v>
      </c>
      <c r="D946" s="57" t="s">
        <v>999</v>
      </c>
      <c r="E946" s="58">
        <v>45258</v>
      </c>
      <c r="F946" s="57">
        <v>25</v>
      </c>
      <c r="G946" s="59">
        <v>4.0999999999999996</v>
      </c>
      <c r="H946" s="57">
        <f>IF(MONTH(Call_Centre_Data[[#This Row],[Date of Call]])&lt;=6,YEAR(Call_Centre_Data[[#This Row],[Date of Call]]),YEAR(Call_Centre_Data[[#This Row],[Date of Call]])+1)</f>
        <v>2024</v>
      </c>
      <c r="I946" s="39" t="str">
        <f>TEXT(Call_Centre_Data[[#This Row],[Date of Call]],"DDDD")</f>
        <v>Tuesday</v>
      </c>
      <c r="J946" s="39" t="str" cm="1">
        <f t="array" ref="J946">_xlfn.IFS(Call_Centre_Data[[#This Row],[Duration]]&lt;=10,"Under 10 Mins", Call_Centre_Data[[#This Row],[Duration]]&lt;=30,"10-30 Mins",Call_Centre_Data[[#This Row],[Duration]]&lt;=60,"30-60 Mins",Call_Centre_Data[[#This Row],[Duration]]&lt;=120,"1-2 Hours",TRUE,"More than 2 Hours")</f>
        <v>30-60 Mins</v>
      </c>
      <c r="K946" s="91">
        <f>ROUND(Call_Centre_Data[[#This Row],[Satisfaction Rating]],0)</f>
        <v>4</v>
      </c>
    </row>
    <row r="947" spans="1:11" x14ac:dyDescent="0.35">
      <c r="A947" s="56" t="s">
        <v>1952</v>
      </c>
      <c r="B947" s="57" t="s">
        <v>1011</v>
      </c>
      <c r="C947" s="87">
        <v>2</v>
      </c>
      <c r="D947" s="57" t="s">
        <v>1008</v>
      </c>
      <c r="E947" s="58">
        <v>45259</v>
      </c>
      <c r="F947" s="57">
        <v>62</v>
      </c>
      <c r="G947" s="59">
        <v>2.8</v>
      </c>
      <c r="H947" s="57">
        <f>IF(MONTH(Call_Centre_Data[[#This Row],[Date of Call]])&lt;=6,YEAR(Call_Centre_Data[[#This Row],[Date of Call]]),YEAR(Call_Centre_Data[[#This Row],[Date of Call]])+1)</f>
        <v>2024</v>
      </c>
      <c r="I947" s="39" t="str">
        <f>TEXT(Call_Centre_Data[[#This Row],[Date of Call]],"DDDD")</f>
        <v>Wednesday</v>
      </c>
      <c r="J947" s="39" t="str" cm="1">
        <f t="array" ref="J947">_xlfn.IFS(Call_Centre_Data[[#This Row],[Duration]]&lt;=10,"Under 10 Mins", Call_Centre_Data[[#This Row],[Duration]]&lt;=30,"10-30 Mins",Call_Centre_Data[[#This Row],[Duration]]&lt;=60,"30-60 Mins",Call_Centre_Data[[#This Row],[Duration]]&lt;=120,"1-2 Hours",TRUE,"More than 2 Hours")</f>
        <v>Under 10 Mins</v>
      </c>
      <c r="K947" s="91">
        <f>ROUND(Call_Centre_Data[[#This Row],[Satisfaction Rating]],0)</f>
        <v>3</v>
      </c>
    </row>
    <row r="948" spans="1:11" x14ac:dyDescent="0.35">
      <c r="A948" s="56" t="s">
        <v>1953</v>
      </c>
      <c r="B948" s="57" t="s">
        <v>993</v>
      </c>
      <c r="C948" s="87">
        <v>140</v>
      </c>
      <c r="D948" s="57" t="s">
        <v>999</v>
      </c>
      <c r="E948" s="58">
        <v>45260</v>
      </c>
      <c r="F948" s="57">
        <v>90</v>
      </c>
      <c r="G948" s="59">
        <v>4.5999999999999996</v>
      </c>
      <c r="H948" s="57">
        <f>IF(MONTH(Call_Centre_Data[[#This Row],[Date of Call]])&lt;=6,YEAR(Call_Centre_Data[[#This Row],[Date of Call]]),YEAR(Call_Centre_Data[[#This Row],[Date of Call]])+1)</f>
        <v>2024</v>
      </c>
      <c r="I948" s="39" t="str">
        <f>TEXT(Call_Centre_Data[[#This Row],[Date of Call]],"DDDD")</f>
        <v>Thursday</v>
      </c>
      <c r="J948" s="39" t="str" cm="1">
        <f t="array" ref="J948">_xlfn.IFS(Call_Centre_Data[[#This Row],[Duration]]&lt;=10,"Under 10 Mins", Call_Centre_Data[[#This Row],[Duration]]&lt;=30,"10-30 Mins",Call_Centre_Data[[#This Row],[Duration]]&lt;=60,"30-60 Mins",Call_Centre_Data[[#This Row],[Duration]]&lt;=120,"1-2 Hours",TRUE,"More than 2 Hours")</f>
        <v>More than 2 Hours</v>
      </c>
      <c r="K948" s="91">
        <f>ROUND(Call_Centre_Data[[#This Row],[Satisfaction Rating]],0)</f>
        <v>5</v>
      </c>
    </row>
    <row r="949" spans="1:11" x14ac:dyDescent="0.35">
      <c r="A949" s="56" t="s">
        <v>1954</v>
      </c>
      <c r="B949" s="57" t="s">
        <v>991</v>
      </c>
      <c r="C949" s="87">
        <v>126</v>
      </c>
      <c r="D949" s="57" t="s">
        <v>1004</v>
      </c>
      <c r="E949" s="58">
        <v>45261</v>
      </c>
      <c r="F949" s="57">
        <v>33</v>
      </c>
      <c r="G949" s="59">
        <v>4.8</v>
      </c>
      <c r="H949" s="57">
        <f>IF(MONTH(Call_Centre_Data[[#This Row],[Date of Call]])&lt;=6,YEAR(Call_Centre_Data[[#This Row],[Date of Call]]),YEAR(Call_Centre_Data[[#This Row],[Date of Call]])+1)</f>
        <v>2024</v>
      </c>
      <c r="I949" s="39" t="str">
        <f>TEXT(Call_Centre_Data[[#This Row],[Date of Call]],"DDDD")</f>
        <v>Friday</v>
      </c>
      <c r="J949" s="39" t="str" cm="1">
        <f t="array" ref="J949">_xlfn.IFS(Call_Centre_Data[[#This Row],[Duration]]&lt;=10,"Under 10 Mins", Call_Centre_Data[[#This Row],[Duration]]&lt;=30,"10-30 Mins",Call_Centre_Data[[#This Row],[Duration]]&lt;=60,"30-60 Mins",Call_Centre_Data[[#This Row],[Duration]]&lt;=120,"1-2 Hours",TRUE,"More than 2 Hours")</f>
        <v>More than 2 Hours</v>
      </c>
      <c r="K949" s="91">
        <f>ROUND(Call_Centre_Data[[#This Row],[Satisfaction Rating]],0)</f>
        <v>5</v>
      </c>
    </row>
    <row r="950" spans="1:11" x14ac:dyDescent="0.35">
      <c r="A950" s="56" t="s">
        <v>1955</v>
      </c>
      <c r="B950" s="57" t="s">
        <v>996</v>
      </c>
      <c r="C950" s="87">
        <v>79</v>
      </c>
      <c r="D950" s="57" t="s">
        <v>1008</v>
      </c>
      <c r="E950" s="58">
        <v>45261</v>
      </c>
      <c r="F950" s="57">
        <v>115</v>
      </c>
      <c r="G950" s="59">
        <v>2.2999999999999998</v>
      </c>
      <c r="H950" s="57">
        <f>IF(MONTH(Call_Centre_Data[[#This Row],[Date of Call]])&lt;=6,YEAR(Call_Centre_Data[[#This Row],[Date of Call]]),YEAR(Call_Centre_Data[[#This Row],[Date of Call]])+1)</f>
        <v>2024</v>
      </c>
      <c r="I950" s="39" t="str">
        <f>TEXT(Call_Centre_Data[[#This Row],[Date of Call]],"DDDD")</f>
        <v>Friday</v>
      </c>
      <c r="J950" s="39" t="str" cm="1">
        <f t="array" ref="J950">_xlfn.IFS(Call_Centre_Data[[#This Row],[Duration]]&lt;=10,"Under 10 Mins", Call_Centre_Data[[#This Row],[Duration]]&lt;=30,"10-30 Mins",Call_Centre_Data[[#This Row],[Duration]]&lt;=60,"30-60 Mins",Call_Centre_Data[[#This Row],[Duration]]&lt;=120,"1-2 Hours",TRUE,"More than 2 Hours")</f>
        <v>1-2 Hours</v>
      </c>
      <c r="K950" s="91">
        <f>ROUND(Call_Centre_Data[[#This Row],[Satisfaction Rating]],0)</f>
        <v>2</v>
      </c>
    </row>
    <row r="951" spans="1:11" x14ac:dyDescent="0.35">
      <c r="A951" s="56" t="s">
        <v>1956</v>
      </c>
      <c r="B951" s="57" t="s">
        <v>991</v>
      </c>
      <c r="C951" s="87">
        <v>133</v>
      </c>
      <c r="D951" s="57" t="s">
        <v>1004</v>
      </c>
      <c r="E951" s="58">
        <v>45261</v>
      </c>
      <c r="F951" s="57">
        <v>45</v>
      </c>
      <c r="G951" s="59">
        <v>2.6</v>
      </c>
      <c r="H951" s="57">
        <f>IF(MONTH(Call_Centre_Data[[#This Row],[Date of Call]])&lt;=6,YEAR(Call_Centre_Data[[#This Row],[Date of Call]]),YEAR(Call_Centre_Data[[#This Row],[Date of Call]])+1)</f>
        <v>2024</v>
      </c>
      <c r="I951" s="39" t="str">
        <f>TEXT(Call_Centre_Data[[#This Row],[Date of Call]],"DDDD")</f>
        <v>Friday</v>
      </c>
      <c r="J951" s="39" t="str" cm="1">
        <f t="array" ref="J951">_xlfn.IFS(Call_Centre_Data[[#This Row],[Duration]]&lt;=10,"Under 10 Mins", Call_Centre_Data[[#This Row],[Duration]]&lt;=30,"10-30 Mins",Call_Centre_Data[[#This Row],[Duration]]&lt;=60,"30-60 Mins",Call_Centre_Data[[#This Row],[Duration]]&lt;=120,"1-2 Hours",TRUE,"More than 2 Hours")</f>
        <v>More than 2 Hours</v>
      </c>
      <c r="K951" s="91">
        <f>ROUND(Call_Centre_Data[[#This Row],[Satisfaction Rating]],0)</f>
        <v>3</v>
      </c>
    </row>
    <row r="952" spans="1:11" x14ac:dyDescent="0.35">
      <c r="A952" s="56" t="s">
        <v>1957</v>
      </c>
      <c r="B952" s="57" t="s">
        <v>1007</v>
      </c>
      <c r="C952" s="87">
        <v>97</v>
      </c>
      <c r="D952" s="57" t="s">
        <v>989</v>
      </c>
      <c r="E952" s="58">
        <v>45261</v>
      </c>
      <c r="F952" s="57">
        <v>114</v>
      </c>
      <c r="G952" s="59">
        <v>4.8</v>
      </c>
      <c r="H952" s="57">
        <f>IF(MONTH(Call_Centre_Data[[#This Row],[Date of Call]])&lt;=6,YEAR(Call_Centre_Data[[#This Row],[Date of Call]]),YEAR(Call_Centre_Data[[#This Row],[Date of Call]])+1)</f>
        <v>2024</v>
      </c>
      <c r="I952" s="39" t="str">
        <f>TEXT(Call_Centre_Data[[#This Row],[Date of Call]],"DDDD")</f>
        <v>Friday</v>
      </c>
      <c r="J952" s="39" t="str" cm="1">
        <f t="array" ref="J952">_xlfn.IFS(Call_Centre_Data[[#This Row],[Duration]]&lt;=10,"Under 10 Mins", Call_Centre_Data[[#This Row],[Duration]]&lt;=30,"10-30 Mins",Call_Centre_Data[[#This Row],[Duration]]&lt;=60,"30-60 Mins",Call_Centre_Data[[#This Row],[Duration]]&lt;=120,"1-2 Hours",TRUE,"More than 2 Hours")</f>
        <v>1-2 Hours</v>
      </c>
      <c r="K952" s="91">
        <f>ROUND(Call_Centre_Data[[#This Row],[Satisfaction Rating]],0)</f>
        <v>5</v>
      </c>
    </row>
    <row r="953" spans="1:11" x14ac:dyDescent="0.35">
      <c r="A953" s="56" t="s">
        <v>1958</v>
      </c>
      <c r="B953" s="57" t="s">
        <v>996</v>
      </c>
      <c r="C953" s="87">
        <v>102</v>
      </c>
      <c r="D953" s="57" t="s">
        <v>994</v>
      </c>
      <c r="E953" s="58">
        <v>45262</v>
      </c>
      <c r="F953" s="57">
        <v>72</v>
      </c>
      <c r="G953" s="59">
        <v>3.7</v>
      </c>
      <c r="H953" s="57">
        <f>IF(MONTH(Call_Centre_Data[[#This Row],[Date of Call]])&lt;=6,YEAR(Call_Centre_Data[[#This Row],[Date of Call]]),YEAR(Call_Centre_Data[[#This Row],[Date of Call]])+1)</f>
        <v>2024</v>
      </c>
      <c r="I953" s="39" t="str">
        <f>TEXT(Call_Centre_Data[[#This Row],[Date of Call]],"DDDD")</f>
        <v>Saturday</v>
      </c>
      <c r="J953" s="39" t="str" cm="1">
        <f t="array" ref="J953">_xlfn.IFS(Call_Centre_Data[[#This Row],[Duration]]&lt;=10,"Under 10 Mins", Call_Centre_Data[[#This Row],[Duration]]&lt;=30,"10-30 Mins",Call_Centre_Data[[#This Row],[Duration]]&lt;=60,"30-60 Mins",Call_Centre_Data[[#This Row],[Duration]]&lt;=120,"1-2 Hours",TRUE,"More than 2 Hours")</f>
        <v>1-2 Hours</v>
      </c>
      <c r="K953" s="91">
        <f>ROUND(Call_Centre_Data[[#This Row],[Satisfaction Rating]],0)</f>
        <v>4</v>
      </c>
    </row>
    <row r="954" spans="1:11" x14ac:dyDescent="0.35">
      <c r="A954" s="56" t="s">
        <v>1959</v>
      </c>
      <c r="B954" s="57" t="s">
        <v>1022</v>
      </c>
      <c r="C954" s="87">
        <v>62</v>
      </c>
      <c r="D954" s="57" t="s">
        <v>989</v>
      </c>
      <c r="E954" s="58">
        <v>45262</v>
      </c>
      <c r="F954" s="57">
        <v>205</v>
      </c>
      <c r="G954" s="59">
        <v>4.2</v>
      </c>
      <c r="H954" s="57">
        <f>IF(MONTH(Call_Centre_Data[[#This Row],[Date of Call]])&lt;=6,YEAR(Call_Centre_Data[[#This Row],[Date of Call]]),YEAR(Call_Centre_Data[[#This Row],[Date of Call]])+1)</f>
        <v>2024</v>
      </c>
      <c r="I954" s="39" t="str">
        <f>TEXT(Call_Centre_Data[[#This Row],[Date of Call]],"DDDD")</f>
        <v>Saturday</v>
      </c>
      <c r="J954" s="39" t="str" cm="1">
        <f t="array" ref="J954">_xlfn.IFS(Call_Centre_Data[[#This Row],[Duration]]&lt;=10,"Under 10 Mins", Call_Centre_Data[[#This Row],[Duration]]&lt;=30,"10-30 Mins",Call_Centre_Data[[#This Row],[Duration]]&lt;=60,"30-60 Mins",Call_Centre_Data[[#This Row],[Duration]]&lt;=120,"1-2 Hours",TRUE,"More than 2 Hours")</f>
        <v>1-2 Hours</v>
      </c>
      <c r="K954" s="91">
        <f>ROUND(Call_Centre_Data[[#This Row],[Satisfaction Rating]],0)</f>
        <v>4</v>
      </c>
    </row>
    <row r="955" spans="1:11" x14ac:dyDescent="0.35">
      <c r="A955" s="56" t="s">
        <v>1960</v>
      </c>
      <c r="B955" s="57" t="s">
        <v>991</v>
      </c>
      <c r="C955" s="87">
        <v>149</v>
      </c>
      <c r="D955" s="57" t="s">
        <v>994</v>
      </c>
      <c r="E955" s="58">
        <v>45263</v>
      </c>
      <c r="F955" s="57">
        <v>42</v>
      </c>
      <c r="G955" s="59">
        <v>3.3</v>
      </c>
      <c r="H955" s="57">
        <f>IF(MONTH(Call_Centre_Data[[#This Row],[Date of Call]])&lt;=6,YEAR(Call_Centre_Data[[#This Row],[Date of Call]]),YEAR(Call_Centre_Data[[#This Row],[Date of Call]])+1)</f>
        <v>2024</v>
      </c>
      <c r="I955" s="39" t="str">
        <f>TEXT(Call_Centre_Data[[#This Row],[Date of Call]],"DDDD")</f>
        <v>Sunday</v>
      </c>
      <c r="J955" s="39" t="str" cm="1">
        <f t="array" ref="J955">_xlfn.IFS(Call_Centre_Data[[#This Row],[Duration]]&lt;=10,"Under 10 Mins", Call_Centre_Data[[#This Row],[Duration]]&lt;=30,"10-30 Mins",Call_Centre_Data[[#This Row],[Duration]]&lt;=60,"30-60 Mins",Call_Centre_Data[[#This Row],[Duration]]&lt;=120,"1-2 Hours",TRUE,"More than 2 Hours")</f>
        <v>More than 2 Hours</v>
      </c>
      <c r="K955" s="91">
        <f>ROUND(Call_Centre_Data[[#This Row],[Satisfaction Rating]],0)</f>
        <v>3</v>
      </c>
    </row>
    <row r="956" spans="1:11" x14ac:dyDescent="0.35">
      <c r="A956" s="56" t="s">
        <v>1961</v>
      </c>
      <c r="B956" s="57" t="s">
        <v>1011</v>
      </c>
      <c r="C956" s="87">
        <v>133</v>
      </c>
      <c r="D956" s="57" t="s">
        <v>989</v>
      </c>
      <c r="E956" s="58">
        <v>45263</v>
      </c>
      <c r="F956" s="57">
        <v>96</v>
      </c>
      <c r="G956" s="59">
        <v>4.3</v>
      </c>
      <c r="H956" s="57">
        <f>IF(MONTH(Call_Centre_Data[[#This Row],[Date of Call]])&lt;=6,YEAR(Call_Centre_Data[[#This Row],[Date of Call]]),YEAR(Call_Centre_Data[[#This Row],[Date of Call]])+1)</f>
        <v>2024</v>
      </c>
      <c r="I956" s="39" t="str">
        <f>TEXT(Call_Centre_Data[[#This Row],[Date of Call]],"DDDD")</f>
        <v>Sunday</v>
      </c>
      <c r="J956" s="39" t="str" cm="1">
        <f t="array" ref="J956">_xlfn.IFS(Call_Centre_Data[[#This Row],[Duration]]&lt;=10,"Under 10 Mins", Call_Centre_Data[[#This Row],[Duration]]&lt;=30,"10-30 Mins",Call_Centre_Data[[#This Row],[Duration]]&lt;=60,"30-60 Mins",Call_Centre_Data[[#This Row],[Duration]]&lt;=120,"1-2 Hours",TRUE,"More than 2 Hours")</f>
        <v>More than 2 Hours</v>
      </c>
      <c r="K956" s="91">
        <f>ROUND(Call_Centre_Data[[#This Row],[Satisfaction Rating]],0)</f>
        <v>4</v>
      </c>
    </row>
    <row r="957" spans="1:11" x14ac:dyDescent="0.35">
      <c r="A957" s="56" t="s">
        <v>1962</v>
      </c>
      <c r="B957" s="57" t="s">
        <v>996</v>
      </c>
      <c r="C957" s="87">
        <v>51</v>
      </c>
      <c r="D957" s="57" t="s">
        <v>1008</v>
      </c>
      <c r="E957" s="58">
        <v>45263</v>
      </c>
      <c r="F957" s="57">
        <v>64</v>
      </c>
      <c r="G957" s="59">
        <v>3.7</v>
      </c>
      <c r="H957" s="57">
        <f>IF(MONTH(Call_Centre_Data[[#This Row],[Date of Call]])&lt;=6,YEAR(Call_Centre_Data[[#This Row],[Date of Call]]),YEAR(Call_Centre_Data[[#This Row],[Date of Call]])+1)</f>
        <v>2024</v>
      </c>
      <c r="I957" s="39" t="str">
        <f>TEXT(Call_Centre_Data[[#This Row],[Date of Call]],"DDDD")</f>
        <v>Sunday</v>
      </c>
      <c r="J957" s="39" t="str" cm="1">
        <f t="array" ref="J957">_xlfn.IFS(Call_Centre_Data[[#This Row],[Duration]]&lt;=10,"Under 10 Mins", Call_Centre_Data[[#This Row],[Duration]]&lt;=30,"10-30 Mins",Call_Centre_Data[[#This Row],[Duration]]&lt;=60,"30-60 Mins",Call_Centre_Data[[#This Row],[Duration]]&lt;=120,"1-2 Hours",TRUE,"More than 2 Hours")</f>
        <v>30-60 Mins</v>
      </c>
      <c r="K957" s="91">
        <f>ROUND(Call_Centre_Data[[#This Row],[Satisfaction Rating]],0)</f>
        <v>4</v>
      </c>
    </row>
    <row r="958" spans="1:11" x14ac:dyDescent="0.35">
      <c r="A958" s="56" t="s">
        <v>1963</v>
      </c>
      <c r="B958" s="57" t="s">
        <v>1022</v>
      </c>
      <c r="C958" s="87">
        <v>110</v>
      </c>
      <c r="D958" s="57" t="s">
        <v>989</v>
      </c>
      <c r="E958" s="58">
        <v>45264</v>
      </c>
      <c r="F958" s="57">
        <v>72</v>
      </c>
      <c r="G958" s="59">
        <v>3.7</v>
      </c>
      <c r="H958" s="57">
        <f>IF(MONTH(Call_Centre_Data[[#This Row],[Date of Call]])&lt;=6,YEAR(Call_Centre_Data[[#This Row],[Date of Call]]),YEAR(Call_Centre_Data[[#This Row],[Date of Call]])+1)</f>
        <v>2024</v>
      </c>
      <c r="I958" s="39" t="str">
        <f>TEXT(Call_Centre_Data[[#This Row],[Date of Call]],"DDDD")</f>
        <v>Monday</v>
      </c>
      <c r="J958" s="39" t="str" cm="1">
        <f t="array" ref="J958">_xlfn.IFS(Call_Centre_Data[[#This Row],[Duration]]&lt;=10,"Under 10 Mins", Call_Centre_Data[[#This Row],[Duration]]&lt;=30,"10-30 Mins",Call_Centre_Data[[#This Row],[Duration]]&lt;=60,"30-60 Mins",Call_Centre_Data[[#This Row],[Duration]]&lt;=120,"1-2 Hours",TRUE,"More than 2 Hours")</f>
        <v>1-2 Hours</v>
      </c>
      <c r="K958" s="91">
        <f>ROUND(Call_Centre_Data[[#This Row],[Satisfaction Rating]],0)</f>
        <v>4</v>
      </c>
    </row>
    <row r="959" spans="1:11" x14ac:dyDescent="0.35">
      <c r="A959" s="56" t="s">
        <v>1964</v>
      </c>
      <c r="B959" s="57" t="s">
        <v>1007</v>
      </c>
      <c r="C959" s="87">
        <v>38</v>
      </c>
      <c r="D959" s="57" t="s">
        <v>1004</v>
      </c>
      <c r="E959" s="58">
        <v>45265</v>
      </c>
      <c r="F959" s="57">
        <v>27</v>
      </c>
      <c r="G959" s="59">
        <v>3.1</v>
      </c>
      <c r="H959" s="57">
        <f>IF(MONTH(Call_Centre_Data[[#This Row],[Date of Call]])&lt;=6,YEAR(Call_Centre_Data[[#This Row],[Date of Call]]),YEAR(Call_Centre_Data[[#This Row],[Date of Call]])+1)</f>
        <v>2024</v>
      </c>
      <c r="I959" s="39" t="str">
        <f>TEXT(Call_Centre_Data[[#This Row],[Date of Call]],"DDDD")</f>
        <v>Tuesday</v>
      </c>
      <c r="J959" s="39" t="str" cm="1">
        <f t="array" ref="J959">_xlfn.IFS(Call_Centre_Data[[#This Row],[Duration]]&lt;=10,"Under 10 Mins", Call_Centre_Data[[#This Row],[Duration]]&lt;=30,"10-30 Mins",Call_Centre_Data[[#This Row],[Duration]]&lt;=60,"30-60 Mins",Call_Centre_Data[[#This Row],[Duration]]&lt;=120,"1-2 Hours",TRUE,"More than 2 Hours")</f>
        <v>30-60 Mins</v>
      </c>
      <c r="K959" s="91">
        <f>ROUND(Call_Centre_Data[[#This Row],[Satisfaction Rating]],0)</f>
        <v>3</v>
      </c>
    </row>
    <row r="960" spans="1:11" x14ac:dyDescent="0.35">
      <c r="A960" s="56" t="s">
        <v>1965</v>
      </c>
      <c r="B960" s="57" t="s">
        <v>1011</v>
      </c>
      <c r="C960" s="87">
        <v>78</v>
      </c>
      <c r="D960" s="57" t="s">
        <v>1004</v>
      </c>
      <c r="E960" s="58">
        <v>45267</v>
      </c>
      <c r="F960" s="57">
        <v>200</v>
      </c>
      <c r="G960" s="59">
        <v>2.4</v>
      </c>
      <c r="H960" s="57">
        <f>IF(MONTH(Call_Centre_Data[[#This Row],[Date of Call]])&lt;=6,YEAR(Call_Centre_Data[[#This Row],[Date of Call]]),YEAR(Call_Centre_Data[[#This Row],[Date of Call]])+1)</f>
        <v>2024</v>
      </c>
      <c r="I960" s="39" t="str">
        <f>TEXT(Call_Centre_Data[[#This Row],[Date of Call]],"DDDD")</f>
        <v>Thursday</v>
      </c>
      <c r="J960" s="39" t="str" cm="1">
        <f t="array" ref="J960">_xlfn.IFS(Call_Centre_Data[[#This Row],[Duration]]&lt;=10,"Under 10 Mins", Call_Centre_Data[[#This Row],[Duration]]&lt;=30,"10-30 Mins",Call_Centre_Data[[#This Row],[Duration]]&lt;=60,"30-60 Mins",Call_Centre_Data[[#This Row],[Duration]]&lt;=120,"1-2 Hours",TRUE,"More than 2 Hours")</f>
        <v>1-2 Hours</v>
      </c>
      <c r="K960" s="91">
        <f>ROUND(Call_Centre_Data[[#This Row],[Satisfaction Rating]],0)</f>
        <v>2</v>
      </c>
    </row>
    <row r="961" spans="1:11" x14ac:dyDescent="0.35">
      <c r="A961" s="56" t="s">
        <v>1966</v>
      </c>
      <c r="B961" s="57" t="s">
        <v>1007</v>
      </c>
      <c r="C961" s="87">
        <v>25</v>
      </c>
      <c r="D961" s="57" t="s">
        <v>994</v>
      </c>
      <c r="E961" s="58">
        <v>45268</v>
      </c>
      <c r="F961" s="57">
        <v>93</v>
      </c>
      <c r="G961" s="59">
        <v>3.5</v>
      </c>
      <c r="H961" s="57">
        <f>IF(MONTH(Call_Centre_Data[[#This Row],[Date of Call]])&lt;=6,YEAR(Call_Centre_Data[[#This Row],[Date of Call]]),YEAR(Call_Centre_Data[[#This Row],[Date of Call]])+1)</f>
        <v>2024</v>
      </c>
      <c r="I961" s="39" t="str">
        <f>TEXT(Call_Centre_Data[[#This Row],[Date of Call]],"DDDD")</f>
        <v>Friday</v>
      </c>
      <c r="J961" s="39" t="str" cm="1">
        <f t="array" ref="J961">_xlfn.IFS(Call_Centre_Data[[#This Row],[Duration]]&lt;=10,"Under 10 Mins", Call_Centre_Data[[#This Row],[Duration]]&lt;=30,"10-30 Mins",Call_Centre_Data[[#This Row],[Duration]]&lt;=60,"30-60 Mins",Call_Centre_Data[[#This Row],[Duration]]&lt;=120,"1-2 Hours",TRUE,"More than 2 Hours")</f>
        <v>10-30 Mins</v>
      </c>
      <c r="K961" s="91">
        <f>ROUND(Call_Centre_Data[[#This Row],[Satisfaction Rating]],0)</f>
        <v>4</v>
      </c>
    </row>
    <row r="962" spans="1:11" x14ac:dyDescent="0.35">
      <c r="A962" s="56" t="s">
        <v>1967</v>
      </c>
      <c r="B962" s="57" t="s">
        <v>1030</v>
      </c>
      <c r="C962" s="87">
        <v>50</v>
      </c>
      <c r="D962" s="57" t="s">
        <v>1008</v>
      </c>
      <c r="E962" s="58">
        <v>45268</v>
      </c>
      <c r="F962" s="57">
        <v>54</v>
      </c>
      <c r="G962" s="59">
        <v>4.3</v>
      </c>
      <c r="H962" s="57">
        <f>IF(MONTH(Call_Centre_Data[[#This Row],[Date of Call]])&lt;=6,YEAR(Call_Centre_Data[[#This Row],[Date of Call]]),YEAR(Call_Centre_Data[[#This Row],[Date of Call]])+1)</f>
        <v>2024</v>
      </c>
      <c r="I962" s="39" t="str">
        <f>TEXT(Call_Centre_Data[[#This Row],[Date of Call]],"DDDD")</f>
        <v>Friday</v>
      </c>
      <c r="J962" s="39" t="str" cm="1">
        <f t="array" ref="J962">_xlfn.IFS(Call_Centre_Data[[#This Row],[Duration]]&lt;=10,"Under 10 Mins", Call_Centre_Data[[#This Row],[Duration]]&lt;=30,"10-30 Mins",Call_Centre_Data[[#This Row],[Duration]]&lt;=60,"30-60 Mins",Call_Centre_Data[[#This Row],[Duration]]&lt;=120,"1-2 Hours",TRUE,"More than 2 Hours")</f>
        <v>30-60 Mins</v>
      </c>
      <c r="K962" s="91">
        <f>ROUND(Call_Centre_Data[[#This Row],[Satisfaction Rating]],0)</f>
        <v>4</v>
      </c>
    </row>
    <row r="963" spans="1:11" x14ac:dyDescent="0.35">
      <c r="A963" s="56" t="s">
        <v>1968</v>
      </c>
      <c r="B963" s="57" t="s">
        <v>1007</v>
      </c>
      <c r="C963" s="87">
        <v>103</v>
      </c>
      <c r="D963" s="57" t="s">
        <v>994</v>
      </c>
      <c r="E963" s="58">
        <v>45269</v>
      </c>
      <c r="F963" s="57">
        <v>72</v>
      </c>
      <c r="G963" s="59">
        <v>3.4</v>
      </c>
      <c r="H963" s="57">
        <f>IF(MONTH(Call_Centre_Data[[#This Row],[Date of Call]])&lt;=6,YEAR(Call_Centre_Data[[#This Row],[Date of Call]]),YEAR(Call_Centre_Data[[#This Row],[Date of Call]])+1)</f>
        <v>2024</v>
      </c>
      <c r="I963" s="39" t="str">
        <f>TEXT(Call_Centre_Data[[#This Row],[Date of Call]],"DDDD")</f>
        <v>Saturday</v>
      </c>
      <c r="J963" s="39" t="str" cm="1">
        <f t="array" ref="J963">_xlfn.IFS(Call_Centre_Data[[#This Row],[Duration]]&lt;=10,"Under 10 Mins", Call_Centre_Data[[#This Row],[Duration]]&lt;=30,"10-30 Mins",Call_Centre_Data[[#This Row],[Duration]]&lt;=60,"30-60 Mins",Call_Centre_Data[[#This Row],[Duration]]&lt;=120,"1-2 Hours",TRUE,"More than 2 Hours")</f>
        <v>1-2 Hours</v>
      </c>
      <c r="K963" s="91">
        <f>ROUND(Call_Centre_Data[[#This Row],[Satisfaction Rating]],0)</f>
        <v>3</v>
      </c>
    </row>
    <row r="964" spans="1:11" x14ac:dyDescent="0.35">
      <c r="A964" s="56" t="s">
        <v>1969</v>
      </c>
      <c r="B964" s="57" t="s">
        <v>1019</v>
      </c>
      <c r="C964" s="87">
        <v>63</v>
      </c>
      <c r="D964" s="57" t="s">
        <v>999</v>
      </c>
      <c r="E964" s="58">
        <v>45269</v>
      </c>
      <c r="F964" s="57">
        <v>82</v>
      </c>
      <c r="G964" s="59">
        <v>3.7</v>
      </c>
      <c r="H964" s="57">
        <f>IF(MONTH(Call_Centre_Data[[#This Row],[Date of Call]])&lt;=6,YEAR(Call_Centre_Data[[#This Row],[Date of Call]]),YEAR(Call_Centre_Data[[#This Row],[Date of Call]])+1)</f>
        <v>2024</v>
      </c>
      <c r="I964" s="39" t="str">
        <f>TEXT(Call_Centre_Data[[#This Row],[Date of Call]],"DDDD")</f>
        <v>Saturday</v>
      </c>
      <c r="J964" s="39" t="str" cm="1">
        <f t="array" ref="J964">_xlfn.IFS(Call_Centre_Data[[#This Row],[Duration]]&lt;=10,"Under 10 Mins", Call_Centre_Data[[#This Row],[Duration]]&lt;=30,"10-30 Mins",Call_Centre_Data[[#This Row],[Duration]]&lt;=60,"30-60 Mins",Call_Centre_Data[[#This Row],[Duration]]&lt;=120,"1-2 Hours",TRUE,"More than 2 Hours")</f>
        <v>1-2 Hours</v>
      </c>
      <c r="K964" s="91">
        <f>ROUND(Call_Centre_Data[[#This Row],[Satisfaction Rating]],0)</f>
        <v>4</v>
      </c>
    </row>
    <row r="965" spans="1:11" x14ac:dyDescent="0.35">
      <c r="A965" s="56" t="s">
        <v>1970</v>
      </c>
      <c r="B965" s="57" t="s">
        <v>1030</v>
      </c>
      <c r="C965" s="87">
        <v>96</v>
      </c>
      <c r="D965" s="57" t="s">
        <v>1008</v>
      </c>
      <c r="E965" s="58">
        <v>45273</v>
      </c>
      <c r="F965" s="57">
        <v>164</v>
      </c>
      <c r="G965" s="59">
        <v>4.8</v>
      </c>
      <c r="H965" s="57">
        <f>IF(MONTH(Call_Centre_Data[[#This Row],[Date of Call]])&lt;=6,YEAR(Call_Centre_Data[[#This Row],[Date of Call]]),YEAR(Call_Centre_Data[[#This Row],[Date of Call]])+1)</f>
        <v>2024</v>
      </c>
      <c r="I965" s="39" t="str">
        <f>TEXT(Call_Centre_Data[[#This Row],[Date of Call]],"DDDD")</f>
        <v>Wednesday</v>
      </c>
      <c r="J965" s="39" t="str" cm="1">
        <f t="array" ref="J965">_xlfn.IFS(Call_Centre_Data[[#This Row],[Duration]]&lt;=10,"Under 10 Mins", Call_Centre_Data[[#This Row],[Duration]]&lt;=30,"10-30 Mins",Call_Centre_Data[[#This Row],[Duration]]&lt;=60,"30-60 Mins",Call_Centre_Data[[#This Row],[Duration]]&lt;=120,"1-2 Hours",TRUE,"More than 2 Hours")</f>
        <v>1-2 Hours</v>
      </c>
      <c r="K965" s="91">
        <f>ROUND(Call_Centre_Data[[#This Row],[Satisfaction Rating]],0)</f>
        <v>5</v>
      </c>
    </row>
    <row r="966" spans="1:11" x14ac:dyDescent="0.35">
      <c r="A966" s="56" t="s">
        <v>1971</v>
      </c>
      <c r="B966" s="57" t="s">
        <v>993</v>
      </c>
      <c r="C966" s="87">
        <v>94</v>
      </c>
      <c r="D966" s="57" t="s">
        <v>994</v>
      </c>
      <c r="E966" s="58">
        <v>45273</v>
      </c>
      <c r="F966" s="57">
        <v>78</v>
      </c>
      <c r="G966" s="59">
        <v>3.3</v>
      </c>
      <c r="H966" s="57">
        <f>IF(MONTH(Call_Centre_Data[[#This Row],[Date of Call]])&lt;=6,YEAR(Call_Centre_Data[[#This Row],[Date of Call]]),YEAR(Call_Centre_Data[[#This Row],[Date of Call]])+1)</f>
        <v>2024</v>
      </c>
      <c r="I966" s="39" t="str">
        <f>TEXT(Call_Centre_Data[[#This Row],[Date of Call]],"DDDD")</f>
        <v>Wednesday</v>
      </c>
      <c r="J966" s="39" t="str" cm="1">
        <f t="array" ref="J966">_xlfn.IFS(Call_Centre_Data[[#This Row],[Duration]]&lt;=10,"Under 10 Mins", Call_Centre_Data[[#This Row],[Duration]]&lt;=30,"10-30 Mins",Call_Centre_Data[[#This Row],[Duration]]&lt;=60,"30-60 Mins",Call_Centre_Data[[#This Row],[Duration]]&lt;=120,"1-2 Hours",TRUE,"More than 2 Hours")</f>
        <v>1-2 Hours</v>
      </c>
      <c r="K966" s="91">
        <f>ROUND(Call_Centre_Data[[#This Row],[Satisfaction Rating]],0)</f>
        <v>3</v>
      </c>
    </row>
    <row r="967" spans="1:11" x14ac:dyDescent="0.35">
      <c r="A967" s="56" t="s">
        <v>1972</v>
      </c>
      <c r="B967" s="57" t="s">
        <v>1022</v>
      </c>
      <c r="C967" s="87">
        <v>46</v>
      </c>
      <c r="D967" s="57" t="s">
        <v>1004</v>
      </c>
      <c r="E967" s="58">
        <v>45274</v>
      </c>
      <c r="F967" s="57">
        <v>135</v>
      </c>
      <c r="G967" s="59">
        <v>4.2</v>
      </c>
      <c r="H967" s="57">
        <f>IF(MONTH(Call_Centre_Data[[#This Row],[Date of Call]])&lt;=6,YEAR(Call_Centre_Data[[#This Row],[Date of Call]]),YEAR(Call_Centre_Data[[#This Row],[Date of Call]])+1)</f>
        <v>2024</v>
      </c>
      <c r="I967" s="39" t="str">
        <f>TEXT(Call_Centre_Data[[#This Row],[Date of Call]],"DDDD")</f>
        <v>Thursday</v>
      </c>
      <c r="J967" s="39" t="str" cm="1">
        <f t="array" ref="J967">_xlfn.IFS(Call_Centre_Data[[#This Row],[Duration]]&lt;=10,"Under 10 Mins", Call_Centre_Data[[#This Row],[Duration]]&lt;=30,"10-30 Mins",Call_Centre_Data[[#This Row],[Duration]]&lt;=60,"30-60 Mins",Call_Centre_Data[[#This Row],[Duration]]&lt;=120,"1-2 Hours",TRUE,"More than 2 Hours")</f>
        <v>30-60 Mins</v>
      </c>
      <c r="K967" s="91">
        <f>ROUND(Call_Centre_Data[[#This Row],[Satisfaction Rating]],0)</f>
        <v>4</v>
      </c>
    </row>
    <row r="968" spans="1:11" x14ac:dyDescent="0.35">
      <c r="A968" s="56" t="s">
        <v>1973</v>
      </c>
      <c r="B968" s="57" t="s">
        <v>1060</v>
      </c>
      <c r="C968" s="87">
        <v>127</v>
      </c>
      <c r="D968" s="57" t="s">
        <v>1008</v>
      </c>
      <c r="E968" s="58">
        <v>45275</v>
      </c>
      <c r="F968" s="57">
        <v>145</v>
      </c>
      <c r="G968" s="59">
        <v>2.6</v>
      </c>
      <c r="H968" s="57">
        <f>IF(MONTH(Call_Centre_Data[[#This Row],[Date of Call]])&lt;=6,YEAR(Call_Centre_Data[[#This Row],[Date of Call]]),YEAR(Call_Centre_Data[[#This Row],[Date of Call]])+1)</f>
        <v>2024</v>
      </c>
      <c r="I968" s="39" t="str">
        <f>TEXT(Call_Centre_Data[[#This Row],[Date of Call]],"DDDD")</f>
        <v>Friday</v>
      </c>
      <c r="J968" s="39" t="str" cm="1">
        <f t="array" ref="J968">_xlfn.IFS(Call_Centre_Data[[#This Row],[Duration]]&lt;=10,"Under 10 Mins", Call_Centre_Data[[#This Row],[Duration]]&lt;=30,"10-30 Mins",Call_Centre_Data[[#This Row],[Duration]]&lt;=60,"30-60 Mins",Call_Centre_Data[[#This Row],[Duration]]&lt;=120,"1-2 Hours",TRUE,"More than 2 Hours")</f>
        <v>More than 2 Hours</v>
      </c>
      <c r="K968" s="91">
        <f>ROUND(Call_Centre_Data[[#This Row],[Satisfaction Rating]],0)</f>
        <v>3</v>
      </c>
    </row>
    <row r="969" spans="1:11" x14ac:dyDescent="0.35">
      <c r="A969" s="56" t="s">
        <v>1974</v>
      </c>
      <c r="B969" s="57" t="s">
        <v>1002</v>
      </c>
      <c r="C969" s="87">
        <v>96</v>
      </c>
      <c r="D969" s="57" t="s">
        <v>1004</v>
      </c>
      <c r="E969" s="58">
        <v>45275</v>
      </c>
      <c r="F969" s="57">
        <v>115</v>
      </c>
      <c r="G969" s="59">
        <v>4.9000000000000004</v>
      </c>
      <c r="H969" s="57">
        <f>IF(MONTH(Call_Centre_Data[[#This Row],[Date of Call]])&lt;=6,YEAR(Call_Centre_Data[[#This Row],[Date of Call]]),YEAR(Call_Centre_Data[[#This Row],[Date of Call]])+1)</f>
        <v>2024</v>
      </c>
      <c r="I969" s="39" t="str">
        <f>TEXT(Call_Centre_Data[[#This Row],[Date of Call]],"DDDD")</f>
        <v>Friday</v>
      </c>
      <c r="J969" s="39" t="str" cm="1">
        <f t="array" ref="J969">_xlfn.IFS(Call_Centre_Data[[#This Row],[Duration]]&lt;=10,"Under 10 Mins", Call_Centre_Data[[#This Row],[Duration]]&lt;=30,"10-30 Mins",Call_Centre_Data[[#This Row],[Duration]]&lt;=60,"30-60 Mins",Call_Centre_Data[[#This Row],[Duration]]&lt;=120,"1-2 Hours",TRUE,"More than 2 Hours")</f>
        <v>1-2 Hours</v>
      </c>
      <c r="K969" s="91">
        <f>ROUND(Call_Centre_Data[[#This Row],[Satisfaction Rating]],0)</f>
        <v>5</v>
      </c>
    </row>
    <row r="970" spans="1:11" x14ac:dyDescent="0.35">
      <c r="A970" s="56" t="s">
        <v>1975</v>
      </c>
      <c r="B970" s="57" t="s">
        <v>1040</v>
      </c>
      <c r="C970" s="87">
        <v>151</v>
      </c>
      <c r="D970" s="57" t="s">
        <v>994</v>
      </c>
      <c r="E970" s="58">
        <v>45275</v>
      </c>
      <c r="F970" s="57">
        <v>117</v>
      </c>
      <c r="G970" s="59">
        <v>2</v>
      </c>
      <c r="H970" s="57">
        <f>IF(MONTH(Call_Centre_Data[[#This Row],[Date of Call]])&lt;=6,YEAR(Call_Centre_Data[[#This Row],[Date of Call]]),YEAR(Call_Centre_Data[[#This Row],[Date of Call]])+1)</f>
        <v>2024</v>
      </c>
      <c r="I970" s="39" t="str">
        <f>TEXT(Call_Centre_Data[[#This Row],[Date of Call]],"DDDD")</f>
        <v>Friday</v>
      </c>
      <c r="J970" s="39" t="str" cm="1">
        <f t="array" ref="J970">_xlfn.IFS(Call_Centre_Data[[#This Row],[Duration]]&lt;=10,"Under 10 Mins", Call_Centre_Data[[#This Row],[Duration]]&lt;=30,"10-30 Mins",Call_Centre_Data[[#This Row],[Duration]]&lt;=60,"30-60 Mins",Call_Centre_Data[[#This Row],[Duration]]&lt;=120,"1-2 Hours",TRUE,"More than 2 Hours")</f>
        <v>More than 2 Hours</v>
      </c>
      <c r="K970" s="91">
        <f>ROUND(Call_Centre_Data[[#This Row],[Satisfaction Rating]],0)</f>
        <v>2</v>
      </c>
    </row>
    <row r="971" spans="1:11" x14ac:dyDescent="0.35">
      <c r="A971" s="56" t="s">
        <v>1976</v>
      </c>
      <c r="B971" s="57" t="s">
        <v>1060</v>
      </c>
      <c r="C971" s="87">
        <v>158</v>
      </c>
      <c r="D971" s="57" t="s">
        <v>989</v>
      </c>
      <c r="E971" s="58">
        <v>45276</v>
      </c>
      <c r="F971" s="57">
        <v>36</v>
      </c>
      <c r="G971" s="59">
        <v>4.7</v>
      </c>
      <c r="H971" s="57">
        <f>IF(MONTH(Call_Centre_Data[[#This Row],[Date of Call]])&lt;=6,YEAR(Call_Centre_Data[[#This Row],[Date of Call]]),YEAR(Call_Centre_Data[[#This Row],[Date of Call]])+1)</f>
        <v>2024</v>
      </c>
      <c r="I971" s="39" t="str">
        <f>TEXT(Call_Centre_Data[[#This Row],[Date of Call]],"DDDD")</f>
        <v>Saturday</v>
      </c>
      <c r="J971" s="39" t="str" cm="1">
        <f t="array" ref="J971">_xlfn.IFS(Call_Centre_Data[[#This Row],[Duration]]&lt;=10,"Under 10 Mins", Call_Centre_Data[[#This Row],[Duration]]&lt;=30,"10-30 Mins",Call_Centre_Data[[#This Row],[Duration]]&lt;=60,"30-60 Mins",Call_Centre_Data[[#This Row],[Duration]]&lt;=120,"1-2 Hours",TRUE,"More than 2 Hours")</f>
        <v>More than 2 Hours</v>
      </c>
      <c r="K971" s="91">
        <f>ROUND(Call_Centre_Data[[#This Row],[Satisfaction Rating]],0)</f>
        <v>5</v>
      </c>
    </row>
    <row r="972" spans="1:11" x14ac:dyDescent="0.35">
      <c r="A972" s="56" t="s">
        <v>1977</v>
      </c>
      <c r="B972" s="57" t="s">
        <v>993</v>
      </c>
      <c r="C972" s="87">
        <v>45</v>
      </c>
      <c r="D972" s="57" t="s">
        <v>989</v>
      </c>
      <c r="E972" s="58">
        <v>45276</v>
      </c>
      <c r="F972" s="57">
        <v>84</v>
      </c>
      <c r="G972" s="59">
        <v>2.8</v>
      </c>
      <c r="H972" s="57">
        <f>IF(MONTH(Call_Centre_Data[[#This Row],[Date of Call]])&lt;=6,YEAR(Call_Centre_Data[[#This Row],[Date of Call]]),YEAR(Call_Centre_Data[[#This Row],[Date of Call]])+1)</f>
        <v>2024</v>
      </c>
      <c r="I972" s="39" t="str">
        <f>TEXT(Call_Centre_Data[[#This Row],[Date of Call]],"DDDD")</f>
        <v>Saturday</v>
      </c>
      <c r="J972" s="39" t="str" cm="1">
        <f t="array" ref="J972">_xlfn.IFS(Call_Centre_Data[[#This Row],[Duration]]&lt;=10,"Under 10 Mins", Call_Centre_Data[[#This Row],[Duration]]&lt;=30,"10-30 Mins",Call_Centre_Data[[#This Row],[Duration]]&lt;=60,"30-60 Mins",Call_Centre_Data[[#This Row],[Duration]]&lt;=120,"1-2 Hours",TRUE,"More than 2 Hours")</f>
        <v>30-60 Mins</v>
      </c>
      <c r="K972" s="91">
        <f>ROUND(Call_Centre_Data[[#This Row],[Satisfaction Rating]],0)</f>
        <v>3</v>
      </c>
    </row>
    <row r="973" spans="1:11" x14ac:dyDescent="0.35">
      <c r="A973" s="56" t="s">
        <v>1978</v>
      </c>
      <c r="B973" s="57" t="s">
        <v>1013</v>
      </c>
      <c r="C973" s="87">
        <v>141</v>
      </c>
      <c r="D973" s="57" t="s">
        <v>989</v>
      </c>
      <c r="E973" s="58">
        <v>45276</v>
      </c>
      <c r="F973" s="57">
        <v>66</v>
      </c>
      <c r="G973" s="59">
        <v>3.2</v>
      </c>
      <c r="H973" s="57">
        <f>IF(MONTH(Call_Centre_Data[[#This Row],[Date of Call]])&lt;=6,YEAR(Call_Centre_Data[[#This Row],[Date of Call]]),YEAR(Call_Centre_Data[[#This Row],[Date of Call]])+1)</f>
        <v>2024</v>
      </c>
      <c r="I973" s="39" t="str">
        <f>TEXT(Call_Centre_Data[[#This Row],[Date of Call]],"DDDD")</f>
        <v>Saturday</v>
      </c>
      <c r="J973" s="39" t="str" cm="1">
        <f t="array" ref="J973">_xlfn.IFS(Call_Centre_Data[[#This Row],[Duration]]&lt;=10,"Under 10 Mins", Call_Centre_Data[[#This Row],[Duration]]&lt;=30,"10-30 Mins",Call_Centre_Data[[#This Row],[Duration]]&lt;=60,"30-60 Mins",Call_Centre_Data[[#This Row],[Duration]]&lt;=120,"1-2 Hours",TRUE,"More than 2 Hours")</f>
        <v>More than 2 Hours</v>
      </c>
      <c r="K973" s="91">
        <f>ROUND(Call_Centre_Data[[#This Row],[Satisfaction Rating]],0)</f>
        <v>3</v>
      </c>
    </row>
    <row r="974" spans="1:11" x14ac:dyDescent="0.35">
      <c r="A974" s="56" t="s">
        <v>1979</v>
      </c>
      <c r="B974" s="57" t="s">
        <v>1007</v>
      </c>
      <c r="C974" s="87">
        <v>147</v>
      </c>
      <c r="D974" s="57" t="s">
        <v>1004</v>
      </c>
      <c r="E974" s="58">
        <v>45276</v>
      </c>
      <c r="F974" s="57">
        <v>76</v>
      </c>
      <c r="G974" s="59">
        <v>4.7</v>
      </c>
      <c r="H974" s="57">
        <f>IF(MONTH(Call_Centre_Data[[#This Row],[Date of Call]])&lt;=6,YEAR(Call_Centre_Data[[#This Row],[Date of Call]]),YEAR(Call_Centre_Data[[#This Row],[Date of Call]])+1)</f>
        <v>2024</v>
      </c>
      <c r="I974" s="39" t="str">
        <f>TEXT(Call_Centre_Data[[#This Row],[Date of Call]],"DDDD")</f>
        <v>Saturday</v>
      </c>
      <c r="J974" s="39" t="str" cm="1">
        <f t="array" ref="J974">_xlfn.IFS(Call_Centre_Data[[#This Row],[Duration]]&lt;=10,"Under 10 Mins", Call_Centre_Data[[#This Row],[Duration]]&lt;=30,"10-30 Mins",Call_Centre_Data[[#This Row],[Duration]]&lt;=60,"30-60 Mins",Call_Centre_Data[[#This Row],[Duration]]&lt;=120,"1-2 Hours",TRUE,"More than 2 Hours")</f>
        <v>More than 2 Hours</v>
      </c>
      <c r="K974" s="91">
        <f>ROUND(Call_Centre_Data[[#This Row],[Satisfaction Rating]],0)</f>
        <v>5</v>
      </c>
    </row>
    <row r="975" spans="1:11" x14ac:dyDescent="0.35">
      <c r="A975" s="56" t="s">
        <v>1980</v>
      </c>
      <c r="B975" s="57" t="s">
        <v>1027</v>
      </c>
      <c r="C975" s="87">
        <v>126</v>
      </c>
      <c r="D975" s="57" t="s">
        <v>1004</v>
      </c>
      <c r="E975" s="58">
        <v>45276</v>
      </c>
      <c r="F975" s="57">
        <v>185</v>
      </c>
      <c r="G975" s="59">
        <v>4.8</v>
      </c>
      <c r="H975" s="57">
        <f>IF(MONTH(Call_Centre_Data[[#This Row],[Date of Call]])&lt;=6,YEAR(Call_Centre_Data[[#This Row],[Date of Call]]),YEAR(Call_Centre_Data[[#This Row],[Date of Call]])+1)</f>
        <v>2024</v>
      </c>
      <c r="I975" s="39" t="str">
        <f>TEXT(Call_Centre_Data[[#This Row],[Date of Call]],"DDDD")</f>
        <v>Saturday</v>
      </c>
      <c r="J975" s="39" t="str" cm="1">
        <f t="array" ref="J975">_xlfn.IFS(Call_Centre_Data[[#This Row],[Duration]]&lt;=10,"Under 10 Mins", Call_Centre_Data[[#This Row],[Duration]]&lt;=30,"10-30 Mins",Call_Centre_Data[[#This Row],[Duration]]&lt;=60,"30-60 Mins",Call_Centre_Data[[#This Row],[Duration]]&lt;=120,"1-2 Hours",TRUE,"More than 2 Hours")</f>
        <v>More than 2 Hours</v>
      </c>
      <c r="K975" s="91">
        <f>ROUND(Call_Centre_Data[[#This Row],[Satisfaction Rating]],0)</f>
        <v>5</v>
      </c>
    </row>
    <row r="976" spans="1:11" x14ac:dyDescent="0.35">
      <c r="A976" s="56" t="s">
        <v>1981</v>
      </c>
      <c r="B976" s="57" t="s">
        <v>993</v>
      </c>
      <c r="C976" s="87">
        <v>126</v>
      </c>
      <c r="D976" s="57" t="s">
        <v>999</v>
      </c>
      <c r="E976" s="58">
        <v>45277</v>
      </c>
      <c r="F976" s="57">
        <v>80</v>
      </c>
      <c r="G976" s="59">
        <v>4.7</v>
      </c>
      <c r="H976" s="57">
        <f>IF(MONTH(Call_Centre_Data[[#This Row],[Date of Call]])&lt;=6,YEAR(Call_Centre_Data[[#This Row],[Date of Call]]),YEAR(Call_Centre_Data[[#This Row],[Date of Call]])+1)</f>
        <v>2024</v>
      </c>
      <c r="I976" s="39" t="str">
        <f>TEXT(Call_Centre_Data[[#This Row],[Date of Call]],"DDDD")</f>
        <v>Sunday</v>
      </c>
      <c r="J976" s="39" t="str" cm="1">
        <f t="array" ref="J976">_xlfn.IFS(Call_Centre_Data[[#This Row],[Duration]]&lt;=10,"Under 10 Mins", Call_Centre_Data[[#This Row],[Duration]]&lt;=30,"10-30 Mins",Call_Centre_Data[[#This Row],[Duration]]&lt;=60,"30-60 Mins",Call_Centre_Data[[#This Row],[Duration]]&lt;=120,"1-2 Hours",TRUE,"More than 2 Hours")</f>
        <v>More than 2 Hours</v>
      </c>
      <c r="K976" s="91">
        <f>ROUND(Call_Centre_Data[[#This Row],[Satisfaction Rating]],0)</f>
        <v>5</v>
      </c>
    </row>
    <row r="977" spans="1:11" x14ac:dyDescent="0.35">
      <c r="A977" s="56" t="s">
        <v>1982</v>
      </c>
      <c r="B977" s="57" t="s">
        <v>1011</v>
      </c>
      <c r="C977" s="87">
        <v>32</v>
      </c>
      <c r="D977" s="57" t="s">
        <v>1004</v>
      </c>
      <c r="E977" s="58">
        <v>45277</v>
      </c>
      <c r="F977" s="57">
        <v>148</v>
      </c>
      <c r="G977" s="59">
        <v>4</v>
      </c>
      <c r="H977" s="57">
        <f>IF(MONTH(Call_Centre_Data[[#This Row],[Date of Call]])&lt;=6,YEAR(Call_Centre_Data[[#This Row],[Date of Call]]),YEAR(Call_Centre_Data[[#This Row],[Date of Call]])+1)</f>
        <v>2024</v>
      </c>
      <c r="I977" s="39" t="str">
        <f>TEXT(Call_Centre_Data[[#This Row],[Date of Call]],"DDDD")</f>
        <v>Sunday</v>
      </c>
      <c r="J977" s="39" t="str" cm="1">
        <f t="array" ref="J977">_xlfn.IFS(Call_Centre_Data[[#This Row],[Duration]]&lt;=10,"Under 10 Mins", Call_Centre_Data[[#This Row],[Duration]]&lt;=30,"10-30 Mins",Call_Centre_Data[[#This Row],[Duration]]&lt;=60,"30-60 Mins",Call_Centre_Data[[#This Row],[Duration]]&lt;=120,"1-2 Hours",TRUE,"More than 2 Hours")</f>
        <v>30-60 Mins</v>
      </c>
      <c r="K977" s="91">
        <f>ROUND(Call_Centre_Data[[#This Row],[Satisfaction Rating]],0)</f>
        <v>4</v>
      </c>
    </row>
    <row r="978" spans="1:11" x14ac:dyDescent="0.35">
      <c r="A978" s="56" t="s">
        <v>1983</v>
      </c>
      <c r="B978" s="57" t="s">
        <v>993</v>
      </c>
      <c r="C978" s="87">
        <v>84</v>
      </c>
      <c r="D978" s="57" t="s">
        <v>1008</v>
      </c>
      <c r="E978" s="58">
        <v>45279</v>
      </c>
      <c r="F978" s="57">
        <v>180</v>
      </c>
      <c r="G978" s="59">
        <v>4.9000000000000004</v>
      </c>
      <c r="H978" s="57">
        <f>IF(MONTH(Call_Centre_Data[[#This Row],[Date of Call]])&lt;=6,YEAR(Call_Centre_Data[[#This Row],[Date of Call]]),YEAR(Call_Centre_Data[[#This Row],[Date of Call]])+1)</f>
        <v>2024</v>
      </c>
      <c r="I978" s="39" t="str">
        <f>TEXT(Call_Centre_Data[[#This Row],[Date of Call]],"DDDD")</f>
        <v>Tuesday</v>
      </c>
      <c r="J978" s="39" t="str" cm="1">
        <f t="array" ref="J978">_xlfn.IFS(Call_Centre_Data[[#This Row],[Duration]]&lt;=10,"Under 10 Mins", Call_Centre_Data[[#This Row],[Duration]]&lt;=30,"10-30 Mins",Call_Centre_Data[[#This Row],[Duration]]&lt;=60,"30-60 Mins",Call_Centre_Data[[#This Row],[Duration]]&lt;=120,"1-2 Hours",TRUE,"More than 2 Hours")</f>
        <v>1-2 Hours</v>
      </c>
      <c r="K978" s="91">
        <f>ROUND(Call_Centre_Data[[#This Row],[Satisfaction Rating]],0)</f>
        <v>5</v>
      </c>
    </row>
    <row r="979" spans="1:11" x14ac:dyDescent="0.35">
      <c r="A979" s="56" t="s">
        <v>1984</v>
      </c>
      <c r="B979" s="57" t="s">
        <v>1019</v>
      </c>
      <c r="C979" s="87">
        <v>120</v>
      </c>
      <c r="D979" s="57" t="s">
        <v>999</v>
      </c>
      <c r="E979" s="58">
        <v>45280</v>
      </c>
      <c r="F979" s="57">
        <v>190</v>
      </c>
      <c r="G979" s="59">
        <v>3.7</v>
      </c>
      <c r="H979" s="57">
        <f>IF(MONTH(Call_Centre_Data[[#This Row],[Date of Call]])&lt;=6,YEAR(Call_Centre_Data[[#This Row],[Date of Call]]),YEAR(Call_Centre_Data[[#This Row],[Date of Call]])+1)</f>
        <v>2024</v>
      </c>
      <c r="I979" s="39" t="str">
        <f>TEXT(Call_Centre_Data[[#This Row],[Date of Call]],"DDDD")</f>
        <v>Wednesday</v>
      </c>
      <c r="J979" s="39" t="str" cm="1">
        <f t="array" ref="J979">_xlfn.IFS(Call_Centre_Data[[#This Row],[Duration]]&lt;=10,"Under 10 Mins", Call_Centre_Data[[#This Row],[Duration]]&lt;=30,"10-30 Mins",Call_Centre_Data[[#This Row],[Duration]]&lt;=60,"30-60 Mins",Call_Centre_Data[[#This Row],[Duration]]&lt;=120,"1-2 Hours",TRUE,"More than 2 Hours")</f>
        <v>1-2 Hours</v>
      </c>
      <c r="K979" s="91">
        <f>ROUND(Call_Centre_Data[[#This Row],[Satisfaction Rating]],0)</f>
        <v>4</v>
      </c>
    </row>
    <row r="980" spans="1:11" x14ac:dyDescent="0.35">
      <c r="A980" s="56" t="s">
        <v>1985</v>
      </c>
      <c r="B980" s="57" t="s">
        <v>998</v>
      </c>
      <c r="C980" s="87">
        <v>93</v>
      </c>
      <c r="D980" s="57" t="s">
        <v>1004</v>
      </c>
      <c r="E980" s="58">
        <v>45280</v>
      </c>
      <c r="F980" s="57">
        <v>38</v>
      </c>
      <c r="G980" s="59">
        <v>4.5</v>
      </c>
      <c r="H980" s="57">
        <f>IF(MONTH(Call_Centre_Data[[#This Row],[Date of Call]])&lt;=6,YEAR(Call_Centre_Data[[#This Row],[Date of Call]]),YEAR(Call_Centre_Data[[#This Row],[Date of Call]])+1)</f>
        <v>2024</v>
      </c>
      <c r="I980" s="39" t="str">
        <f>TEXT(Call_Centre_Data[[#This Row],[Date of Call]],"DDDD")</f>
        <v>Wednesday</v>
      </c>
      <c r="J980" s="39" t="str" cm="1">
        <f t="array" ref="J980">_xlfn.IFS(Call_Centre_Data[[#This Row],[Duration]]&lt;=10,"Under 10 Mins", Call_Centre_Data[[#This Row],[Duration]]&lt;=30,"10-30 Mins",Call_Centre_Data[[#This Row],[Duration]]&lt;=60,"30-60 Mins",Call_Centre_Data[[#This Row],[Duration]]&lt;=120,"1-2 Hours",TRUE,"More than 2 Hours")</f>
        <v>1-2 Hours</v>
      </c>
      <c r="K980" s="91">
        <f>ROUND(Call_Centre_Data[[#This Row],[Satisfaction Rating]],0)</f>
        <v>5</v>
      </c>
    </row>
    <row r="981" spans="1:11" x14ac:dyDescent="0.35">
      <c r="A981" s="56" t="s">
        <v>1986</v>
      </c>
      <c r="B981" s="57" t="s">
        <v>1002</v>
      </c>
      <c r="C981" s="87">
        <v>76</v>
      </c>
      <c r="D981" s="57" t="s">
        <v>994</v>
      </c>
      <c r="E981" s="58">
        <v>45281</v>
      </c>
      <c r="F981" s="57">
        <v>82</v>
      </c>
      <c r="G981" s="59">
        <v>2.1</v>
      </c>
      <c r="H981" s="57">
        <f>IF(MONTH(Call_Centre_Data[[#This Row],[Date of Call]])&lt;=6,YEAR(Call_Centre_Data[[#This Row],[Date of Call]]),YEAR(Call_Centre_Data[[#This Row],[Date of Call]])+1)</f>
        <v>2024</v>
      </c>
      <c r="I981" s="39" t="str">
        <f>TEXT(Call_Centre_Data[[#This Row],[Date of Call]],"DDDD")</f>
        <v>Thursday</v>
      </c>
      <c r="J981" s="39" t="str" cm="1">
        <f t="array" ref="J981">_xlfn.IFS(Call_Centre_Data[[#This Row],[Duration]]&lt;=10,"Under 10 Mins", Call_Centre_Data[[#This Row],[Duration]]&lt;=30,"10-30 Mins",Call_Centre_Data[[#This Row],[Duration]]&lt;=60,"30-60 Mins",Call_Centre_Data[[#This Row],[Duration]]&lt;=120,"1-2 Hours",TRUE,"More than 2 Hours")</f>
        <v>1-2 Hours</v>
      </c>
      <c r="K981" s="91">
        <f>ROUND(Call_Centre_Data[[#This Row],[Satisfaction Rating]],0)</f>
        <v>2</v>
      </c>
    </row>
    <row r="982" spans="1:11" x14ac:dyDescent="0.35">
      <c r="A982" s="56" t="s">
        <v>1987</v>
      </c>
      <c r="B982" s="57" t="s">
        <v>1060</v>
      </c>
      <c r="C982" s="87">
        <v>89</v>
      </c>
      <c r="D982" s="57" t="s">
        <v>1004</v>
      </c>
      <c r="E982" s="58">
        <v>45284</v>
      </c>
      <c r="F982" s="57">
        <v>88</v>
      </c>
      <c r="G982" s="59">
        <v>2.8</v>
      </c>
      <c r="H982" s="57">
        <f>IF(MONTH(Call_Centre_Data[[#This Row],[Date of Call]])&lt;=6,YEAR(Call_Centre_Data[[#This Row],[Date of Call]]),YEAR(Call_Centre_Data[[#This Row],[Date of Call]])+1)</f>
        <v>2024</v>
      </c>
      <c r="I982" s="39" t="str">
        <f>TEXT(Call_Centre_Data[[#This Row],[Date of Call]],"DDDD")</f>
        <v>Sunday</v>
      </c>
      <c r="J982" s="39" t="str" cm="1">
        <f t="array" ref="J982">_xlfn.IFS(Call_Centre_Data[[#This Row],[Duration]]&lt;=10,"Under 10 Mins", Call_Centre_Data[[#This Row],[Duration]]&lt;=30,"10-30 Mins",Call_Centre_Data[[#This Row],[Duration]]&lt;=60,"30-60 Mins",Call_Centre_Data[[#This Row],[Duration]]&lt;=120,"1-2 Hours",TRUE,"More than 2 Hours")</f>
        <v>1-2 Hours</v>
      </c>
      <c r="K982" s="91">
        <f>ROUND(Call_Centre_Data[[#This Row],[Satisfaction Rating]],0)</f>
        <v>3</v>
      </c>
    </row>
    <row r="983" spans="1:11" x14ac:dyDescent="0.35">
      <c r="A983" s="56" t="s">
        <v>1988</v>
      </c>
      <c r="B983" s="57" t="s">
        <v>996</v>
      </c>
      <c r="C983" s="87">
        <v>91</v>
      </c>
      <c r="D983" s="57" t="s">
        <v>1008</v>
      </c>
      <c r="E983" s="58">
        <v>45284</v>
      </c>
      <c r="F983" s="57">
        <v>42</v>
      </c>
      <c r="G983" s="59">
        <v>4.0999999999999996</v>
      </c>
      <c r="H983" s="57">
        <f>IF(MONTH(Call_Centre_Data[[#This Row],[Date of Call]])&lt;=6,YEAR(Call_Centre_Data[[#This Row],[Date of Call]]),YEAR(Call_Centre_Data[[#This Row],[Date of Call]])+1)</f>
        <v>2024</v>
      </c>
      <c r="I983" s="39" t="str">
        <f>TEXT(Call_Centre_Data[[#This Row],[Date of Call]],"DDDD")</f>
        <v>Sunday</v>
      </c>
      <c r="J983" s="39" t="str" cm="1">
        <f t="array" ref="J983">_xlfn.IFS(Call_Centre_Data[[#This Row],[Duration]]&lt;=10,"Under 10 Mins", Call_Centre_Data[[#This Row],[Duration]]&lt;=30,"10-30 Mins",Call_Centre_Data[[#This Row],[Duration]]&lt;=60,"30-60 Mins",Call_Centre_Data[[#This Row],[Duration]]&lt;=120,"1-2 Hours",TRUE,"More than 2 Hours")</f>
        <v>1-2 Hours</v>
      </c>
      <c r="K983" s="91">
        <f>ROUND(Call_Centre_Data[[#This Row],[Satisfaction Rating]],0)</f>
        <v>4</v>
      </c>
    </row>
    <row r="984" spans="1:11" x14ac:dyDescent="0.35">
      <c r="A984" s="56" t="s">
        <v>1989</v>
      </c>
      <c r="B984" s="57" t="s">
        <v>1022</v>
      </c>
      <c r="C984" s="87">
        <v>7</v>
      </c>
      <c r="D984" s="57" t="s">
        <v>989</v>
      </c>
      <c r="E984" s="58">
        <v>45285</v>
      </c>
      <c r="F984" s="57">
        <v>64</v>
      </c>
      <c r="G984" s="59">
        <v>3.3</v>
      </c>
      <c r="H984" s="57">
        <f>IF(MONTH(Call_Centre_Data[[#This Row],[Date of Call]])&lt;=6,YEAR(Call_Centre_Data[[#This Row],[Date of Call]]),YEAR(Call_Centre_Data[[#This Row],[Date of Call]])+1)</f>
        <v>2024</v>
      </c>
      <c r="I984" s="39" t="str">
        <f>TEXT(Call_Centre_Data[[#This Row],[Date of Call]],"DDDD")</f>
        <v>Monday</v>
      </c>
      <c r="J984" s="39" t="str" cm="1">
        <f t="array" ref="J984">_xlfn.IFS(Call_Centre_Data[[#This Row],[Duration]]&lt;=10,"Under 10 Mins", Call_Centre_Data[[#This Row],[Duration]]&lt;=30,"10-30 Mins",Call_Centre_Data[[#This Row],[Duration]]&lt;=60,"30-60 Mins",Call_Centre_Data[[#This Row],[Duration]]&lt;=120,"1-2 Hours",TRUE,"More than 2 Hours")</f>
        <v>Under 10 Mins</v>
      </c>
      <c r="K984" s="91">
        <f>ROUND(Call_Centre_Data[[#This Row],[Satisfaction Rating]],0)</f>
        <v>3</v>
      </c>
    </row>
    <row r="985" spans="1:11" x14ac:dyDescent="0.35">
      <c r="A985" s="56" t="s">
        <v>1990</v>
      </c>
      <c r="B985" s="57" t="s">
        <v>1011</v>
      </c>
      <c r="C985" s="87">
        <v>140</v>
      </c>
      <c r="D985" s="57" t="s">
        <v>989</v>
      </c>
      <c r="E985" s="58">
        <v>45285</v>
      </c>
      <c r="F985" s="57">
        <v>105</v>
      </c>
      <c r="G985" s="59">
        <v>1.7</v>
      </c>
      <c r="H985" s="57">
        <f>IF(MONTH(Call_Centre_Data[[#This Row],[Date of Call]])&lt;=6,YEAR(Call_Centre_Data[[#This Row],[Date of Call]]),YEAR(Call_Centre_Data[[#This Row],[Date of Call]])+1)</f>
        <v>2024</v>
      </c>
      <c r="I985" s="39" t="str">
        <f>TEXT(Call_Centre_Data[[#This Row],[Date of Call]],"DDDD")</f>
        <v>Monday</v>
      </c>
      <c r="J985" s="39" t="str" cm="1">
        <f t="array" ref="J985">_xlfn.IFS(Call_Centre_Data[[#This Row],[Duration]]&lt;=10,"Under 10 Mins", Call_Centre_Data[[#This Row],[Duration]]&lt;=30,"10-30 Mins",Call_Centre_Data[[#This Row],[Duration]]&lt;=60,"30-60 Mins",Call_Centre_Data[[#This Row],[Duration]]&lt;=120,"1-2 Hours",TRUE,"More than 2 Hours")</f>
        <v>More than 2 Hours</v>
      </c>
      <c r="K985" s="91">
        <f>ROUND(Call_Centre_Data[[#This Row],[Satisfaction Rating]],0)</f>
        <v>2</v>
      </c>
    </row>
    <row r="986" spans="1:11" x14ac:dyDescent="0.35">
      <c r="A986" s="56" t="s">
        <v>1991</v>
      </c>
      <c r="B986" s="57" t="s">
        <v>991</v>
      </c>
      <c r="C986" s="87">
        <v>58</v>
      </c>
      <c r="D986" s="57" t="s">
        <v>999</v>
      </c>
      <c r="E986" s="58">
        <v>45285</v>
      </c>
      <c r="F986" s="57">
        <v>25</v>
      </c>
      <c r="G986" s="59">
        <v>3.6</v>
      </c>
      <c r="H986" s="57">
        <f>IF(MONTH(Call_Centre_Data[[#This Row],[Date of Call]])&lt;=6,YEAR(Call_Centre_Data[[#This Row],[Date of Call]]),YEAR(Call_Centre_Data[[#This Row],[Date of Call]])+1)</f>
        <v>2024</v>
      </c>
      <c r="I986" s="39" t="str">
        <f>TEXT(Call_Centre_Data[[#This Row],[Date of Call]],"DDDD")</f>
        <v>Monday</v>
      </c>
      <c r="J986" s="39" t="str" cm="1">
        <f t="array" ref="J986">_xlfn.IFS(Call_Centre_Data[[#This Row],[Duration]]&lt;=10,"Under 10 Mins", Call_Centre_Data[[#This Row],[Duration]]&lt;=30,"10-30 Mins",Call_Centre_Data[[#This Row],[Duration]]&lt;=60,"30-60 Mins",Call_Centre_Data[[#This Row],[Duration]]&lt;=120,"1-2 Hours",TRUE,"More than 2 Hours")</f>
        <v>30-60 Mins</v>
      </c>
      <c r="K986" s="91">
        <f>ROUND(Call_Centre_Data[[#This Row],[Satisfaction Rating]],0)</f>
        <v>4</v>
      </c>
    </row>
    <row r="987" spans="1:11" x14ac:dyDescent="0.35">
      <c r="A987" s="56" t="s">
        <v>1992</v>
      </c>
      <c r="B987" s="57" t="s">
        <v>988</v>
      </c>
      <c r="C987" s="87">
        <v>90</v>
      </c>
      <c r="D987" s="57" t="s">
        <v>994</v>
      </c>
      <c r="E987" s="58">
        <v>45286</v>
      </c>
      <c r="F987" s="57">
        <v>176</v>
      </c>
      <c r="G987" s="59">
        <v>3.6</v>
      </c>
      <c r="H987" s="57">
        <f>IF(MONTH(Call_Centre_Data[[#This Row],[Date of Call]])&lt;=6,YEAR(Call_Centre_Data[[#This Row],[Date of Call]]),YEAR(Call_Centre_Data[[#This Row],[Date of Call]])+1)</f>
        <v>2024</v>
      </c>
      <c r="I987" s="39" t="str">
        <f>TEXT(Call_Centre_Data[[#This Row],[Date of Call]],"DDDD")</f>
        <v>Tuesday</v>
      </c>
      <c r="J987" s="39" t="str" cm="1">
        <f t="array" ref="J987">_xlfn.IFS(Call_Centre_Data[[#This Row],[Duration]]&lt;=10,"Under 10 Mins", Call_Centre_Data[[#This Row],[Duration]]&lt;=30,"10-30 Mins",Call_Centre_Data[[#This Row],[Duration]]&lt;=60,"30-60 Mins",Call_Centre_Data[[#This Row],[Duration]]&lt;=120,"1-2 Hours",TRUE,"More than 2 Hours")</f>
        <v>1-2 Hours</v>
      </c>
      <c r="K987" s="91">
        <f>ROUND(Call_Centre_Data[[#This Row],[Satisfaction Rating]],0)</f>
        <v>4</v>
      </c>
    </row>
    <row r="988" spans="1:11" x14ac:dyDescent="0.35">
      <c r="A988" s="56" t="s">
        <v>1993</v>
      </c>
      <c r="B988" s="57" t="s">
        <v>988</v>
      </c>
      <c r="C988" s="87">
        <v>106</v>
      </c>
      <c r="D988" s="57" t="s">
        <v>1004</v>
      </c>
      <c r="E988" s="58">
        <v>45287</v>
      </c>
      <c r="F988" s="57">
        <v>46</v>
      </c>
      <c r="G988" s="59">
        <v>4.5999999999999996</v>
      </c>
      <c r="H988" s="57">
        <f>IF(MONTH(Call_Centre_Data[[#This Row],[Date of Call]])&lt;=6,YEAR(Call_Centre_Data[[#This Row],[Date of Call]]),YEAR(Call_Centre_Data[[#This Row],[Date of Call]])+1)</f>
        <v>2024</v>
      </c>
      <c r="I988" s="39" t="str">
        <f>TEXT(Call_Centre_Data[[#This Row],[Date of Call]],"DDDD")</f>
        <v>Wednesday</v>
      </c>
      <c r="J988" s="39" t="str" cm="1">
        <f t="array" ref="J988">_xlfn.IFS(Call_Centre_Data[[#This Row],[Duration]]&lt;=10,"Under 10 Mins", Call_Centre_Data[[#This Row],[Duration]]&lt;=30,"10-30 Mins",Call_Centre_Data[[#This Row],[Duration]]&lt;=60,"30-60 Mins",Call_Centre_Data[[#This Row],[Duration]]&lt;=120,"1-2 Hours",TRUE,"More than 2 Hours")</f>
        <v>1-2 Hours</v>
      </c>
      <c r="K988" s="91">
        <f>ROUND(Call_Centre_Data[[#This Row],[Satisfaction Rating]],0)</f>
        <v>5</v>
      </c>
    </row>
    <row r="989" spans="1:11" x14ac:dyDescent="0.35">
      <c r="A989" s="56" t="s">
        <v>1994</v>
      </c>
      <c r="B989" s="57" t="s">
        <v>1019</v>
      </c>
      <c r="C989" s="87">
        <v>72</v>
      </c>
      <c r="D989" s="57" t="s">
        <v>989</v>
      </c>
      <c r="E989" s="58">
        <v>45287</v>
      </c>
      <c r="F989" s="57">
        <v>164</v>
      </c>
      <c r="G989" s="59">
        <v>4.8</v>
      </c>
      <c r="H989" s="57">
        <f>IF(MONTH(Call_Centre_Data[[#This Row],[Date of Call]])&lt;=6,YEAR(Call_Centre_Data[[#This Row],[Date of Call]]),YEAR(Call_Centre_Data[[#This Row],[Date of Call]])+1)</f>
        <v>2024</v>
      </c>
      <c r="I989" s="39" t="str">
        <f>TEXT(Call_Centre_Data[[#This Row],[Date of Call]],"DDDD")</f>
        <v>Wednesday</v>
      </c>
      <c r="J989" s="39" t="str" cm="1">
        <f t="array" ref="J989">_xlfn.IFS(Call_Centre_Data[[#This Row],[Duration]]&lt;=10,"Under 10 Mins", Call_Centre_Data[[#This Row],[Duration]]&lt;=30,"10-30 Mins",Call_Centre_Data[[#This Row],[Duration]]&lt;=60,"30-60 Mins",Call_Centre_Data[[#This Row],[Duration]]&lt;=120,"1-2 Hours",TRUE,"More than 2 Hours")</f>
        <v>1-2 Hours</v>
      </c>
      <c r="K989" s="91">
        <f>ROUND(Call_Centre_Data[[#This Row],[Satisfaction Rating]],0)</f>
        <v>5</v>
      </c>
    </row>
    <row r="990" spans="1:11" x14ac:dyDescent="0.35">
      <c r="A990" s="56" t="s">
        <v>1995</v>
      </c>
      <c r="B990" s="57" t="s">
        <v>1022</v>
      </c>
      <c r="C990" s="87">
        <v>124</v>
      </c>
      <c r="D990" s="57" t="s">
        <v>989</v>
      </c>
      <c r="E990" s="58">
        <v>45288</v>
      </c>
      <c r="F990" s="57">
        <v>64</v>
      </c>
      <c r="G990" s="59">
        <v>4.5</v>
      </c>
      <c r="H990" s="57">
        <f>IF(MONTH(Call_Centre_Data[[#This Row],[Date of Call]])&lt;=6,YEAR(Call_Centre_Data[[#This Row],[Date of Call]]),YEAR(Call_Centre_Data[[#This Row],[Date of Call]])+1)</f>
        <v>2024</v>
      </c>
      <c r="I990" s="39" t="str">
        <f>TEXT(Call_Centre_Data[[#This Row],[Date of Call]],"DDDD")</f>
        <v>Thursday</v>
      </c>
      <c r="J990" s="39" t="str" cm="1">
        <f t="array" ref="J990">_xlfn.IFS(Call_Centre_Data[[#This Row],[Duration]]&lt;=10,"Under 10 Mins", Call_Centre_Data[[#This Row],[Duration]]&lt;=30,"10-30 Mins",Call_Centre_Data[[#This Row],[Duration]]&lt;=60,"30-60 Mins",Call_Centre_Data[[#This Row],[Duration]]&lt;=120,"1-2 Hours",TRUE,"More than 2 Hours")</f>
        <v>More than 2 Hours</v>
      </c>
      <c r="K990" s="91">
        <f>ROUND(Call_Centre_Data[[#This Row],[Satisfaction Rating]],0)</f>
        <v>5</v>
      </c>
    </row>
    <row r="991" spans="1:11" x14ac:dyDescent="0.35">
      <c r="A991" s="56" t="s">
        <v>1996</v>
      </c>
      <c r="B991" s="57" t="s">
        <v>1013</v>
      </c>
      <c r="C991" s="87">
        <v>86</v>
      </c>
      <c r="D991" s="57" t="s">
        <v>1008</v>
      </c>
      <c r="E991" s="58">
        <v>45288</v>
      </c>
      <c r="F991" s="57">
        <v>205</v>
      </c>
      <c r="G991" s="59">
        <v>4.5</v>
      </c>
      <c r="H991" s="57">
        <f>IF(MONTH(Call_Centre_Data[[#This Row],[Date of Call]])&lt;=6,YEAR(Call_Centre_Data[[#This Row],[Date of Call]]),YEAR(Call_Centre_Data[[#This Row],[Date of Call]])+1)</f>
        <v>2024</v>
      </c>
      <c r="I991" s="39" t="str">
        <f>TEXT(Call_Centre_Data[[#This Row],[Date of Call]],"DDDD")</f>
        <v>Thursday</v>
      </c>
      <c r="J991" s="39" t="str" cm="1">
        <f t="array" ref="J991">_xlfn.IFS(Call_Centre_Data[[#This Row],[Duration]]&lt;=10,"Under 10 Mins", Call_Centre_Data[[#This Row],[Duration]]&lt;=30,"10-30 Mins",Call_Centre_Data[[#This Row],[Duration]]&lt;=60,"30-60 Mins",Call_Centre_Data[[#This Row],[Duration]]&lt;=120,"1-2 Hours",TRUE,"More than 2 Hours")</f>
        <v>1-2 Hours</v>
      </c>
      <c r="K991" s="91">
        <f>ROUND(Call_Centre_Data[[#This Row],[Satisfaction Rating]],0)</f>
        <v>5</v>
      </c>
    </row>
    <row r="992" spans="1:11" x14ac:dyDescent="0.35">
      <c r="A992" s="56" t="s">
        <v>1997</v>
      </c>
      <c r="B992" s="57" t="s">
        <v>993</v>
      </c>
      <c r="C992" s="87">
        <v>164</v>
      </c>
      <c r="D992" s="57" t="s">
        <v>1008</v>
      </c>
      <c r="E992" s="58">
        <v>45289</v>
      </c>
      <c r="F992" s="57">
        <v>100</v>
      </c>
      <c r="G992" s="59">
        <v>4.5999999999999996</v>
      </c>
      <c r="H992" s="57">
        <f>IF(MONTH(Call_Centre_Data[[#This Row],[Date of Call]])&lt;=6,YEAR(Call_Centre_Data[[#This Row],[Date of Call]]),YEAR(Call_Centre_Data[[#This Row],[Date of Call]])+1)</f>
        <v>2024</v>
      </c>
      <c r="I992" s="39" t="str">
        <f>TEXT(Call_Centre_Data[[#This Row],[Date of Call]],"DDDD")</f>
        <v>Friday</v>
      </c>
      <c r="J992" s="39" t="str" cm="1">
        <f t="array" ref="J992">_xlfn.IFS(Call_Centre_Data[[#This Row],[Duration]]&lt;=10,"Under 10 Mins", Call_Centre_Data[[#This Row],[Duration]]&lt;=30,"10-30 Mins",Call_Centre_Data[[#This Row],[Duration]]&lt;=60,"30-60 Mins",Call_Centre_Data[[#This Row],[Duration]]&lt;=120,"1-2 Hours",TRUE,"More than 2 Hours")</f>
        <v>More than 2 Hours</v>
      </c>
      <c r="K992" s="91">
        <f>ROUND(Call_Centre_Data[[#This Row],[Satisfaction Rating]],0)</f>
        <v>5</v>
      </c>
    </row>
    <row r="993" spans="1:11" x14ac:dyDescent="0.35">
      <c r="A993" s="56" t="s">
        <v>1998</v>
      </c>
      <c r="B993" s="57" t="s">
        <v>998</v>
      </c>
      <c r="C993" s="87">
        <v>40</v>
      </c>
      <c r="D993" s="57" t="s">
        <v>994</v>
      </c>
      <c r="E993" s="58">
        <v>45289</v>
      </c>
      <c r="F993" s="57">
        <v>111</v>
      </c>
      <c r="G993" s="59">
        <v>4.5999999999999996</v>
      </c>
      <c r="H993" s="57">
        <f>IF(MONTH(Call_Centre_Data[[#This Row],[Date of Call]])&lt;=6,YEAR(Call_Centre_Data[[#This Row],[Date of Call]]),YEAR(Call_Centre_Data[[#This Row],[Date of Call]])+1)</f>
        <v>2024</v>
      </c>
      <c r="I993" s="39" t="str">
        <f>TEXT(Call_Centre_Data[[#This Row],[Date of Call]],"DDDD")</f>
        <v>Friday</v>
      </c>
      <c r="J993" s="39" t="str" cm="1">
        <f t="array" ref="J993">_xlfn.IFS(Call_Centre_Data[[#This Row],[Duration]]&lt;=10,"Under 10 Mins", Call_Centre_Data[[#This Row],[Duration]]&lt;=30,"10-30 Mins",Call_Centre_Data[[#This Row],[Duration]]&lt;=60,"30-60 Mins",Call_Centre_Data[[#This Row],[Duration]]&lt;=120,"1-2 Hours",TRUE,"More than 2 Hours")</f>
        <v>30-60 Mins</v>
      </c>
      <c r="K993" s="91">
        <f>ROUND(Call_Centre_Data[[#This Row],[Satisfaction Rating]],0)</f>
        <v>5</v>
      </c>
    </row>
    <row r="994" spans="1:11" x14ac:dyDescent="0.35">
      <c r="A994" s="56" t="s">
        <v>1999</v>
      </c>
      <c r="B994" s="57" t="s">
        <v>996</v>
      </c>
      <c r="C994" s="87">
        <v>76</v>
      </c>
      <c r="D994" s="57" t="s">
        <v>999</v>
      </c>
      <c r="E994" s="58">
        <v>45289</v>
      </c>
      <c r="F994" s="57">
        <v>80</v>
      </c>
      <c r="G994" s="59">
        <v>3.5</v>
      </c>
      <c r="H994" s="57">
        <f>IF(MONTH(Call_Centre_Data[[#This Row],[Date of Call]])&lt;=6,YEAR(Call_Centre_Data[[#This Row],[Date of Call]]),YEAR(Call_Centre_Data[[#This Row],[Date of Call]])+1)</f>
        <v>2024</v>
      </c>
      <c r="I994" s="39" t="str">
        <f>TEXT(Call_Centre_Data[[#This Row],[Date of Call]],"DDDD")</f>
        <v>Friday</v>
      </c>
      <c r="J994" s="39" t="str" cm="1">
        <f t="array" ref="J994">_xlfn.IFS(Call_Centre_Data[[#This Row],[Duration]]&lt;=10,"Under 10 Mins", Call_Centre_Data[[#This Row],[Duration]]&lt;=30,"10-30 Mins",Call_Centre_Data[[#This Row],[Duration]]&lt;=60,"30-60 Mins",Call_Centre_Data[[#This Row],[Duration]]&lt;=120,"1-2 Hours",TRUE,"More than 2 Hours")</f>
        <v>1-2 Hours</v>
      </c>
      <c r="K994" s="91">
        <f>ROUND(Call_Centre_Data[[#This Row],[Satisfaction Rating]],0)</f>
        <v>4</v>
      </c>
    </row>
    <row r="995" spans="1:11" x14ac:dyDescent="0.35">
      <c r="A995" s="56" t="s">
        <v>2000</v>
      </c>
      <c r="B995" s="57" t="s">
        <v>1022</v>
      </c>
      <c r="C995" s="87">
        <v>95</v>
      </c>
      <c r="D995" s="57" t="s">
        <v>1004</v>
      </c>
      <c r="E995" s="58">
        <v>45289</v>
      </c>
      <c r="F995" s="57">
        <v>50</v>
      </c>
      <c r="G995" s="59">
        <v>2.9</v>
      </c>
      <c r="H995" s="57">
        <f>IF(MONTH(Call_Centre_Data[[#This Row],[Date of Call]])&lt;=6,YEAR(Call_Centre_Data[[#This Row],[Date of Call]]),YEAR(Call_Centre_Data[[#This Row],[Date of Call]])+1)</f>
        <v>2024</v>
      </c>
      <c r="I995" s="39" t="str">
        <f>TEXT(Call_Centre_Data[[#This Row],[Date of Call]],"DDDD")</f>
        <v>Friday</v>
      </c>
      <c r="J995" s="39" t="str" cm="1">
        <f t="array" ref="J995">_xlfn.IFS(Call_Centre_Data[[#This Row],[Duration]]&lt;=10,"Under 10 Mins", Call_Centre_Data[[#This Row],[Duration]]&lt;=30,"10-30 Mins",Call_Centre_Data[[#This Row],[Duration]]&lt;=60,"30-60 Mins",Call_Centre_Data[[#This Row],[Duration]]&lt;=120,"1-2 Hours",TRUE,"More than 2 Hours")</f>
        <v>1-2 Hours</v>
      </c>
      <c r="K995" s="91">
        <f>ROUND(Call_Centre_Data[[#This Row],[Satisfaction Rating]],0)</f>
        <v>3</v>
      </c>
    </row>
    <row r="996" spans="1:11" x14ac:dyDescent="0.35">
      <c r="A996" s="56" t="s">
        <v>2001</v>
      </c>
      <c r="B996" s="57" t="s">
        <v>996</v>
      </c>
      <c r="C996" s="87">
        <v>113</v>
      </c>
      <c r="D996" s="57" t="s">
        <v>989</v>
      </c>
      <c r="E996" s="58">
        <v>45290</v>
      </c>
      <c r="F996" s="57">
        <v>165</v>
      </c>
      <c r="G996" s="59">
        <v>4.7</v>
      </c>
      <c r="H996" s="57">
        <f>IF(MONTH(Call_Centre_Data[[#This Row],[Date of Call]])&lt;=6,YEAR(Call_Centre_Data[[#This Row],[Date of Call]]),YEAR(Call_Centre_Data[[#This Row],[Date of Call]])+1)</f>
        <v>2024</v>
      </c>
      <c r="I996" s="39" t="str">
        <f>TEXT(Call_Centre_Data[[#This Row],[Date of Call]],"DDDD")</f>
        <v>Saturday</v>
      </c>
      <c r="J996" s="39" t="str" cm="1">
        <f t="array" ref="J996">_xlfn.IFS(Call_Centre_Data[[#This Row],[Duration]]&lt;=10,"Under 10 Mins", Call_Centre_Data[[#This Row],[Duration]]&lt;=30,"10-30 Mins",Call_Centre_Data[[#This Row],[Duration]]&lt;=60,"30-60 Mins",Call_Centre_Data[[#This Row],[Duration]]&lt;=120,"1-2 Hours",TRUE,"More than 2 Hours")</f>
        <v>1-2 Hours</v>
      </c>
      <c r="K996" s="91">
        <f>ROUND(Call_Centre_Data[[#This Row],[Satisfaction Rating]],0)</f>
        <v>5</v>
      </c>
    </row>
    <row r="997" spans="1:11" x14ac:dyDescent="0.35">
      <c r="A997" s="56" t="s">
        <v>2002</v>
      </c>
      <c r="B997" s="57" t="s">
        <v>1013</v>
      </c>
      <c r="C997" s="87">
        <v>81</v>
      </c>
      <c r="D997" s="57" t="s">
        <v>989</v>
      </c>
      <c r="E997" s="58">
        <v>45290</v>
      </c>
      <c r="F997" s="57">
        <v>28</v>
      </c>
      <c r="G997" s="59">
        <v>3.9</v>
      </c>
      <c r="H997" s="57">
        <f>IF(MONTH(Call_Centre_Data[[#This Row],[Date of Call]])&lt;=6,YEAR(Call_Centre_Data[[#This Row],[Date of Call]]),YEAR(Call_Centre_Data[[#This Row],[Date of Call]])+1)</f>
        <v>2024</v>
      </c>
      <c r="I997" s="39" t="str">
        <f>TEXT(Call_Centre_Data[[#This Row],[Date of Call]],"DDDD")</f>
        <v>Saturday</v>
      </c>
      <c r="J997" s="39" t="str" cm="1">
        <f t="array" ref="J997">_xlfn.IFS(Call_Centre_Data[[#This Row],[Duration]]&lt;=10,"Under 10 Mins", Call_Centre_Data[[#This Row],[Duration]]&lt;=30,"10-30 Mins",Call_Centre_Data[[#This Row],[Duration]]&lt;=60,"30-60 Mins",Call_Centre_Data[[#This Row],[Duration]]&lt;=120,"1-2 Hours",TRUE,"More than 2 Hours")</f>
        <v>1-2 Hours</v>
      </c>
      <c r="K997" s="91">
        <f>ROUND(Call_Centre_Data[[#This Row],[Satisfaction Rating]],0)</f>
        <v>4</v>
      </c>
    </row>
    <row r="998" spans="1:11" x14ac:dyDescent="0.35">
      <c r="A998" s="56" t="s">
        <v>2003</v>
      </c>
      <c r="B998" s="57" t="s">
        <v>1002</v>
      </c>
      <c r="C998" s="87">
        <v>127</v>
      </c>
      <c r="D998" s="57" t="s">
        <v>1004</v>
      </c>
      <c r="E998" s="58">
        <v>45290</v>
      </c>
      <c r="F998" s="57">
        <v>215</v>
      </c>
      <c r="G998" s="59">
        <v>3.8</v>
      </c>
      <c r="H998" s="57">
        <f>IF(MONTH(Call_Centre_Data[[#This Row],[Date of Call]])&lt;=6,YEAR(Call_Centre_Data[[#This Row],[Date of Call]]),YEAR(Call_Centre_Data[[#This Row],[Date of Call]])+1)</f>
        <v>2024</v>
      </c>
      <c r="I998" s="39" t="str">
        <f>TEXT(Call_Centre_Data[[#This Row],[Date of Call]],"DDDD")</f>
        <v>Saturday</v>
      </c>
      <c r="J998" s="39" t="str" cm="1">
        <f t="array" ref="J998">_xlfn.IFS(Call_Centre_Data[[#This Row],[Duration]]&lt;=10,"Under 10 Mins", Call_Centre_Data[[#This Row],[Duration]]&lt;=30,"10-30 Mins",Call_Centre_Data[[#This Row],[Duration]]&lt;=60,"30-60 Mins",Call_Centre_Data[[#This Row],[Duration]]&lt;=120,"1-2 Hours",TRUE,"More than 2 Hours")</f>
        <v>More than 2 Hours</v>
      </c>
      <c r="K998" s="91">
        <f>ROUND(Call_Centre_Data[[#This Row],[Satisfaction Rating]],0)</f>
        <v>4</v>
      </c>
    </row>
    <row r="999" spans="1:11" x14ac:dyDescent="0.35">
      <c r="A999" s="56" t="s">
        <v>2004</v>
      </c>
      <c r="B999" s="57" t="s">
        <v>1011</v>
      </c>
      <c r="C999" s="87">
        <v>146</v>
      </c>
      <c r="D999" s="57" t="s">
        <v>989</v>
      </c>
      <c r="E999" s="58">
        <v>45291</v>
      </c>
      <c r="F999" s="57">
        <v>115</v>
      </c>
      <c r="G999" s="59">
        <v>2.2999999999999998</v>
      </c>
      <c r="H999" s="57">
        <f>IF(MONTH(Call_Centre_Data[[#This Row],[Date of Call]])&lt;=6,YEAR(Call_Centre_Data[[#This Row],[Date of Call]]),YEAR(Call_Centre_Data[[#This Row],[Date of Call]])+1)</f>
        <v>2024</v>
      </c>
      <c r="I999" s="39" t="str">
        <f>TEXT(Call_Centre_Data[[#This Row],[Date of Call]],"DDDD")</f>
        <v>Sunday</v>
      </c>
      <c r="J999" s="39" t="str" cm="1">
        <f t="array" ref="J999">_xlfn.IFS(Call_Centre_Data[[#This Row],[Duration]]&lt;=10,"Under 10 Mins", Call_Centre_Data[[#This Row],[Duration]]&lt;=30,"10-30 Mins",Call_Centre_Data[[#This Row],[Duration]]&lt;=60,"30-60 Mins",Call_Centre_Data[[#This Row],[Duration]]&lt;=120,"1-2 Hours",TRUE,"More than 2 Hours")</f>
        <v>More than 2 Hours</v>
      </c>
      <c r="K999" s="91">
        <f>ROUND(Call_Centre_Data[[#This Row],[Satisfaction Rating]],0)</f>
        <v>2</v>
      </c>
    </row>
    <row r="1000" spans="1:11" x14ac:dyDescent="0.35">
      <c r="A1000" s="56" t="s">
        <v>2005</v>
      </c>
      <c r="B1000" s="57" t="s">
        <v>1007</v>
      </c>
      <c r="C1000" s="87">
        <v>123</v>
      </c>
      <c r="D1000" s="57" t="s">
        <v>989</v>
      </c>
      <c r="E1000" s="58">
        <v>45291</v>
      </c>
      <c r="F1000" s="57">
        <v>64</v>
      </c>
      <c r="G1000" s="59">
        <v>3.7</v>
      </c>
      <c r="H1000" s="57">
        <f>IF(MONTH(Call_Centre_Data[[#This Row],[Date of Call]])&lt;=6,YEAR(Call_Centre_Data[[#This Row],[Date of Call]]),YEAR(Call_Centre_Data[[#This Row],[Date of Call]])+1)</f>
        <v>2024</v>
      </c>
      <c r="I1000" s="39" t="str">
        <f>TEXT(Call_Centre_Data[[#This Row],[Date of Call]],"DDDD")</f>
        <v>Sunday</v>
      </c>
      <c r="J1000" s="39" t="str" cm="1">
        <f t="array" ref="J1000">_xlfn.IFS(Call_Centre_Data[[#This Row],[Duration]]&lt;=10,"Under 10 Mins", Call_Centre_Data[[#This Row],[Duration]]&lt;=30,"10-30 Mins",Call_Centre_Data[[#This Row],[Duration]]&lt;=60,"30-60 Mins",Call_Centre_Data[[#This Row],[Duration]]&lt;=120,"1-2 Hours",TRUE,"More than 2 Hours")</f>
        <v>More than 2 Hours</v>
      </c>
      <c r="K1000" s="91">
        <f>ROUND(Call_Centre_Data[[#This Row],[Satisfaction Rating]],0)</f>
        <v>4</v>
      </c>
    </row>
    <row r="1001" spans="1:11" x14ac:dyDescent="0.35">
      <c r="A1001" s="60" t="s">
        <v>2006</v>
      </c>
      <c r="B1001" s="61" t="s">
        <v>1019</v>
      </c>
      <c r="C1001" s="88">
        <v>114</v>
      </c>
      <c r="D1001" s="61" t="s">
        <v>999</v>
      </c>
      <c r="E1001" s="62">
        <v>45291</v>
      </c>
      <c r="F1001" s="61">
        <v>40</v>
      </c>
      <c r="G1001" s="63">
        <v>3.9</v>
      </c>
      <c r="H1001" s="61">
        <f>IF(MONTH(Call_Centre_Data[[#This Row],[Date of Call]])&lt;=6,YEAR(Call_Centre_Data[[#This Row],[Date of Call]]),YEAR(Call_Centre_Data[[#This Row],[Date of Call]])+1)</f>
        <v>2024</v>
      </c>
      <c r="I1001" s="84" t="str">
        <f>TEXT(Call_Centre_Data[[#This Row],[Date of Call]],"DDDD")</f>
        <v>Sunday</v>
      </c>
      <c r="J1001" s="84" t="str" cm="1">
        <f t="array" ref="J1001">_xlfn.IFS(Call_Centre_Data[[#This Row],[Duration]]&lt;=10,"Under 10 Mins", Call_Centre_Data[[#This Row],[Duration]]&lt;=30,"10-30 Mins",Call_Centre_Data[[#This Row],[Duration]]&lt;=60,"30-60 Mins",Call_Centre_Data[[#This Row],[Duration]]&lt;=120,"1-2 Hours",TRUE,"More than 2 Hours")</f>
        <v>1-2 Hours</v>
      </c>
      <c r="K1001" s="92">
        <f>ROUND(Call_Centre_Data[[#This Row],[Satisfaction Rating]],0)</f>
        <v>4</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7810-4159-44E1-8784-DE840813DFBF}">
  <dimension ref="A1:N332"/>
  <sheetViews>
    <sheetView tabSelected="1" topLeftCell="A289" zoomScale="69" zoomScaleNormal="80" workbookViewId="0">
      <selection activeCell="H306" sqref="H306"/>
    </sheetView>
  </sheetViews>
  <sheetFormatPr defaultRowHeight="18" x14ac:dyDescent="0.35"/>
  <cols>
    <col min="1" max="1" width="12.25" bestFit="1" customWidth="1"/>
    <col min="2" max="2" width="14.08203125" bestFit="1" customWidth="1"/>
    <col min="3" max="3" width="21.5" bestFit="1" customWidth="1"/>
    <col min="4" max="4" width="23.9140625" bestFit="1" customWidth="1"/>
    <col min="5" max="5" width="10.58203125" bestFit="1" customWidth="1"/>
    <col min="6" max="6" width="8.4140625" bestFit="1" customWidth="1"/>
    <col min="7" max="7" width="7.75" bestFit="1" customWidth="1"/>
    <col min="8" max="8" width="8.08203125" bestFit="1" customWidth="1"/>
    <col min="9" max="9" width="10.25" bestFit="1" customWidth="1"/>
    <col min="10" max="12" width="4.1640625" bestFit="1" customWidth="1"/>
    <col min="13" max="13" width="4.25" bestFit="1" customWidth="1"/>
    <col min="14" max="14" width="10.25" bestFit="1" customWidth="1"/>
    <col min="15" max="94" width="3" bestFit="1" customWidth="1"/>
    <col min="95" max="165" width="4.08203125" bestFit="1" customWidth="1"/>
    <col min="166" max="166" width="10.1640625" bestFit="1" customWidth="1"/>
  </cols>
  <sheetData>
    <row r="1" spans="1:2" x14ac:dyDescent="0.35">
      <c r="A1" t="s">
        <v>2007</v>
      </c>
    </row>
    <row r="3" spans="1:2" x14ac:dyDescent="0.35">
      <c r="A3" s="54" t="s">
        <v>981</v>
      </c>
      <c r="B3" t="s">
        <v>2008</v>
      </c>
    </row>
    <row r="4" spans="1:2" x14ac:dyDescent="0.35">
      <c r="A4" t="s">
        <v>1040</v>
      </c>
      <c r="B4" s="94">
        <v>65</v>
      </c>
    </row>
    <row r="5" spans="1:2" x14ac:dyDescent="0.35">
      <c r="A5" t="s">
        <v>1013</v>
      </c>
      <c r="B5" s="94">
        <v>63</v>
      </c>
    </row>
    <row r="6" spans="1:2" x14ac:dyDescent="0.35">
      <c r="A6" t="s">
        <v>988</v>
      </c>
      <c r="B6" s="94">
        <v>50</v>
      </c>
    </row>
    <row r="7" spans="1:2" x14ac:dyDescent="0.35">
      <c r="A7" t="s">
        <v>991</v>
      </c>
      <c r="B7" s="94">
        <v>82</v>
      </c>
    </row>
    <row r="8" spans="1:2" x14ac:dyDescent="0.35">
      <c r="A8" t="s">
        <v>993</v>
      </c>
      <c r="B8" s="94">
        <v>79</v>
      </c>
    </row>
    <row r="9" spans="1:2" x14ac:dyDescent="0.35">
      <c r="A9" t="s">
        <v>1022</v>
      </c>
      <c r="B9" s="94">
        <v>62</v>
      </c>
    </row>
    <row r="10" spans="1:2" x14ac:dyDescent="0.35">
      <c r="A10" t="s">
        <v>1002</v>
      </c>
      <c r="B10" s="94">
        <v>67</v>
      </c>
    </row>
    <row r="11" spans="1:2" x14ac:dyDescent="0.35">
      <c r="A11" t="s">
        <v>1060</v>
      </c>
      <c r="B11" s="94">
        <v>59</v>
      </c>
    </row>
    <row r="12" spans="1:2" x14ac:dyDescent="0.35">
      <c r="A12" t="s">
        <v>1019</v>
      </c>
      <c r="B12" s="94">
        <v>69</v>
      </c>
    </row>
    <row r="13" spans="1:2" x14ac:dyDescent="0.35">
      <c r="A13" t="s">
        <v>1007</v>
      </c>
      <c r="B13" s="94">
        <v>72</v>
      </c>
    </row>
    <row r="14" spans="1:2" x14ac:dyDescent="0.35">
      <c r="A14" t="s">
        <v>998</v>
      </c>
      <c r="B14" s="94">
        <v>74</v>
      </c>
    </row>
    <row r="15" spans="1:2" x14ac:dyDescent="0.35">
      <c r="A15" t="s">
        <v>1030</v>
      </c>
      <c r="B15" s="94">
        <v>70</v>
      </c>
    </row>
    <row r="16" spans="1:2" x14ac:dyDescent="0.35">
      <c r="A16" t="s">
        <v>1011</v>
      </c>
      <c r="B16" s="94">
        <v>69</v>
      </c>
    </row>
    <row r="17" spans="1:3" x14ac:dyDescent="0.35">
      <c r="A17" t="s">
        <v>996</v>
      </c>
      <c r="B17" s="94">
        <v>60</v>
      </c>
    </row>
    <row r="18" spans="1:3" x14ac:dyDescent="0.35">
      <c r="A18" t="s">
        <v>1027</v>
      </c>
      <c r="B18" s="94">
        <v>59</v>
      </c>
    </row>
    <row r="19" spans="1:3" x14ac:dyDescent="0.35">
      <c r="A19" t="s">
        <v>2009</v>
      </c>
      <c r="B19" s="94">
        <v>1000</v>
      </c>
    </row>
    <row r="21" spans="1:3" x14ac:dyDescent="0.35">
      <c r="A21" t="s">
        <v>2010</v>
      </c>
    </row>
    <row r="23" spans="1:3" x14ac:dyDescent="0.35">
      <c r="A23" s="54" t="s">
        <v>981</v>
      </c>
      <c r="B23" t="s">
        <v>2008</v>
      </c>
      <c r="C23" t="s">
        <v>2011</v>
      </c>
    </row>
    <row r="24" spans="1:3" x14ac:dyDescent="0.35">
      <c r="A24" t="s">
        <v>1040</v>
      </c>
      <c r="B24" s="22">
        <v>65</v>
      </c>
      <c r="C24" s="20">
        <v>3.8307692307692309</v>
      </c>
    </row>
    <row r="25" spans="1:3" x14ac:dyDescent="0.35">
      <c r="A25" t="s">
        <v>1013</v>
      </c>
      <c r="B25" s="22">
        <v>63</v>
      </c>
      <c r="C25" s="20">
        <v>4.0730158730158736</v>
      </c>
    </row>
    <row r="26" spans="1:3" x14ac:dyDescent="0.35">
      <c r="A26" t="s">
        <v>988</v>
      </c>
      <c r="B26" s="22">
        <v>50</v>
      </c>
      <c r="C26" s="20">
        <v>4.0179999999999998</v>
      </c>
    </row>
    <row r="27" spans="1:3" x14ac:dyDescent="0.35">
      <c r="A27" t="s">
        <v>991</v>
      </c>
      <c r="B27" s="22">
        <v>82</v>
      </c>
      <c r="C27" s="20">
        <v>3.976829268292684</v>
      </c>
    </row>
    <row r="28" spans="1:3" x14ac:dyDescent="0.35">
      <c r="A28" t="s">
        <v>993</v>
      </c>
      <c r="B28" s="22">
        <v>79</v>
      </c>
      <c r="C28" s="20">
        <v>3.9797468354430396</v>
      </c>
    </row>
    <row r="29" spans="1:3" x14ac:dyDescent="0.35">
      <c r="A29" t="s">
        <v>1022</v>
      </c>
      <c r="B29" s="22">
        <v>62</v>
      </c>
      <c r="C29" s="20">
        <v>3.7774193548387092</v>
      </c>
    </row>
    <row r="30" spans="1:3" x14ac:dyDescent="0.35">
      <c r="A30" t="s">
        <v>1002</v>
      </c>
      <c r="B30" s="22">
        <v>67</v>
      </c>
      <c r="C30" s="20">
        <v>3.8522388059701487</v>
      </c>
    </row>
    <row r="31" spans="1:3" x14ac:dyDescent="0.35">
      <c r="A31" t="s">
        <v>1060</v>
      </c>
      <c r="B31" s="22">
        <v>59</v>
      </c>
      <c r="C31" s="20">
        <v>3.901694915254236</v>
      </c>
    </row>
    <row r="32" spans="1:3" x14ac:dyDescent="0.35">
      <c r="A32" t="s">
        <v>1019</v>
      </c>
      <c r="B32" s="22">
        <v>69</v>
      </c>
      <c r="C32" s="20">
        <v>3.62608695652174</v>
      </c>
    </row>
    <row r="33" spans="1:3" x14ac:dyDescent="0.35">
      <c r="A33" t="s">
        <v>1007</v>
      </c>
      <c r="B33" s="22">
        <v>72</v>
      </c>
      <c r="C33" s="20">
        <v>3.863888888888888</v>
      </c>
    </row>
    <row r="34" spans="1:3" x14ac:dyDescent="0.35">
      <c r="A34" t="s">
        <v>998</v>
      </c>
      <c r="B34" s="22">
        <v>74</v>
      </c>
      <c r="C34" s="20">
        <v>3.9837837837837853</v>
      </c>
    </row>
    <row r="35" spans="1:3" x14ac:dyDescent="0.35">
      <c r="A35" t="s">
        <v>1030</v>
      </c>
      <c r="B35" s="22">
        <v>70</v>
      </c>
      <c r="C35" s="20">
        <v>4.1300000000000008</v>
      </c>
    </row>
    <row r="36" spans="1:3" x14ac:dyDescent="0.35">
      <c r="A36" t="s">
        <v>1011</v>
      </c>
      <c r="B36" s="22">
        <v>69</v>
      </c>
      <c r="C36" s="20">
        <v>3.7753623188405814</v>
      </c>
    </row>
    <row r="37" spans="1:3" x14ac:dyDescent="0.35">
      <c r="A37" t="s">
        <v>996</v>
      </c>
      <c r="B37" s="22">
        <v>60</v>
      </c>
      <c r="C37" s="20">
        <v>3.609999999999999</v>
      </c>
    </row>
    <row r="38" spans="1:3" x14ac:dyDescent="0.35">
      <c r="A38" t="s">
        <v>1027</v>
      </c>
      <c r="B38" s="22">
        <v>59</v>
      </c>
      <c r="C38" s="20">
        <v>3.8389830508474563</v>
      </c>
    </row>
    <row r="39" spans="1:3" x14ac:dyDescent="0.35">
      <c r="A39" t="s">
        <v>2009</v>
      </c>
      <c r="B39" s="22">
        <v>1000</v>
      </c>
      <c r="C39" s="94">
        <v>3.8854000000000029</v>
      </c>
    </row>
    <row r="41" spans="1:3" x14ac:dyDescent="0.35">
      <c r="A41" t="s">
        <v>2012</v>
      </c>
    </row>
    <row r="43" spans="1:3" x14ac:dyDescent="0.35">
      <c r="A43" s="54" t="s">
        <v>981</v>
      </c>
      <c r="B43" t="s">
        <v>2013</v>
      </c>
    </row>
    <row r="44" spans="1:3" x14ac:dyDescent="0.35">
      <c r="A44" t="s">
        <v>993</v>
      </c>
      <c r="B44" s="21">
        <v>7747</v>
      </c>
    </row>
    <row r="45" spans="1:3" x14ac:dyDescent="0.35">
      <c r="A45" t="s">
        <v>991</v>
      </c>
      <c r="B45" s="21">
        <v>7689</v>
      </c>
    </row>
    <row r="46" spans="1:3" x14ac:dyDescent="0.35">
      <c r="A46" t="s">
        <v>1011</v>
      </c>
      <c r="B46" s="21">
        <v>7230</v>
      </c>
    </row>
    <row r="47" spans="1:3" x14ac:dyDescent="0.35">
      <c r="A47" t="s">
        <v>1002</v>
      </c>
      <c r="B47" s="21">
        <v>7216</v>
      </c>
    </row>
    <row r="48" spans="1:3" x14ac:dyDescent="0.35">
      <c r="A48" t="s">
        <v>1030</v>
      </c>
      <c r="B48" s="21">
        <v>6819</v>
      </c>
    </row>
    <row r="49" spans="1:7" x14ac:dyDescent="0.35">
      <c r="A49" t="s">
        <v>1040</v>
      </c>
      <c r="B49" s="21">
        <v>6785</v>
      </c>
    </row>
    <row r="50" spans="1:7" x14ac:dyDescent="0.35">
      <c r="A50" t="s">
        <v>998</v>
      </c>
      <c r="B50" s="21">
        <v>6749</v>
      </c>
    </row>
    <row r="51" spans="1:7" x14ac:dyDescent="0.35">
      <c r="A51" t="s">
        <v>1019</v>
      </c>
      <c r="B51" s="21">
        <v>6601</v>
      </c>
    </row>
    <row r="52" spans="1:7" x14ac:dyDescent="0.35">
      <c r="A52" t="s">
        <v>1027</v>
      </c>
      <c r="B52" s="21">
        <v>6518</v>
      </c>
    </row>
    <row r="53" spans="1:7" x14ac:dyDescent="0.35">
      <c r="A53" t="s">
        <v>1007</v>
      </c>
      <c r="B53" s="21">
        <v>6242</v>
      </c>
    </row>
    <row r="54" spans="1:7" x14ac:dyDescent="0.35">
      <c r="A54" t="s">
        <v>1022</v>
      </c>
      <c r="B54" s="21">
        <v>6176</v>
      </c>
    </row>
    <row r="55" spans="1:7" x14ac:dyDescent="0.35">
      <c r="A55" t="s">
        <v>1013</v>
      </c>
      <c r="B55" s="21">
        <v>5634</v>
      </c>
    </row>
    <row r="56" spans="1:7" x14ac:dyDescent="0.35">
      <c r="A56" t="s">
        <v>996</v>
      </c>
      <c r="B56" s="21">
        <v>5404</v>
      </c>
    </row>
    <row r="57" spans="1:7" x14ac:dyDescent="0.35">
      <c r="A57" t="s">
        <v>1060</v>
      </c>
      <c r="B57" s="21">
        <v>5009</v>
      </c>
    </row>
    <row r="58" spans="1:7" x14ac:dyDescent="0.35">
      <c r="A58" t="s">
        <v>988</v>
      </c>
      <c r="B58" s="21">
        <v>4804</v>
      </c>
    </row>
    <row r="59" spans="1:7" x14ac:dyDescent="0.35">
      <c r="A59" t="s">
        <v>2009</v>
      </c>
      <c r="B59" s="21">
        <v>96623</v>
      </c>
    </row>
    <row r="61" spans="1:7" x14ac:dyDescent="0.35">
      <c r="A61" t="s">
        <v>2014</v>
      </c>
    </row>
    <row r="63" spans="1:7" x14ac:dyDescent="0.35">
      <c r="A63" s="54" t="s">
        <v>2015</v>
      </c>
      <c r="B63" s="54" t="s">
        <v>983</v>
      </c>
    </row>
    <row r="64" spans="1:7" x14ac:dyDescent="0.35">
      <c r="A64" s="54" t="s">
        <v>981</v>
      </c>
      <c r="B64" t="s">
        <v>999</v>
      </c>
      <c r="C64" t="s">
        <v>994</v>
      </c>
      <c r="D64" t="s">
        <v>1008</v>
      </c>
      <c r="E64" t="s">
        <v>1004</v>
      </c>
      <c r="F64" t="s">
        <v>989</v>
      </c>
      <c r="G64" t="s">
        <v>2009</v>
      </c>
    </row>
    <row r="65" spans="1:9" x14ac:dyDescent="0.35">
      <c r="A65" t="s">
        <v>1040</v>
      </c>
      <c r="B65" s="94">
        <v>1609</v>
      </c>
      <c r="C65" s="94">
        <v>709</v>
      </c>
      <c r="D65" s="94">
        <v>1494</v>
      </c>
      <c r="E65" s="94">
        <v>1084</v>
      </c>
      <c r="F65" s="94">
        <v>1143</v>
      </c>
      <c r="G65" s="94">
        <v>6039</v>
      </c>
    </row>
    <row r="66" spans="1:9" x14ac:dyDescent="0.35">
      <c r="A66" t="s">
        <v>991</v>
      </c>
      <c r="B66" s="94">
        <v>1663</v>
      </c>
      <c r="C66" s="94">
        <v>2012</v>
      </c>
      <c r="D66" s="94">
        <v>1126</v>
      </c>
      <c r="E66" s="94">
        <v>1171</v>
      </c>
      <c r="F66" s="94">
        <v>1407</v>
      </c>
      <c r="G66" s="94">
        <v>7379</v>
      </c>
    </row>
    <row r="67" spans="1:9" x14ac:dyDescent="0.35">
      <c r="A67" t="s">
        <v>993</v>
      </c>
      <c r="B67" s="94">
        <v>942</v>
      </c>
      <c r="C67" s="94">
        <v>2000</v>
      </c>
      <c r="D67" s="94">
        <v>1174</v>
      </c>
      <c r="E67" s="94">
        <v>1629</v>
      </c>
      <c r="F67" s="94">
        <v>818</v>
      </c>
      <c r="G67" s="94">
        <v>6563</v>
      </c>
      <c r="I67" t="s">
        <v>2027</v>
      </c>
    </row>
    <row r="68" spans="1:9" x14ac:dyDescent="0.35">
      <c r="A68" t="s">
        <v>1002</v>
      </c>
      <c r="B68" s="94">
        <v>1182</v>
      </c>
      <c r="C68" s="94">
        <v>1284</v>
      </c>
      <c r="D68" s="94">
        <v>932</v>
      </c>
      <c r="E68" s="94">
        <v>1359</v>
      </c>
      <c r="F68" s="94">
        <v>1140</v>
      </c>
      <c r="G68" s="94">
        <v>5897</v>
      </c>
    </row>
    <row r="69" spans="1:9" x14ac:dyDescent="0.35">
      <c r="A69" t="s">
        <v>1019</v>
      </c>
      <c r="B69" s="94">
        <v>1351</v>
      </c>
      <c r="C69" s="94">
        <v>1058</v>
      </c>
      <c r="D69" s="94">
        <v>968</v>
      </c>
      <c r="E69" s="94">
        <v>1137</v>
      </c>
      <c r="F69" s="94">
        <v>1404</v>
      </c>
      <c r="G69" s="94">
        <v>5918</v>
      </c>
    </row>
    <row r="70" spans="1:9" x14ac:dyDescent="0.35">
      <c r="A70" t="s">
        <v>1007</v>
      </c>
      <c r="B70" s="94">
        <v>965</v>
      </c>
      <c r="C70" s="94">
        <v>2032</v>
      </c>
      <c r="D70" s="94">
        <v>1468</v>
      </c>
      <c r="E70" s="94">
        <v>1529</v>
      </c>
      <c r="F70" s="94">
        <v>977</v>
      </c>
      <c r="G70" s="94">
        <v>6971</v>
      </c>
    </row>
    <row r="71" spans="1:9" x14ac:dyDescent="0.35">
      <c r="A71" t="s">
        <v>998</v>
      </c>
      <c r="B71" s="94">
        <v>1143</v>
      </c>
      <c r="C71" s="94">
        <v>935</v>
      </c>
      <c r="D71" s="94">
        <v>1791</v>
      </c>
      <c r="E71" s="94">
        <v>1104</v>
      </c>
      <c r="F71" s="94">
        <v>1146</v>
      </c>
      <c r="G71" s="94">
        <v>6119</v>
      </c>
    </row>
    <row r="72" spans="1:9" x14ac:dyDescent="0.35">
      <c r="A72" t="s">
        <v>1030</v>
      </c>
      <c r="B72" s="94">
        <v>1399</v>
      </c>
      <c r="C72" s="94">
        <v>1374</v>
      </c>
      <c r="D72" s="94">
        <v>738</v>
      </c>
      <c r="E72" s="94">
        <v>1079</v>
      </c>
      <c r="F72" s="94">
        <v>1764</v>
      </c>
      <c r="G72" s="94">
        <v>6354</v>
      </c>
    </row>
    <row r="73" spans="1:9" x14ac:dyDescent="0.35">
      <c r="A73" t="s">
        <v>1011</v>
      </c>
      <c r="B73" s="94">
        <v>939</v>
      </c>
      <c r="C73" s="94">
        <v>566</v>
      </c>
      <c r="D73" s="94">
        <v>1138</v>
      </c>
      <c r="E73" s="94">
        <v>1598</v>
      </c>
      <c r="F73" s="94">
        <v>1817</v>
      </c>
      <c r="G73" s="94">
        <v>6058</v>
      </c>
    </row>
    <row r="74" spans="1:9" x14ac:dyDescent="0.35">
      <c r="A74" t="s">
        <v>996</v>
      </c>
      <c r="B74" s="94">
        <v>1595</v>
      </c>
      <c r="C74" s="94">
        <v>1391</v>
      </c>
      <c r="D74" s="94">
        <v>1311</v>
      </c>
      <c r="E74" s="94">
        <v>1068</v>
      </c>
      <c r="F74" s="94">
        <v>633</v>
      </c>
      <c r="G74" s="94">
        <v>5998</v>
      </c>
    </row>
    <row r="75" spans="1:9" x14ac:dyDescent="0.35">
      <c r="A75" t="s">
        <v>2009</v>
      </c>
      <c r="B75" s="94">
        <v>12788</v>
      </c>
      <c r="C75" s="94">
        <v>13361</v>
      </c>
      <c r="D75" s="94">
        <v>12140</v>
      </c>
      <c r="E75" s="94">
        <v>12758</v>
      </c>
      <c r="F75" s="94">
        <v>12249</v>
      </c>
      <c r="G75" s="94">
        <v>63296</v>
      </c>
    </row>
    <row r="77" spans="1:9" x14ac:dyDescent="0.35">
      <c r="A77" t="s">
        <v>2016</v>
      </c>
    </row>
    <row r="79" spans="1:9" x14ac:dyDescent="0.35">
      <c r="A79" s="54" t="s">
        <v>983</v>
      </c>
      <c r="B79" t="s">
        <v>2017</v>
      </c>
    </row>
    <row r="81" spans="1:2" x14ac:dyDescent="0.35">
      <c r="A81" s="54" t="s">
        <v>981</v>
      </c>
      <c r="B81" t="s">
        <v>2013</v>
      </c>
    </row>
    <row r="82" spans="1:2" x14ac:dyDescent="0.35">
      <c r="A82" t="s">
        <v>993</v>
      </c>
      <c r="B82" s="21">
        <v>7747</v>
      </c>
    </row>
    <row r="83" spans="1:2" x14ac:dyDescent="0.35">
      <c r="A83" t="s">
        <v>991</v>
      </c>
      <c r="B83" s="21">
        <v>7689</v>
      </c>
    </row>
    <row r="84" spans="1:2" x14ac:dyDescent="0.35">
      <c r="A84" t="s">
        <v>1011</v>
      </c>
      <c r="B84" s="21">
        <v>7230</v>
      </c>
    </row>
    <row r="85" spans="1:2" x14ac:dyDescent="0.35">
      <c r="A85" t="s">
        <v>1002</v>
      </c>
      <c r="B85" s="21">
        <v>7216</v>
      </c>
    </row>
    <row r="86" spans="1:2" x14ac:dyDescent="0.35">
      <c r="A86" t="s">
        <v>1030</v>
      </c>
      <c r="B86" s="21">
        <v>6819</v>
      </c>
    </row>
    <row r="87" spans="1:2" x14ac:dyDescent="0.35">
      <c r="A87" t="s">
        <v>1040</v>
      </c>
      <c r="B87" s="21">
        <v>6785</v>
      </c>
    </row>
    <row r="88" spans="1:2" x14ac:dyDescent="0.35">
      <c r="A88" t="s">
        <v>998</v>
      </c>
      <c r="B88" s="21">
        <v>6749</v>
      </c>
    </row>
    <row r="89" spans="1:2" x14ac:dyDescent="0.35">
      <c r="A89" t="s">
        <v>1019</v>
      </c>
      <c r="B89" s="21">
        <v>6601</v>
      </c>
    </row>
    <row r="90" spans="1:2" x14ac:dyDescent="0.35">
      <c r="A90" t="s">
        <v>1027</v>
      </c>
      <c r="B90" s="21">
        <v>6518</v>
      </c>
    </row>
    <row r="91" spans="1:2" x14ac:dyDescent="0.35">
      <c r="A91" t="s">
        <v>1007</v>
      </c>
      <c r="B91" s="21">
        <v>6242</v>
      </c>
    </row>
    <row r="92" spans="1:2" x14ac:dyDescent="0.35">
      <c r="A92" t="s">
        <v>1022</v>
      </c>
      <c r="B92" s="21">
        <v>6176</v>
      </c>
    </row>
    <row r="93" spans="1:2" x14ac:dyDescent="0.35">
      <c r="A93" t="s">
        <v>1013</v>
      </c>
      <c r="B93" s="21">
        <v>5634</v>
      </c>
    </row>
    <row r="94" spans="1:2" x14ac:dyDescent="0.35">
      <c r="A94" t="s">
        <v>996</v>
      </c>
      <c r="B94" s="21">
        <v>5404</v>
      </c>
    </row>
    <row r="95" spans="1:2" x14ac:dyDescent="0.35">
      <c r="A95" t="s">
        <v>1060</v>
      </c>
      <c r="B95" s="21">
        <v>5009</v>
      </c>
    </row>
    <row r="96" spans="1:2" x14ac:dyDescent="0.35">
      <c r="A96" t="s">
        <v>988</v>
      </c>
      <c r="B96" s="21">
        <v>4804</v>
      </c>
    </row>
    <row r="97" spans="1:2" x14ac:dyDescent="0.35">
      <c r="A97" t="s">
        <v>2009</v>
      </c>
      <c r="B97" s="21">
        <v>96623</v>
      </c>
    </row>
    <row r="99" spans="1:2" x14ac:dyDescent="0.35">
      <c r="A99" t="s">
        <v>2018</v>
      </c>
    </row>
    <row r="101" spans="1:2" x14ac:dyDescent="0.35">
      <c r="A101" s="54" t="s">
        <v>981</v>
      </c>
      <c r="B101" t="s">
        <v>2013</v>
      </c>
    </row>
    <row r="102" spans="1:2" x14ac:dyDescent="0.35">
      <c r="A102" t="s">
        <v>1030</v>
      </c>
      <c r="B102" s="21">
        <v>2070</v>
      </c>
    </row>
    <row r="103" spans="1:2" x14ac:dyDescent="0.35">
      <c r="A103" t="s">
        <v>998</v>
      </c>
      <c r="B103" s="21">
        <v>1747</v>
      </c>
    </row>
    <row r="104" spans="1:2" x14ac:dyDescent="0.35">
      <c r="A104" t="s">
        <v>991</v>
      </c>
      <c r="B104" s="21">
        <v>1722</v>
      </c>
    </row>
    <row r="105" spans="1:2" x14ac:dyDescent="0.35">
      <c r="A105" t="s">
        <v>1011</v>
      </c>
      <c r="B105" s="21">
        <v>1722</v>
      </c>
    </row>
    <row r="106" spans="1:2" x14ac:dyDescent="0.35">
      <c r="A106" t="s">
        <v>1019</v>
      </c>
      <c r="B106" s="21">
        <v>1566</v>
      </c>
    </row>
    <row r="107" spans="1:2" x14ac:dyDescent="0.35">
      <c r="A107" t="s">
        <v>1013</v>
      </c>
      <c r="B107" s="21">
        <v>1508</v>
      </c>
    </row>
    <row r="108" spans="1:2" x14ac:dyDescent="0.35">
      <c r="A108" t="s">
        <v>1022</v>
      </c>
      <c r="B108" s="21">
        <v>1484</v>
      </c>
    </row>
    <row r="109" spans="1:2" x14ac:dyDescent="0.35">
      <c r="A109" t="s">
        <v>1002</v>
      </c>
      <c r="B109" s="21">
        <v>1416</v>
      </c>
    </row>
    <row r="110" spans="1:2" x14ac:dyDescent="0.35">
      <c r="A110" t="s">
        <v>993</v>
      </c>
      <c r="B110" s="21">
        <v>1196</v>
      </c>
    </row>
    <row r="111" spans="1:2" x14ac:dyDescent="0.35">
      <c r="A111" t="s">
        <v>1060</v>
      </c>
      <c r="B111" s="21">
        <v>1193</v>
      </c>
    </row>
    <row r="112" spans="1:2" x14ac:dyDescent="0.35">
      <c r="A112" t="s">
        <v>1027</v>
      </c>
      <c r="B112" s="21">
        <v>1154</v>
      </c>
    </row>
    <row r="113" spans="1:2" x14ac:dyDescent="0.35">
      <c r="A113" t="s">
        <v>1040</v>
      </c>
      <c r="B113" s="21">
        <v>1075</v>
      </c>
    </row>
    <row r="114" spans="1:2" x14ac:dyDescent="0.35">
      <c r="A114" t="s">
        <v>1007</v>
      </c>
      <c r="B114" s="21">
        <v>941</v>
      </c>
    </row>
    <row r="115" spans="1:2" x14ac:dyDescent="0.35">
      <c r="A115" t="s">
        <v>996</v>
      </c>
      <c r="B115" s="21">
        <v>750</v>
      </c>
    </row>
    <row r="116" spans="1:2" x14ac:dyDescent="0.35">
      <c r="A116" t="s">
        <v>988</v>
      </c>
      <c r="B116" s="21">
        <v>560</v>
      </c>
    </row>
    <row r="117" spans="1:2" x14ac:dyDescent="0.35">
      <c r="A117" t="s">
        <v>2009</v>
      </c>
      <c r="B117" s="21">
        <v>20104</v>
      </c>
    </row>
    <row r="119" spans="1:2" x14ac:dyDescent="0.35">
      <c r="A119" t="s">
        <v>2019</v>
      </c>
    </row>
    <row r="121" spans="1:2" x14ac:dyDescent="0.35">
      <c r="A121" s="54" t="s">
        <v>2028</v>
      </c>
      <c r="B121" t="s">
        <v>2015</v>
      </c>
    </row>
    <row r="122" spans="1:2" x14ac:dyDescent="0.35">
      <c r="A122" t="s">
        <v>2029</v>
      </c>
      <c r="B122" s="94">
        <v>353</v>
      </c>
    </row>
    <row r="123" spans="1:2" x14ac:dyDescent="0.35">
      <c r="A123" t="s">
        <v>2030</v>
      </c>
      <c r="B123" s="94">
        <v>2433</v>
      </c>
    </row>
    <row r="124" spans="1:2" x14ac:dyDescent="0.35">
      <c r="A124" t="s">
        <v>2031</v>
      </c>
      <c r="B124" s="94">
        <v>6997</v>
      </c>
    </row>
    <row r="125" spans="1:2" x14ac:dyDescent="0.35">
      <c r="A125" t="s">
        <v>2032</v>
      </c>
      <c r="B125" s="94">
        <v>13223</v>
      </c>
    </row>
    <row r="126" spans="1:2" x14ac:dyDescent="0.35">
      <c r="A126" t="s">
        <v>2033</v>
      </c>
      <c r="B126" s="94">
        <v>15041</v>
      </c>
    </row>
    <row r="127" spans="1:2" x14ac:dyDescent="0.35">
      <c r="A127" t="s">
        <v>2034</v>
      </c>
      <c r="B127" s="94">
        <v>18601</v>
      </c>
    </row>
    <row r="128" spans="1:2" x14ac:dyDescent="0.35">
      <c r="A128" t="s">
        <v>2035</v>
      </c>
      <c r="B128" s="94">
        <v>17349</v>
      </c>
    </row>
    <row r="129" spans="1:2" x14ac:dyDescent="0.35">
      <c r="A129" t="s">
        <v>2036</v>
      </c>
      <c r="B129" s="94">
        <v>13182</v>
      </c>
    </row>
    <row r="130" spans="1:2" x14ac:dyDescent="0.35">
      <c r="A130" t="s">
        <v>2037</v>
      </c>
      <c r="B130" s="94">
        <v>2671</v>
      </c>
    </row>
    <row r="131" spans="1:2" x14ac:dyDescent="0.35">
      <c r="A131" t="s">
        <v>2009</v>
      </c>
      <c r="B131" s="94">
        <v>89850</v>
      </c>
    </row>
    <row r="133" spans="1:2" x14ac:dyDescent="0.35">
      <c r="A133" t="s">
        <v>2052</v>
      </c>
    </row>
    <row r="134" spans="1:2" x14ac:dyDescent="0.35">
      <c r="A134" t="s">
        <v>2020</v>
      </c>
    </row>
    <row r="136" spans="1:2" x14ac:dyDescent="0.35">
      <c r="A136" s="54" t="s">
        <v>2051</v>
      </c>
      <c r="B136" t="s">
        <v>2050</v>
      </c>
    </row>
    <row r="137" spans="1:2" x14ac:dyDescent="0.35">
      <c r="A137" s="73" t="s">
        <v>2038</v>
      </c>
      <c r="B137" s="94">
        <v>79</v>
      </c>
    </row>
    <row r="138" spans="1:2" x14ac:dyDescent="0.35">
      <c r="A138" s="73" t="s">
        <v>2039</v>
      </c>
      <c r="B138" s="94">
        <v>66</v>
      </c>
    </row>
    <row r="139" spans="1:2" x14ac:dyDescent="0.35">
      <c r="A139" s="73" t="s">
        <v>2040</v>
      </c>
      <c r="B139" s="94">
        <v>155</v>
      </c>
    </row>
    <row r="140" spans="1:2" x14ac:dyDescent="0.35">
      <c r="A140" s="73" t="s">
        <v>2041</v>
      </c>
      <c r="B140" s="94">
        <v>136</v>
      </c>
    </row>
    <row r="141" spans="1:2" x14ac:dyDescent="0.35">
      <c r="A141" s="73" t="s">
        <v>2042</v>
      </c>
      <c r="B141" s="94">
        <v>83</v>
      </c>
    </row>
    <row r="142" spans="1:2" x14ac:dyDescent="0.35">
      <c r="A142" s="73" t="s">
        <v>2043</v>
      </c>
      <c r="B142" s="94">
        <v>67</v>
      </c>
    </row>
    <row r="143" spans="1:2" x14ac:dyDescent="0.35">
      <c r="A143" s="73" t="s">
        <v>2044</v>
      </c>
      <c r="B143" s="94">
        <v>64</v>
      </c>
    </row>
    <row r="144" spans="1:2" x14ac:dyDescent="0.35">
      <c r="A144" s="73" t="s">
        <v>2045</v>
      </c>
      <c r="B144" s="94">
        <v>50</v>
      </c>
    </row>
    <row r="145" spans="1:2" x14ac:dyDescent="0.35">
      <c r="A145" s="73" t="s">
        <v>2046</v>
      </c>
      <c r="B145" s="94">
        <v>76</v>
      </c>
    </row>
    <row r="146" spans="1:2" x14ac:dyDescent="0.35">
      <c r="A146" s="73" t="s">
        <v>2047</v>
      </c>
      <c r="B146" s="94">
        <v>114</v>
      </c>
    </row>
    <row r="147" spans="1:2" x14ac:dyDescent="0.35">
      <c r="A147" s="73" t="s">
        <v>2048</v>
      </c>
      <c r="B147" s="94">
        <v>57</v>
      </c>
    </row>
    <row r="148" spans="1:2" x14ac:dyDescent="0.35">
      <c r="A148" s="73" t="s">
        <v>2049</v>
      </c>
      <c r="B148" s="94">
        <v>53</v>
      </c>
    </row>
    <row r="149" spans="1:2" x14ac:dyDescent="0.35">
      <c r="A149" s="73" t="s">
        <v>2009</v>
      </c>
      <c r="B149" s="94">
        <v>1000</v>
      </c>
    </row>
    <row r="151" spans="1:2" x14ac:dyDescent="0.35">
      <c r="A151" s="73" t="s">
        <v>2057</v>
      </c>
    </row>
    <row r="153" spans="1:2" x14ac:dyDescent="0.35">
      <c r="A153" s="54" t="s">
        <v>2051</v>
      </c>
      <c r="B153" t="s">
        <v>2013</v>
      </c>
    </row>
    <row r="154" spans="1:2" x14ac:dyDescent="0.35">
      <c r="A154" s="73" t="s">
        <v>2038</v>
      </c>
      <c r="B154" s="94">
        <v>7790</v>
      </c>
    </row>
    <row r="155" spans="1:2" x14ac:dyDescent="0.35">
      <c r="A155" s="73" t="s">
        <v>2039</v>
      </c>
      <c r="B155" s="94">
        <v>13912</v>
      </c>
    </row>
    <row r="156" spans="1:2" x14ac:dyDescent="0.35">
      <c r="A156" s="73" t="s">
        <v>2040</v>
      </c>
      <c r="B156" s="94">
        <v>28475</v>
      </c>
    </row>
    <row r="157" spans="1:2" x14ac:dyDescent="0.35">
      <c r="A157" s="73" t="s">
        <v>2041</v>
      </c>
      <c r="B157" s="94">
        <v>42011</v>
      </c>
    </row>
    <row r="158" spans="1:2" x14ac:dyDescent="0.35">
      <c r="A158" s="73" t="s">
        <v>2042</v>
      </c>
      <c r="B158" s="94">
        <v>50182</v>
      </c>
    </row>
    <row r="159" spans="1:2" x14ac:dyDescent="0.35">
      <c r="A159" s="73" t="s">
        <v>2043</v>
      </c>
      <c r="B159" s="94">
        <v>56075</v>
      </c>
    </row>
    <row r="160" spans="1:2" x14ac:dyDescent="0.35">
      <c r="A160" s="73" t="s">
        <v>2044</v>
      </c>
      <c r="B160" s="94">
        <v>62082</v>
      </c>
    </row>
    <row r="161" spans="1:2" x14ac:dyDescent="0.35">
      <c r="A161" s="73" t="s">
        <v>2045</v>
      </c>
      <c r="B161" s="94">
        <v>67032</v>
      </c>
    </row>
    <row r="162" spans="1:2" x14ac:dyDescent="0.35">
      <c r="A162" s="73" t="s">
        <v>2046</v>
      </c>
      <c r="B162" s="94">
        <v>73721</v>
      </c>
    </row>
    <row r="163" spans="1:2" x14ac:dyDescent="0.35">
      <c r="A163" s="73" t="s">
        <v>2047</v>
      </c>
      <c r="B163" s="94">
        <v>84596</v>
      </c>
    </row>
    <row r="164" spans="1:2" x14ac:dyDescent="0.35">
      <c r="A164" s="73" t="s">
        <v>2048</v>
      </c>
      <c r="B164" s="94">
        <v>91371</v>
      </c>
    </row>
    <row r="165" spans="1:2" x14ac:dyDescent="0.35">
      <c r="A165" s="73" t="s">
        <v>2049</v>
      </c>
      <c r="B165" s="94">
        <v>96623</v>
      </c>
    </row>
    <row r="166" spans="1:2" x14ac:dyDescent="0.35">
      <c r="A166" s="73" t="s">
        <v>2009</v>
      </c>
      <c r="B166" s="94"/>
    </row>
    <row r="168" spans="1:2" x14ac:dyDescent="0.35">
      <c r="A168" s="73" t="s">
        <v>2058</v>
      </c>
    </row>
    <row r="170" spans="1:2" x14ac:dyDescent="0.35">
      <c r="A170" s="54" t="s">
        <v>2051</v>
      </c>
      <c r="B170" t="s">
        <v>2013</v>
      </c>
    </row>
    <row r="171" spans="1:2" x14ac:dyDescent="0.35">
      <c r="A171" s="73" t="s">
        <v>2038</v>
      </c>
      <c r="B171" s="94">
        <v>7790</v>
      </c>
    </row>
    <row r="172" spans="1:2" x14ac:dyDescent="0.35">
      <c r="A172" s="73" t="s">
        <v>2039</v>
      </c>
      <c r="B172" s="94">
        <v>6122</v>
      </c>
    </row>
    <row r="173" spans="1:2" x14ac:dyDescent="0.35">
      <c r="A173" s="73" t="s">
        <v>2040</v>
      </c>
      <c r="B173" s="94">
        <v>14563</v>
      </c>
    </row>
    <row r="174" spans="1:2" x14ac:dyDescent="0.35">
      <c r="A174" s="73" t="s">
        <v>2041</v>
      </c>
      <c r="B174" s="94">
        <v>13536</v>
      </c>
    </row>
    <row r="175" spans="1:2" x14ac:dyDescent="0.35">
      <c r="A175" s="73" t="s">
        <v>2042</v>
      </c>
      <c r="B175" s="94">
        <v>8171</v>
      </c>
    </row>
    <row r="176" spans="1:2" x14ac:dyDescent="0.35">
      <c r="A176" s="73" t="s">
        <v>2043</v>
      </c>
      <c r="B176" s="94">
        <v>5893</v>
      </c>
    </row>
    <row r="177" spans="1:2" x14ac:dyDescent="0.35">
      <c r="A177" s="73" t="s">
        <v>2044</v>
      </c>
      <c r="B177" s="94">
        <v>6007</v>
      </c>
    </row>
    <row r="178" spans="1:2" x14ac:dyDescent="0.35">
      <c r="A178" s="73" t="s">
        <v>2045</v>
      </c>
      <c r="B178" s="94">
        <v>4950</v>
      </c>
    </row>
    <row r="179" spans="1:2" x14ac:dyDescent="0.35">
      <c r="A179" s="73" t="s">
        <v>2046</v>
      </c>
      <c r="B179" s="94">
        <v>6689</v>
      </c>
    </row>
    <row r="180" spans="1:2" x14ac:dyDescent="0.35">
      <c r="A180" s="73" t="s">
        <v>2047</v>
      </c>
      <c r="B180" s="94">
        <v>10875</v>
      </c>
    </row>
    <row r="181" spans="1:2" x14ac:dyDescent="0.35">
      <c r="A181" s="73" t="s">
        <v>2048</v>
      </c>
      <c r="B181" s="94">
        <v>6775</v>
      </c>
    </row>
    <row r="182" spans="1:2" x14ac:dyDescent="0.35">
      <c r="A182" s="73" t="s">
        <v>2049</v>
      </c>
      <c r="B182" s="94">
        <v>5252</v>
      </c>
    </row>
    <row r="183" spans="1:2" x14ac:dyDescent="0.35">
      <c r="A183" s="73" t="s">
        <v>2009</v>
      </c>
      <c r="B183" s="94">
        <v>96623</v>
      </c>
    </row>
    <row r="185" spans="1:2" x14ac:dyDescent="0.35">
      <c r="A185" s="73" t="s">
        <v>2056</v>
      </c>
    </row>
    <row r="187" spans="1:2" x14ac:dyDescent="0.35">
      <c r="A187" s="54" t="s">
        <v>2051</v>
      </c>
      <c r="B187" t="s">
        <v>2013</v>
      </c>
    </row>
    <row r="188" spans="1:2" x14ac:dyDescent="0.35">
      <c r="A188" s="73">
        <v>2023</v>
      </c>
      <c r="B188" s="94"/>
    </row>
    <row r="189" spans="1:2" x14ac:dyDescent="0.35">
      <c r="A189" s="81" t="s">
        <v>2038</v>
      </c>
      <c r="B189" s="94">
        <v>7790</v>
      </c>
    </row>
    <row r="190" spans="1:2" x14ac:dyDescent="0.35">
      <c r="A190" s="81" t="s">
        <v>2039</v>
      </c>
      <c r="B190" s="94">
        <v>13912</v>
      </c>
    </row>
    <row r="191" spans="1:2" x14ac:dyDescent="0.35">
      <c r="A191" s="81" t="s">
        <v>2040</v>
      </c>
      <c r="B191" s="94">
        <v>28475</v>
      </c>
    </row>
    <row r="192" spans="1:2" x14ac:dyDescent="0.35">
      <c r="A192" s="81" t="s">
        <v>2041</v>
      </c>
      <c r="B192" s="94">
        <v>42011</v>
      </c>
    </row>
    <row r="193" spans="1:2" x14ac:dyDescent="0.35">
      <c r="A193" s="81" t="s">
        <v>2042</v>
      </c>
      <c r="B193" s="94">
        <v>50182</v>
      </c>
    </row>
    <row r="194" spans="1:2" x14ac:dyDescent="0.35">
      <c r="A194" s="81" t="s">
        <v>2043</v>
      </c>
      <c r="B194" s="94">
        <v>56075</v>
      </c>
    </row>
    <row r="195" spans="1:2" x14ac:dyDescent="0.35">
      <c r="A195" s="73">
        <v>2024</v>
      </c>
      <c r="B195" s="94"/>
    </row>
    <row r="196" spans="1:2" x14ac:dyDescent="0.35">
      <c r="A196" s="81" t="s">
        <v>2044</v>
      </c>
      <c r="B196" s="94">
        <v>6007</v>
      </c>
    </row>
    <row r="197" spans="1:2" x14ac:dyDescent="0.35">
      <c r="A197" s="81" t="s">
        <v>2045</v>
      </c>
      <c r="B197" s="94">
        <v>10957</v>
      </c>
    </row>
    <row r="198" spans="1:2" x14ac:dyDescent="0.35">
      <c r="A198" s="81" t="s">
        <v>2046</v>
      </c>
      <c r="B198" s="94">
        <v>17646</v>
      </c>
    </row>
    <row r="199" spans="1:2" x14ac:dyDescent="0.35">
      <c r="A199" s="81" t="s">
        <v>2047</v>
      </c>
      <c r="B199" s="94">
        <v>28521</v>
      </c>
    </row>
    <row r="200" spans="1:2" x14ac:dyDescent="0.35">
      <c r="A200" s="81" t="s">
        <v>2048</v>
      </c>
      <c r="B200" s="94">
        <v>35296</v>
      </c>
    </row>
    <row r="201" spans="1:2" x14ac:dyDescent="0.35">
      <c r="A201" s="81" t="s">
        <v>2049</v>
      </c>
      <c r="B201" s="94">
        <v>40548</v>
      </c>
    </row>
    <row r="202" spans="1:2" x14ac:dyDescent="0.35">
      <c r="A202" s="73" t="s">
        <v>2009</v>
      </c>
      <c r="B202" s="94"/>
    </row>
    <row r="204" spans="1:2" x14ac:dyDescent="0.35">
      <c r="A204" s="81" t="s">
        <v>2066</v>
      </c>
    </row>
    <row r="206" spans="1:2" x14ac:dyDescent="0.35">
      <c r="A206" s="54" t="s">
        <v>2051</v>
      </c>
      <c r="B206" t="s">
        <v>2050</v>
      </c>
    </row>
    <row r="207" spans="1:2" x14ac:dyDescent="0.35">
      <c r="A207" s="73" t="s">
        <v>2060</v>
      </c>
      <c r="B207" s="94">
        <v>146</v>
      </c>
    </row>
    <row r="208" spans="1:2" x14ac:dyDescent="0.35">
      <c r="A208" s="73" t="s">
        <v>2061</v>
      </c>
      <c r="B208" s="94">
        <v>133</v>
      </c>
    </row>
    <row r="209" spans="1:9" x14ac:dyDescent="0.35">
      <c r="A209" s="73" t="s">
        <v>2062</v>
      </c>
      <c r="B209" s="94">
        <v>138</v>
      </c>
    </row>
    <row r="210" spans="1:9" x14ac:dyDescent="0.35">
      <c r="A210" s="73" t="s">
        <v>2063</v>
      </c>
      <c r="B210" s="94">
        <v>153</v>
      </c>
    </row>
    <row r="211" spans="1:9" x14ac:dyDescent="0.35">
      <c r="A211" s="73" t="s">
        <v>2064</v>
      </c>
      <c r="B211" s="94">
        <v>128</v>
      </c>
    </row>
    <row r="212" spans="1:9" x14ac:dyDescent="0.35">
      <c r="A212" s="73" t="s">
        <v>344</v>
      </c>
      <c r="B212" s="94">
        <v>141</v>
      </c>
    </row>
    <row r="213" spans="1:9" x14ac:dyDescent="0.35">
      <c r="A213" s="73" t="s">
        <v>2065</v>
      </c>
      <c r="B213" s="94">
        <v>161</v>
      </c>
    </row>
    <row r="214" spans="1:9" x14ac:dyDescent="0.35">
      <c r="A214" s="73" t="s">
        <v>2009</v>
      </c>
      <c r="B214" s="94">
        <v>1000</v>
      </c>
    </row>
    <row r="216" spans="1:9" x14ac:dyDescent="0.35">
      <c r="A216" s="73" t="s">
        <v>2067</v>
      </c>
    </row>
    <row r="218" spans="1:9" x14ac:dyDescent="0.35">
      <c r="A218" s="54" t="s">
        <v>2050</v>
      </c>
      <c r="B218" s="54" t="s">
        <v>2068</v>
      </c>
    </row>
    <row r="219" spans="1:9" x14ac:dyDescent="0.35">
      <c r="A219" s="54" t="s">
        <v>2051</v>
      </c>
      <c r="B219" t="s">
        <v>2060</v>
      </c>
      <c r="C219" t="s">
        <v>2061</v>
      </c>
      <c r="D219" t="s">
        <v>2062</v>
      </c>
      <c r="E219" t="s">
        <v>2063</v>
      </c>
      <c r="F219" t="s">
        <v>2064</v>
      </c>
      <c r="G219" t="s">
        <v>344</v>
      </c>
      <c r="H219" t="s">
        <v>2065</v>
      </c>
      <c r="I219" t="s">
        <v>2009</v>
      </c>
    </row>
    <row r="220" spans="1:9" x14ac:dyDescent="0.35">
      <c r="A220" s="73" t="s">
        <v>999</v>
      </c>
      <c r="B220" s="94">
        <v>36</v>
      </c>
      <c r="C220" s="94">
        <v>30</v>
      </c>
      <c r="D220" s="94">
        <v>13</v>
      </c>
      <c r="E220" s="94">
        <v>23</v>
      </c>
      <c r="F220" s="94">
        <v>23</v>
      </c>
      <c r="G220" s="94">
        <v>24</v>
      </c>
      <c r="H220" s="94">
        <v>40</v>
      </c>
      <c r="I220" s="94">
        <v>189</v>
      </c>
    </row>
    <row r="221" spans="1:9" x14ac:dyDescent="0.35">
      <c r="A221" s="73" t="s">
        <v>994</v>
      </c>
      <c r="B221" s="94">
        <v>28</v>
      </c>
      <c r="C221" s="94">
        <v>24</v>
      </c>
      <c r="D221" s="94">
        <v>44</v>
      </c>
      <c r="E221" s="94">
        <v>36</v>
      </c>
      <c r="F221" s="94">
        <v>33</v>
      </c>
      <c r="G221" s="94">
        <v>29</v>
      </c>
      <c r="H221" s="94">
        <v>24</v>
      </c>
      <c r="I221" s="94">
        <v>218</v>
      </c>
    </row>
    <row r="222" spans="1:9" x14ac:dyDescent="0.35">
      <c r="A222" s="73" t="s">
        <v>1008</v>
      </c>
      <c r="B222" s="94">
        <v>30</v>
      </c>
      <c r="C222" s="94">
        <v>34</v>
      </c>
      <c r="D222" s="94">
        <v>26</v>
      </c>
      <c r="E222" s="94">
        <v>38</v>
      </c>
      <c r="F222" s="94">
        <v>27</v>
      </c>
      <c r="G222" s="94">
        <v>27</v>
      </c>
      <c r="H222" s="94">
        <v>25</v>
      </c>
      <c r="I222" s="94">
        <v>207</v>
      </c>
    </row>
    <row r="223" spans="1:9" x14ac:dyDescent="0.35">
      <c r="A223" s="73" t="s">
        <v>1004</v>
      </c>
      <c r="B223" s="94">
        <v>25</v>
      </c>
      <c r="C223" s="94">
        <v>23</v>
      </c>
      <c r="D223" s="94">
        <v>28</v>
      </c>
      <c r="E223" s="94">
        <v>29</v>
      </c>
      <c r="F223" s="94">
        <v>18</v>
      </c>
      <c r="G223" s="94">
        <v>29</v>
      </c>
      <c r="H223" s="94">
        <v>34</v>
      </c>
      <c r="I223" s="94">
        <v>186</v>
      </c>
    </row>
    <row r="224" spans="1:9" x14ac:dyDescent="0.35">
      <c r="A224" s="73" t="s">
        <v>989</v>
      </c>
      <c r="B224" s="94">
        <v>27</v>
      </c>
      <c r="C224" s="94">
        <v>22</v>
      </c>
      <c r="D224" s="94">
        <v>27</v>
      </c>
      <c r="E224" s="94">
        <v>27</v>
      </c>
      <c r="F224" s="94">
        <v>27</v>
      </c>
      <c r="G224" s="94">
        <v>32</v>
      </c>
      <c r="H224" s="94">
        <v>38</v>
      </c>
      <c r="I224" s="94">
        <v>200</v>
      </c>
    </row>
    <row r="225" spans="1:9" x14ac:dyDescent="0.35">
      <c r="A225" s="73" t="s">
        <v>2009</v>
      </c>
      <c r="B225" s="94">
        <v>146</v>
      </c>
      <c r="C225" s="94">
        <v>133</v>
      </c>
      <c r="D225" s="94">
        <v>138</v>
      </c>
      <c r="E225" s="94">
        <v>153</v>
      </c>
      <c r="F225" s="94">
        <v>128</v>
      </c>
      <c r="G225" s="94">
        <v>141</v>
      </c>
      <c r="H225" s="94">
        <v>161</v>
      </c>
      <c r="I225" s="94">
        <v>1000</v>
      </c>
    </row>
    <row r="227" spans="1:9" x14ac:dyDescent="0.35">
      <c r="A227" s="73" t="s">
        <v>2069</v>
      </c>
    </row>
    <row r="229" spans="1:9" x14ac:dyDescent="0.35">
      <c r="A229" s="54" t="s">
        <v>2050</v>
      </c>
      <c r="B229" s="54" t="s">
        <v>2068</v>
      </c>
    </row>
    <row r="230" spans="1:9" x14ac:dyDescent="0.35">
      <c r="A230" s="54" t="s">
        <v>2051</v>
      </c>
      <c r="B230" t="s">
        <v>2060</v>
      </c>
      <c r="C230" t="s">
        <v>2061</v>
      </c>
      <c r="D230" t="s">
        <v>2062</v>
      </c>
      <c r="E230" t="s">
        <v>2063</v>
      </c>
      <c r="F230" t="s">
        <v>2064</v>
      </c>
      <c r="G230" t="s">
        <v>344</v>
      </c>
      <c r="H230" t="s">
        <v>2065</v>
      </c>
      <c r="I230" t="s">
        <v>2009</v>
      </c>
    </row>
    <row r="231" spans="1:9" x14ac:dyDescent="0.35">
      <c r="A231" s="73" t="s">
        <v>999</v>
      </c>
      <c r="B231" s="50">
        <v>0.24657534246575341</v>
      </c>
      <c r="C231" s="50">
        <v>0.22556390977443608</v>
      </c>
      <c r="D231" s="50">
        <v>9.420289855072464E-2</v>
      </c>
      <c r="E231" s="50">
        <v>0.15032679738562091</v>
      </c>
      <c r="F231" s="50">
        <v>0.1796875</v>
      </c>
      <c r="G231" s="50">
        <v>0.1702127659574468</v>
      </c>
      <c r="H231" s="50">
        <v>0.2484472049689441</v>
      </c>
      <c r="I231" s="50">
        <v>0.189</v>
      </c>
    </row>
    <row r="232" spans="1:9" x14ac:dyDescent="0.35">
      <c r="A232" s="73" t="s">
        <v>994</v>
      </c>
      <c r="B232" s="50">
        <v>0.19178082191780821</v>
      </c>
      <c r="C232" s="50">
        <v>0.18045112781954886</v>
      </c>
      <c r="D232" s="50">
        <v>0.3188405797101449</v>
      </c>
      <c r="E232" s="50">
        <v>0.23529411764705882</v>
      </c>
      <c r="F232" s="50">
        <v>0.2578125</v>
      </c>
      <c r="G232" s="50">
        <v>0.20567375886524822</v>
      </c>
      <c r="H232" s="50">
        <v>0.14906832298136646</v>
      </c>
      <c r="I232" s="50">
        <v>0.218</v>
      </c>
    </row>
    <row r="233" spans="1:9" x14ac:dyDescent="0.35">
      <c r="A233" s="73" t="s">
        <v>1008</v>
      </c>
      <c r="B233" s="50">
        <v>0.20547945205479451</v>
      </c>
      <c r="C233" s="50">
        <v>0.25563909774436089</v>
      </c>
      <c r="D233" s="50">
        <v>0.18840579710144928</v>
      </c>
      <c r="E233" s="50">
        <v>0.24836601307189543</v>
      </c>
      <c r="F233" s="50">
        <v>0.2109375</v>
      </c>
      <c r="G233" s="50">
        <v>0.19148936170212766</v>
      </c>
      <c r="H233" s="50">
        <v>0.15527950310559005</v>
      </c>
      <c r="I233" s="50">
        <v>0.20699999999999999</v>
      </c>
    </row>
    <row r="234" spans="1:9" x14ac:dyDescent="0.35">
      <c r="A234" s="73" t="s">
        <v>1004</v>
      </c>
      <c r="B234" s="50">
        <v>0.17123287671232876</v>
      </c>
      <c r="C234" s="50">
        <v>0.17293233082706766</v>
      </c>
      <c r="D234" s="50">
        <v>0.20289855072463769</v>
      </c>
      <c r="E234" s="50">
        <v>0.18954248366013071</v>
      </c>
      <c r="F234" s="50">
        <v>0.140625</v>
      </c>
      <c r="G234" s="50">
        <v>0.20567375886524822</v>
      </c>
      <c r="H234" s="50">
        <v>0.21118012422360249</v>
      </c>
      <c r="I234" s="50">
        <v>0.186</v>
      </c>
    </row>
    <row r="235" spans="1:9" x14ac:dyDescent="0.35">
      <c r="A235" s="73" t="s">
        <v>989</v>
      </c>
      <c r="B235" s="50">
        <v>0.18493150684931506</v>
      </c>
      <c r="C235" s="50">
        <v>0.16541353383458646</v>
      </c>
      <c r="D235" s="50">
        <v>0.19565217391304349</v>
      </c>
      <c r="E235" s="50">
        <v>0.17647058823529413</v>
      </c>
      <c r="F235" s="50">
        <v>0.2109375</v>
      </c>
      <c r="G235" s="50">
        <v>0.22695035460992907</v>
      </c>
      <c r="H235" s="50">
        <v>0.2360248447204969</v>
      </c>
      <c r="I235" s="50">
        <v>0.2</v>
      </c>
    </row>
    <row r="236" spans="1:9" x14ac:dyDescent="0.35">
      <c r="A236" s="73" t="s">
        <v>2009</v>
      </c>
      <c r="B236" s="50">
        <v>1</v>
      </c>
      <c r="C236" s="50">
        <v>1</v>
      </c>
      <c r="D236" s="50">
        <v>1</v>
      </c>
      <c r="E236" s="50">
        <v>1</v>
      </c>
      <c r="F236" s="50">
        <v>1</v>
      </c>
      <c r="G236" s="50">
        <v>1</v>
      </c>
      <c r="H236" s="50">
        <v>1</v>
      </c>
      <c r="I236" s="50">
        <v>1</v>
      </c>
    </row>
    <row r="238" spans="1:9" x14ac:dyDescent="0.35">
      <c r="A238" s="73" t="s">
        <v>2070</v>
      </c>
    </row>
    <row r="240" spans="1:9" x14ac:dyDescent="0.35">
      <c r="A240" s="54" t="s">
        <v>2050</v>
      </c>
      <c r="B240" s="54" t="s">
        <v>2068</v>
      </c>
    </row>
    <row r="241" spans="1:9" x14ac:dyDescent="0.35">
      <c r="A241" s="54" t="s">
        <v>2051</v>
      </c>
      <c r="B241" t="s">
        <v>2060</v>
      </c>
      <c r="C241" t="s">
        <v>2061</v>
      </c>
      <c r="D241" t="s">
        <v>2062</v>
      </c>
      <c r="E241" t="s">
        <v>2063</v>
      </c>
      <c r="F241" t="s">
        <v>2064</v>
      </c>
      <c r="G241" t="s">
        <v>344</v>
      </c>
      <c r="H241" t="s">
        <v>2065</v>
      </c>
      <c r="I241" t="s">
        <v>2009</v>
      </c>
    </row>
    <row r="242" spans="1:9" x14ac:dyDescent="0.35">
      <c r="A242" s="73" t="s">
        <v>999</v>
      </c>
      <c r="B242" s="50">
        <v>0.19047619047619047</v>
      </c>
      <c r="C242" s="50">
        <v>0.15873015873015872</v>
      </c>
      <c r="D242" s="50">
        <v>6.8783068783068779E-2</v>
      </c>
      <c r="E242" s="50">
        <v>0.12169312169312169</v>
      </c>
      <c r="F242" s="50">
        <v>0.12169312169312169</v>
      </c>
      <c r="G242" s="50">
        <v>0.12698412698412698</v>
      </c>
      <c r="H242" s="50">
        <v>0.21164021164021163</v>
      </c>
      <c r="I242" s="50">
        <v>1</v>
      </c>
    </row>
    <row r="243" spans="1:9" x14ac:dyDescent="0.35">
      <c r="A243" s="73" t="s">
        <v>994</v>
      </c>
      <c r="B243" s="50">
        <v>0.12844036697247707</v>
      </c>
      <c r="C243" s="50">
        <v>0.11009174311926606</v>
      </c>
      <c r="D243" s="50">
        <v>0.20183486238532111</v>
      </c>
      <c r="E243" s="50">
        <v>0.16513761467889909</v>
      </c>
      <c r="F243" s="50">
        <v>0.15137614678899083</v>
      </c>
      <c r="G243" s="50">
        <v>0.13302752293577982</v>
      </c>
      <c r="H243" s="50">
        <v>0.11009174311926606</v>
      </c>
      <c r="I243" s="50">
        <v>1</v>
      </c>
    </row>
    <row r="244" spans="1:9" x14ac:dyDescent="0.35">
      <c r="A244" s="73" t="s">
        <v>1008</v>
      </c>
      <c r="B244" s="50">
        <v>0.14492753623188406</v>
      </c>
      <c r="C244" s="50">
        <v>0.16425120772946861</v>
      </c>
      <c r="D244" s="50">
        <v>0.12560386473429952</v>
      </c>
      <c r="E244" s="50">
        <v>0.18357487922705315</v>
      </c>
      <c r="F244" s="50">
        <v>0.13043478260869565</v>
      </c>
      <c r="G244" s="50">
        <v>0.13043478260869565</v>
      </c>
      <c r="H244" s="50">
        <v>0.12077294685990338</v>
      </c>
      <c r="I244" s="50">
        <v>1</v>
      </c>
    </row>
    <row r="245" spans="1:9" x14ac:dyDescent="0.35">
      <c r="A245" s="73" t="s">
        <v>1004</v>
      </c>
      <c r="B245" s="50">
        <v>0.13440860215053763</v>
      </c>
      <c r="C245" s="50">
        <v>0.12365591397849462</v>
      </c>
      <c r="D245" s="50">
        <v>0.15053763440860216</v>
      </c>
      <c r="E245" s="50">
        <v>0.15591397849462366</v>
      </c>
      <c r="F245" s="50">
        <v>9.6774193548387094E-2</v>
      </c>
      <c r="G245" s="50">
        <v>0.15591397849462366</v>
      </c>
      <c r="H245" s="50">
        <v>0.18279569892473119</v>
      </c>
      <c r="I245" s="50">
        <v>1</v>
      </c>
    </row>
    <row r="246" spans="1:9" x14ac:dyDescent="0.35">
      <c r="A246" s="73" t="s">
        <v>989</v>
      </c>
      <c r="B246" s="50">
        <v>0.13500000000000001</v>
      </c>
      <c r="C246" s="50">
        <v>0.11</v>
      </c>
      <c r="D246" s="50">
        <v>0.13500000000000001</v>
      </c>
      <c r="E246" s="50">
        <v>0.13500000000000001</v>
      </c>
      <c r="F246" s="50">
        <v>0.13500000000000001</v>
      </c>
      <c r="G246" s="50">
        <v>0.16</v>
      </c>
      <c r="H246" s="50">
        <v>0.19</v>
      </c>
      <c r="I246" s="50">
        <v>1</v>
      </c>
    </row>
    <row r="247" spans="1:9" x14ac:dyDescent="0.35">
      <c r="A247" s="73" t="s">
        <v>2009</v>
      </c>
      <c r="B247" s="50">
        <v>0.14599999999999999</v>
      </c>
      <c r="C247" s="50">
        <v>0.13300000000000001</v>
      </c>
      <c r="D247" s="50">
        <v>0.13800000000000001</v>
      </c>
      <c r="E247" s="50">
        <v>0.153</v>
      </c>
      <c r="F247" s="50">
        <v>0.128</v>
      </c>
      <c r="G247" s="50">
        <v>0.14099999999999999</v>
      </c>
      <c r="H247" s="50">
        <v>0.161</v>
      </c>
      <c r="I247" s="50">
        <v>1</v>
      </c>
    </row>
    <row r="249" spans="1:9" x14ac:dyDescent="0.35">
      <c r="A249" t="s">
        <v>2071</v>
      </c>
    </row>
    <row r="251" spans="1:9" x14ac:dyDescent="0.35">
      <c r="A251" s="54" t="s">
        <v>2051</v>
      </c>
      <c r="B251" t="s">
        <v>2079</v>
      </c>
    </row>
    <row r="252" spans="1:9" x14ac:dyDescent="0.35">
      <c r="A252" s="73" t="s">
        <v>2074</v>
      </c>
      <c r="B252" s="20">
        <v>4.0196078431372548</v>
      </c>
    </row>
    <row r="253" spans="1:9" x14ac:dyDescent="0.35">
      <c r="A253" s="73" t="s">
        <v>2075</v>
      </c>
      <c r="B253" s="20">
        <v>3.967557251908397</v>
      </c>
    </row>
    <row r="254" spans="1:9" x14ac:dyDescent="0.35">
      <c r="A254" s="73" t="s">
        <v>2076</v>
      </c>
      <c r="B254" s="20">
        <v>3.9720670391061454</v>
      </c>
    </row>
    <row r="255" spans="1:9" x14ac:dyDescent="0.35">
      <c r="A255" s="73" t="s">
        <v>2077</v>
      </c>
      <c r="B255" s="20">
        <v>3.9367088607594938</v>
      </c>
    </row>
    <row r="256" spans="1:9" x14ac:dyDescent="0.35">
      <c r="A256" s="73" t="s">
        <v>2078</v>
      </c>
      <c r="B256" s="20">
        <v>4</v>
      </c>
    </row>
    <row r="257" spans="1:8" x14ac:dyDescent="0.35">
      <c r="A257" s="73" t="s">
        <v>2009</v>
      </c>
      <c r="B257" s="20">
        <v>3.964</v>
      </c>
    </row>
    <row r="259" spans="1:8" x14ac:dyDescent="0.35">
      <c r="A259" s="73" t="s">
        <v>2071</v>
      </c>
    </row>
    <row r="261" spans="1:8" x14ac:dyDescent="0.35">
      <c r="A261" s="54" t="s">
        <v>2050</v>
      </c>
      <c r="B261" s="54" t="s">
        <v>2068</v>
      </c>
    </row>
    <row r="262" spans="1:8" x14ac:dyDescent="0.35">
      <c r="A262" s="54" t="s">
        <v>2051</v>
      </c>
      <c r="B262">
        <v>0</v>
      </c>
      <c r="C262">
        <v>1</v>
      </c>
      <c r="D262">
        <v>2</v>
      </c>
      <c r="E262">
        <v>3</v>
      </c>
      <c r="F262">
        <v>4</v>
      </c>
      <c r="G262">
        <v>5</v>
      </c>
      <c r="H262" t="s">
        <v>2009</v>
      </c>
    </row>
    <row r="263" spans="1:8" x14ac:dyDescent="0.35">
      <c r="A263" s="73" t="s">
        <v>2078</v>
      </c>
      <c r="B263" s="94"/>
      <c r="C263" s="94"/>
      <c r="D263" s="94"/>
      <c r="E263" s="94">
        <v>2</v>
      </c>
      <c r="F263" s="94">
        <v>5</v>
      </c>
      <c r="G263" s="94">
        <v>2</v>
      </c>
      <c r="H263" s="94">
        <v>9</v>
      </c>
    </row>
    <row r="264" spans="1:8" x14ac:dyDescent="0.35">
      <c r="A264" s="73" t="s">
        <v>2074</v>
      </c>
      <c r="B264" s="94"/>
      <c r="C264" s="94"/>
      <c r="D264" s="94">
        <v>4</v>
      </c>
      <c r="E264" s="94">
        <v>6</v>
      </c>
      <c r="F264" s="94">
        <v>26</v>
      </c>
      <c r="G264" s="94">
        <v>15</v>
      </c>
      <c r="H264" s="94">
        <v>51</v>
      </c>
    </row>
    <row r="265" spans="1:8" x14ac:dyDescent="0.35">
      <c r="A265" s="73" t="s">
        <v>2076</v>
      </c>
      <c r="B265" s="94"/>
      <c r="C265" s="94"/>
      <c r="D265" s="94">
        <v>13</v>
      </c>
      <c r="E265" s="94">
        <v>35</v>
      </c>
      <c r="F265" s="94">
        <v>75</v>
      </c>
      <c r="G265" s="94">
        <v>56</v>
      </c>
      <c r="H265" s="94">
        <v>179</v>
      </c>
    </row>
    <row r="266" spans="1:8" x14ac:dyDescent="0.35">
      <c r="A266" s="73" t="s">
        <v>2075</v>
      </c>
      <c r="B266" s="94"/>
      <c r="C266" s="94">
        <v>5</v>
      </c>
      <c r="D266" s="94">
        <v>28</v>
      </c>
      <c r="E266" s="94">
        <v>106</v>
      </c>
      <c r="F266" s="94">
        <v>225</v>
      </c>
      <c r="G266" s="94">
        <v>160</v>
      </c>
      <c r="H266" s="94">
        <v>524</v>
      </c>
    </row>
    <row r="267" spans="1:8" x14ac:dyDescent="0.35">
      <c r="A267" s="73" t="s">
        <v>2077</v>
      </c>
      <c r="B267" s="94">
        <v>1</v>
      </c>
      <c r="C267" s="94">
        <v>3</v>
      </c>
      <c r="D267" s="94">
        <v>14</v>
      </c>
      <c r="E267" s="94">
        <v>48</v>
      </c>
      <c r="F267" s="94">
        <v>97</v>
      </c>
      <c r="G267" s="94">
        <v>74</v>
      </c>
      <c r="H267" s="94">
        <v>237</v>
      </c>
    </row>
    <row r="268" spans="1:8" x14ac:dyDescent="0.35">
      <c r="A268" s="73" t="s">
        <v>2009</v>
      </c>
      <c r="B268" s="94">
        <v>1</v>
      </c>
      <c r="C268" s="94">
        <v>8</v>
      </c>
      <c r="D268" s="94">
        <v>59</v>
      </c>
      <c r="E268" s="94">
        <v>197</v>
      </c>
      <c r="F268" s="94">
        <v>428</v>
      </c>
      <c r="G268" s="94">
        <v>307</v>
      </c>
      <c r="H268" s="94">
        <v>1000</v>
      </c>
    </row>
    <row r="270" spans="1:8" x14ac:dyDescent="0.35">
      <c r="A270" t="s">
        <v>2080</v>
      </c>
    </row>
    <row r="272" spans="1:8" x14ac:dyDescent="0.35">
      <c r="A272" s="54" t="s">
        <v>2050</v>
      </c>
      <c r="B272" s="54" t="s">
        <v>2068</v>
      </c>
    </row>
    <row r="273" spans="1:14" x14ac:dyDescent="0.35">
      <c r="A273" s="54" t="s">
        <v>2051</v>
      </c>
      <c r="B273">
        <v>0</v>
      </c>
      <c r="C273">
        <v>1</v>
      </c>
      <c r="D273">
        <v>2</v>
      </c>
      <c r="E273">
        <v>3</v>
      </c>
      <c r="F273">
        <v>4</v>
      </c>
      <c r="G273">
        <v>5</v>
      </c>
      <c r="H273" t="s">
        <v>2009</v>
      </c>
    </row>
    <row r="274" spans="1:14" x14ac:dyDescent="0.35">
      <c r="A274" s="73" t="s">
        <v>2078</v>
      </c>
      <c r="B274" s="50">
        <v>0</v>
      </c>
      <c r="C274" s="50">
        <v>0</v>
      </c>
      <c r="D274" s="50">
        <v>0</v>
      </c>
      <c r="E274" s="50">
        <v>1.015228426395939E-2</v>
      </c>
      <c r="F274" s="50">
        <v>1.1682242990654205E-2</v>
      </c>
      <c r="G274" s="50">
        <v>6.5146579804560263E-3</v>
      </c>
      <c r="H274" s="50">
        <v>8.9999999999999993E-3</v>
      </c>
    </row>
    <row r="275" spans="1:14" x14ac:dyDescent="0.35">
      <c r="A275" s="73" t="s">
        <v>2074</v>
      </c>
      <c r="B275" s="50">
        <v>0</v>
      </c>
      <c r="C275" s="50">
        <v>0</v>
      </c>
      <c r="D275" s="50">
        <v>6.7796610169491525E-2</v>
      </c>
      <c r="E275" s="50">
        <v>3.0456852791878174E-2</v>
      </c>
      <c r="F275" s="50">
        <v>6.0747663551401869E-2</v>
      </c>
      <c r="G275" s="50">
        <v>4.8859934853420196E-2</v>
      </c>
      <c r="H275" s="50">
        <v>5.0999999999999997E-2</v>
      </c>
    </row>
    <row r="276" spans="1:14" x14ac:dyDescent="0.35">
      <c r="A276" s="73" t="s">
        <v>2076</v>
      </c>
      <c r="B276" s="50">
        <v>0</v>
      </c>
      <c r="C276" s="50">
        <v>0</v>
      </c>
      <c r="D276" s="50">
        <v>0.22033898305084745</v>
      </c>
      <c r="E276" s="50">
        <v>0.17766497461928935</v>
      </c>
      <c r="F276" s="50">
        <v>0.17523364485981308</v>
      </c>
      <c r="G276" s="50">
        <v>0.18241042345276873</v>
      </c>
      <c r="H276" s="50">
        <v>0.17899999999999999</v>
      </c>
    </row>
    <row r="277" spans="1:14" x14ac:dyDescent="0.35">
      <c r="A277" s="73" t="s">
        <v>2075</v>
      </c>
      <c r="B277" s="50">
        <v>0</v>
      </c>
      <c r="C277" s="50">
        <v>0.625</v>
      </c>
      <c r="D277" s="50">
        <v>0.47457627118644069</v>
      </c>
      <c r="E277" s="50">
        <v>0.53807106598984766</v>
      </c>
      <c r="F277" s="50">
        <v>0.52570093457943923</v>
      </c>
      <c r="G277" s="50">
        <v>0.52117263843648209</v>
      </c>
      <c r="H277" s="50">
        <v>0.52400000000000002</v>
      </c>
    </row>
    <row r="278" spans="1:14" x14ac:dyDescent="0.35">
      <c r="A278" s="73" t="s">
        <v>2077</v>
      </c>
      <c r="B278" s="50">
        <v>1</v>
      </c>
      <c r="C278" s="50">
        <v>0.375</v>
      </c>
      <c r="D278" s="50">
        <v>0.23728813559322035</v>
      </c>
      <c r="E278" s="50">
        <v>0.24365482233502539</v>
      </c>
      <c r="F278" s="50">
        <v>0.22663551401869159</v>
      </c>
      <c r="G278" s="50">
        <v>0.24104234527687296</v>
      </c>
      <c r="H278" s="50">
        <v>0.23699999999999999</v>
      </c>
    </row>
    <row r="279" spans="1:14" x14ac:dyDescent="0.35">
      <c r="A279" s="73" t="s">
        <v>2009</v>
      </c>
      <c r="B279" s="50">
        <v>1</v>
      </c>
      <c r="C279" s="50">
        <v>1</v>
      </c>
      <c r="D279" s="50">
        <v>1</v>
      </c>
      <c r="E279" s="50">
        <v>1</v>
      </c>
      <c r="F279" s="50">
        <v>1</v>
      </c>
      <c r="G279" s="50">
        <v>1</v>
      </c>
      <c r="H279" s="50">
        <v>1</v>
      </c>
    </row>
    <row r="281" spans="1:14" x14ac:dyDescent="0.35">
      <c r="A281" s="73" t="s">
        <v>2081</v>
      </c>
    </row>
    <row r="283" spans="1:14" x14ac:dyDescent="0.35">
      <c r="A283" s="54" t="s">
        <v>2050</v>
      </c>
      <c r="B283" s="54" t="s">
        <v>2068</v>
      </c>
    </row>
    <row r="284" spans="1:14" x14ac:dyDescent="0.35">
      <c r="A284" s="54" t="s">
        <v>2051</v>
      </c>
      <c r="B284" t="s">
        <v>2038</v>
      </c>
      <c r="C284" t="s">
        <v>2039</v>
      </c>
      <c r="D284" t="s">
        <v>2040</v>
      </c>
      <c r="E284" t="s">
        <v>2041</v>
      </c>
      <c r="F284" t="s">
        <v>2042</v>
      </c>
      <c r="G284" t="s">
        <v>2043</v>
      </c>
      <c r="H284" t="s">
        <v>2044</v>
      </c>
      <c r="I284" t="s">
        <v>2045</v>
      </c>
      <c r="J284" t="s">
        <v>2046</v>
      </c>
      <c r="K284" t="s">
        <v>2047</v>
      </c>
      <c r="L284" t="s">
        <v>2048</v>
      </c>
      <c r="M284" t="s">
        <v>2049</v>
      </c>
      <c r="N284" t="s">
        <v>2009</v>
      </c>
    </row>
    <row r="285" spans="1:14" x14ac:dyDescent="0.35">
      <c r="A285" s="73" t="s">
        <v>999</v>
      </c>
      <c r="B285" s="94">
        <v>16</v>
      </c>
      <c r="C285" s="94">
        <v>14</v>
      </c>
      <c r="D285" s="94">
        <v>26</v>
      </c>
      <c r="E285" s="94">
        <v>29</v>
      </c>
      <c r="F285" s="94">
        <v>17</v>
      </c>
      <c r="G285" s="94">
        <v>15</v>
      </c>
      <c r="H285" s="94">
        <v>15</v>
      </c>
      <c r="I285" s="94">
        <v>7</v>
      </c>
      <c r="J285" s="94">
        <v>11</v>
      </c>
      <c r="K285" s="94">
        <v>24</v>
      </c>
      <c r="L285" s="94">
        <v>9</v>
      </c>
      <c r="M285" s="94">
        <v>6</v>
      </c>
      <c r="N285" s="94">
        <v>189</v>
      </c>
    </row>
    <row r="286" spans="1:14" x14ac:dyDescent="0.35">
      <c r="A286" s="73" t="s">
        <v>994</v>
      </c>
      <c r="B286" s="94">
        <v>19</v>
      </c>
      <c r="C286" s="94">
        <v>10</v>
      </c>
      <c r="D286" s="94">
        <v>40</v>
      </c>
      <c r="E286" s="94">
        <v>40</v>
      </c>
      <c r="F286" s="94">
        <v>13</v>
      </c>
      <c r="G286" s="94">
        <v>12</v>
      </c>
      <c r="H286" s="94">
        <v>9</v>
      </c>
      <c r="I286" s="94">
        <v>13</v>
      </c>
      <c r="J286" s="94">
        <v>18</v>
      </c>
      <c r="K286" s="94">
        <v>21</v>
      </c>
      <c r="L286" s="94">
        <v>14</v>
      </c>
      <c r="M286" s="94">
        <v>9</v>
      </c>
      <c r="N286" s="94">
        <v>218</v>
      </c>
    </row>
    <row r="287" spans="1:14" x14ac:dyDescent="0.35">
      <c r="A287" s="73" t="s">
        <v>1008</v>
      </c>
      <c r="B287" s="94">
        <v>13</v>
      </c>
      <c r="C287" s="94">
        <v>13</v>
      </c>
      <c r="D287" s="94">
        <v>28</v>
      </c>
      <c r="E287" s="94">
        <v>24</v>
      </c>
      <c r="F287" s="94">
        <v>23</v>
      </c>
      <c r="G287" s="94">
        <v>17</v>
      </c>
      <c r="H287" s="94">
        <v>11</v>
      </c>
      <c r="I287" s="94">
        <v>11</v>
      </c>
      <c r="J287" s="94">
        <v>14</v>
      </c>
      <c r="K287" s="94">
        <v>30</v>
      </c>
      <c r="L287" s="94">
        <v>14</v>
      </c>
      <c r="M287" s="94">
        <v>9</v>
      </c>
      <c r="N287" s="94">
        <v>207</v>
      </c>
    </row>
    <row r="288" spans="1:14" x14ac:dyDescent="0.35">
      <c r="A288" s="73" t="s">
        <v>1004</v>
      </c>
      <c r="B288" s="94">
        <v>10</v>
      </c>
      <c r="C288" s="94">
        <v>11</v>
      </c>
      <c r="D288" s="94">
        <v>30</v>
      </c>
      <c r="E288" s="94">
        <v>23</v>
      </c>
      <c r="F288" s="94">
        <v>22</v>
      </c>
      <c r="G288" s="94">
        <v>11</v>
      </c>
      <c r="H288" s="94">
        <v>17</v>
      </c>
      <c r="I288" s="94">
        <v>12</v>
      </c>
      <c r="J288" s="94">
        <v>13</v>
      </c>
      <c r="K288" s="94">
        <v>15</v>
      </c>
      <c r="L288" s="94">
        <v>8</v>
      </c>
      <c r="M288" s="94">
        <v>14</v>
      </c>
      <c r="N288" s="94">
        <v>186</v>
      </c>
    </row>
    <row r="289" spans="1:14" x14ac:dyDescent="0.35">
      <c r="A289" s="73" t="s">
        <v>989</v>
      </c>
      <c r="B289" s="94">
        <v>21</v>
      </c>
      <c r="C289" s="94">
        <v>18</v>
      </c>
      <c r="D289" s="94">
        <v>31</v>
      </c>
      <c r="E289" s="94">
        <v>20</v>
      </c>
      <c r="F289" s="94">
        <v>8</v>
      </c>
      <c r="G289" s="94">
        <v>12</v>
      </c>
      <c r="H289" s="94">
        <v>12</v>
      </c>
      <c r="I289" s="94">
        <v>7</v>
      </c>
      <c r="J289" s="94">
        <v>20</v>
      </c>
      <c r="K289" s="94">
        <v>24</v>
      </c>
      <c r="L289" s="94">
        <v>12</v>
      </c>
      <c r="M289" s="94">
        <v>15</v>
      </c>
      <c r="N289" s="94">
        <v>200</v>
      </c>
    </row>
    <row r="290" spans="1:14" x14ac:dyDescent="0.35">
      <c r="A290" s="73" t="s">
        <v>2009</v>
      </c>
      <c r="B290" s="94">
        <v>79</v>
      </c>
      <c r="C290" s="94">
        <v>66</v>
      </c>
      <c r="D290" s="94">
        <v>155</v>
      </c>
      <c r="E290" s="94">
        <v>136</v>
      </c>
      <c r="F290" s="94">
        <v>83</v>
      </c>
      <c r="G290" s="94">
        <v>67</v>
      </c>
      <c r="H290" s="94">
        <v>64</v>
      </c>
      <c r="I290" s="94">
        <v>50</v>
      </c>
      <c r="J290" s="94">
        <v>76</v>
      </c>
      <c r="K290" s="94">
        <v>114</v>
      </c>
      <c r="L290" s="94">
        <v>57</v>
      </c>
      <c r="M290" s="94">
        <v>53</v>
      </c>
      <c r="N290" s="94">
        <v>1000</v>
      </c>
    </row>
    <row r="292" spans="1:14" x14ac:dyDescent="0.35">
      <c r="A292" t="s">
        <v>2082</v>
      </c>
    </row>
    <row r="294" spans="1:14" x14ac:dyDescent="0.35">
      <c r="A294" s="54" t="s">
        <v>2051</v>
      </c>
      <c r="B294" t="s">
        <v>2015</v>
      </c>
      <c r="C294" t="s">
        <v>2013</v>
      </c>
      <c r="D294" s="20" t="s">
        <v>2083</v>
      </c>
    </row>
    <row r="295" spans="1:14" x14ac:dyDescent="0.35">
      <c r="A295" s="73" t="s">
        <v>1007</v>
      </c>
      <c r="B295" s="94">
        <v>6971</v>
      </c>
      <c r="C295" s="94">
        <v>6242</v>
      </c>
      <c r="D295" s="20">
        <v>0.89542389901018504</v>
      </c>
    </row>
    <row r="296" spans="1:14" x14ac:dyDescent="0.35">
      <c r="A296" s="73" t="s">
        <v>996</v>
      </c>
      <c r="B296" s="94">
        <v>5998</v>
      </c>
      <c r="C296" s="94">
        <v>5404</v>
      </c>
      <c r="D296" s="20">
        <v>0.9009669889963321</v>
      </c>
    </row>
    <row r="297" spans="1:14" x14ac:dyDescent="0.35">
      <c r="A297" s="73" t="s">
        <v>1060</v>
      </c>
      <c r="B297" s="94">
        <v>5406</v>
      </c>
      <c r="C297" s="94">
        <v>5009</v>
      </c>
      <c r="D297" s="20">
        <v>0.92656307806141325</v>
      </c>
    </row>
    <row r="298" spans="1:14" x14ac:dyDescent="0.35">
      <c r="A298" s="73" t="s">
        <v>988</v>
      </c>
      <c r="B298" s="94">
        <v>4712</v>
      </c>
      <c r="C298" s="94">
        <v>4804</v>
      </c>
      <c r="D298" s="20">
        <v>1.0195246179966044</v>
      </c>
    </row>
    <row r="299" spans="1:14" x14ac:dyDescent="0.35">
      <c r="A299" s="73" t="s">
        <v>1013</v>
      </c>
      <c r="B299" s="94">
        <v>5496</v>
      </c>
      <c r="C299" s="94">
        <v>5634</v>
      </c>
      <c r="D299" s="20">
        <v>1.0251091703056769</v>
      </c>
    </row>
    <row r="300" spans="1:14" x14ac:dyDescent="0.35">
      <c r="A300" s="73" t="s">
        <v>991</v>
      </c>
      <c r="B300" s="94">
        <v>7379</v>
      </c>
      <c r="C300" s="94">
        <v>7689</v>
      </c>
      <c r="D300" s="20">
        <v>1.0420111126168858</v>
      </c>
    </row>
    <row r="301" spans="1:14" x14ac:dyDescent="0.35">
      <c r="A301" s="73" t="s">
        <v>1030</v>
      </c>
      <c r="B301" s="94">
        <v>6354</v>
      </c>
      <c r="C301" s="94">
        <v>6819</v>
      </c>
      <c r="D301" s="20">
        <v>1.0731822474032107</v>
      </c>
    </row>
    <row r="302" spans="1:14" x14ac:dyDescent="0.35">
      <c r="A302" s="73" t="s">
        <v>1022</v>
      </c>
      <c r="B302" s="94">
        <v>5651</v>
      </c>
      <c r="C302" s="94">
        <v>6176</v>
      </c>
      <c r="D302" s="20">
        <v>1.0929039108122456</v>
      </c>
    </row>
    <row r="303" spans="1:14" x14ac:dyDescent="0.35">
      <c r="A303" s="73" t="s">
        <v>998</v>
      </c>
      <c r="B303" s="94">
        <v>6119</v>
      </c>
      <c r="C303" s="94">
        <v>6749</v>
      </c>
      <c r="D303" s="20">
        <v>1.1029579996731491</v>
      </c>
    </row>
    <row r="304" spans="1:14" x14ac:dyDescent="0.35">
      <c r="A304" s="73" t="s">
        <v>1019</v>
      </c>
      <c r="B304" s="94">
        <v>5918</v>
      </c>
      <c r="C304" s="94">
        <v>6601</v>
      </c>
      <c r="D304" s="20">
        <v>1.1154106116931395</v>
      </c>
    </row>
    <row r="305" spans="1:4" x14ac:dyDescent="0.35">
      <c r="A305" s="73" t="s">
        <v>1040</v>
      </c>
      <c r="B305" s="94">
        <v>6039</v>
      </c>
      <c r="C305" s="94">
        <v>6785</v>
      </c>
      <c r="D305" s="20">
        <v>1.1235303858254677</v>
      </c>
    </row>
    <row r="306" spans="1:4" x14ac:dyDescent="0.35">
      <c r="A306" s="73" t="s">
        <v>993</v>
      </c>
      <c r="B306" s="94">
        <v>6563</v>
      </c>
      <c r="C306" s="94">
        <v>7747</v>
      </c>
      <c r="D306" s="20">
        <v>1.1804053024531465</v>
      </c>
    </row>
    <row r="307" spans="1:4" x14ac:dyDescent="0.35">
      <c r="A307" s="73" t="s">
        <v>1011</v>
      </c>
      <c r="B307" s="94">
        <v>6058</v>
      </c>
      <c r="C307" s="94">
        <v>7230</v>
      </c>
      <c r="D307" s="20">
        <v>1.1934631891713436</v>
      </c>
    </row>
    <row r="308" spans="1:4" x14ac:dyDescent="0.35">
      <c r="A308" s="73" t="s">
        <v>1002</v>
      </c>
      <c r="B308" s="94">
        <v>5897</v>
      </c>
      <c r="C308" s="94">
        <v>7216</v>
      </c>
      <c r="D308" s="20">
        <v>1.2236730540953027</v>
      </c>
    </row>
    <row r="309" spans="1:4" x14ac:dyDescent="0.35">
      <c r="A309" s="73" t="s">
        <v>1027</v>
      </c>
      <c r="B309" s="94">
        <v>5289</v>
      </c>
      <c r="C309" s="94">
        <v>6518</v>
      </c>
      <c r="D309" s="20">
        <v>1.2323690678767252</v>
      </c>
    </row>
    <row r="310" spans="1:4" x14ac:dyDescent="0.35">
      <c r="A310" s="73" t="s">
        <v>2009</v>
      </c>
      <c r="B310" s="94">
        <v>89850</v>
      </c>
      <c r="C310" s="94">
        <v>96623</v>
      </c>
      <c r="D310" s="20">
        <v>1.0753811908736783</v>
      </c>
    </row>
    <row r="312" spans="1:4" x14ac:dyDescent="0.35">
      <c r="A312" s="73" t="s">
        <v>2084</v>
      </c>
    </row>
    <row r="314" spans="1:4" x14ac:dyDescent="0.35">
      <c r="A314" s="93" t="s">
        <v>2051</v>
      </c>
      <c r="B314" s="93" t="s">
        <v>2015</v>
      </c>
      <c r="C314" s="93" t="s">
        <v>2013</v>
      </c>
    </row>
    <row r="315" spans="1:4" x14ac:dyDescent="0.35">
      <c r="A315" s="73" t="s">
        <v>1007</v>
      </c>
      <c r="B315" s="94">
        <v>6971</v>
      </c>
      <c r="C315" s="94">
        <v>6242</v>
      </c>
    </row>
    <row r="316" spans="1:4" x14ac:dyDescent="0.35">
      <c r="A316" s="73" t="s">
        <v>996</v>
      </c>
      <c r="B316" s="94">
        <v>5998</v>
      </c>
      <c r="C316" s="94">
        <v>5404</v>
      </c>
    </row>
    <row r="317" spans="1:4" x14ac:dyDescent="0.35">
      <c r="A317" s="73" t="s">
        <v>1060</v>
      </c>
      <c r="B317" s="94">
        <v>5406</v>
      </c>
      <c r="C317" s="94">
        <v>5009</v>
      </c>
    </row>
    <row r="318" spans="1:4" x14ac:dyDescent="0.35">
      <c r="A318" s="73" t="s">
        <v>988</v>
      </c>
      <c r="B318" s="94">
        <v>4712</v>
      </c>
      <c r="C318" s="94">
        <v>4804</v>
      </c>
    </row>
    <row r="319" spans="1:4" x14ac:dyDescent="0.35">
      <c r="A319" s="73" t="s">
        <v>1013</v>
      </c>
      <c r="B319" s="94">
        <v>5496</v>
      </c>
      <c r="C319" s="94">
        <v>5634</v>
      </c>
    </row>
    <row r="320" spans="1:4" x14ac:dyDescent="0.35">
      <c r="A320" s="73" t="s">
        <v>991</v>
      </c>
      <c r="B320" s="94">
        <v>7379</v>
      </c>
      <c r="C320" s="94">
        <v>7689</v>
      </c>
    </row>
    <row r="321" spans="1:3" x14ac:dyDescent="0.35">
      <c r="A321" s="73" t="s">
        <v>1030</v>
      </c>
      <c r="B321" s="94">
        <v>6354</v>
      </c>
      <c r="C321" s="94">
        <v>6819</v>
      </c>
    </row>
    <row r="322" spans="1:3" x14ac:dyDescent="0.35">
      <c r="A322" s="73" t="s">
        <v>1022</v>
      </c>
      <c r="B322" s="94">
        <v>5651</v>
      </c>
      <c r="C322" s="94">
        <v>6176</v>
      </c>
    </row>
    <row r="323" spans="1:3" x14ac:dyDescent="0.35">
      <c r="A323" s="73" t="s">
        <v>998</v>
      </c>
      <c r="B323" s="94">
        <v>6119</v>
      </c>
      <c r="C323" s="94">
        <v>6749</v>
      </c>
    </row>
    <row r="324" spans="1:3" x14ac:dyDescent="0.35">
      <c r="A324" s="73" t="s">
        <v>1019</v>
      </c>
      <c r="B324" s="94">
        <v>5918</v>
      </c>
      <c r="C324" s="94">
        <v>6601</v>
      </c>
    </row>
    <row r="325" spans="1:3" x14ac:dyDescent="0.35">
      <c r="A325" s="73" t="s">
        <v>1040</v>
      </c>
      <c r="B325" s="94">
        <v>6039</v>
      </c>
      <c r="C325" s="94">
        <v>6785</v>
      </c>
    </row>
    <row r="326" spans="1:3" x14ac:dyDescent="0.35">
      <c r="A326" s="73" t="s">
        <v>993</v>
      </c>
      <c r="B326" s="94">
        <v>6563</v>
      </c>
      <c r="C326" s="94">
        <v>7747</v>
      </c>
    </row>
    <row r="327" spans="1:3" x14ac:dyDescent="0.35">
      <c r="A327" s="73" t="s">
        <v>1011</v>
      </c>
      <c r="B327" s="94">
        <v>6058</v>
      </c>
      <c r="C327" s="94">
        <v>7230</v>
      </c>
    </row>
    <row r="328" spans="1:3" x14ac:dyDescent="0.35">
      <c r="A328" s="73" t="s">
        <v>1002</v>
      </c>
      <c r="B328" s="94">
        <v>5897</v>
      </c>
      <c r="C328" s="94">
        <v>7216</v>
      </c>
    </row>
    <row r="329" spans="1:3" x14ac:dyDescent="0.35">
      <c r="A329" s="73" t="s">
        <v>1027</v>
      </c>
      <c r="B329" s="94">
        <v>5289</v>
      </c>
      <c r="C329" s="94">
        <v>6518</v>
      </c>
    </row>
    <row r="330" spans="1:3" x14ac:dyDescent="0.35">
      <c r="A330" s="95" t="s">
        <v>2009</v>
      </c>
      <c r="B330" s="96">
        <v>89850</v>
      </c>
      <c r="C330" s="96">
        <v>96623</v>
      </c>
    </row>
    <row r="332" spans="1:3" x14ac:dyDescent="0.35">
      <c r="A332" s="73" t="s">
        <v>2085</v>
      </c>
    </row>
  </sheetData>
  <conditionalFormatting pivot="1" sqref="B231:H235">
    <cfRule type="colorScale" priority="5">
      <colorScale>
        <cfvo type="min"/>
        <cfvo type="percentile" val="50"/>
        <cfvo type="max"/>
        <color rgb="FFF8696B"/>
        <color rgb="FFFFEB84"/>
        <color rgb="FF63BE7B"/>
      </colorScale>
    </cfRule>
  </conditionalFormatting>
  <conditionalFormatting pivot="1" sqref="B242:H246">
    <cfRule type="colorScale" priority="4">
      <colorScale>
        <cfvo type="min"/>
        <cfvo type="percentile" val="50"/>
        <cfvo type="max"/>
        <color rgb="FFF8696B"/>
        <color rgb="FFFFEB84"/>
        <color rgb="FF63BE7B"/>
      </colorScale>
    </cfRule>
  </conditionalFormatting>
  <conditionalFormatting pivot="1" sqref="B263:G267">
    <cfRule type="colorScale" priority="3">
      <colorScale>
        <cfvo type="min"/>
        <cfvo type="percentile" val="50"/>
        <cfvo type="max"/>
        <color rgb="FFF8696B"/>
        <color rgb="FFFFEB84"/>
        <color rgb="FF63BE7B"/>
      </colorScale>
    </cfRule>
  </conditionalFormatting>
  <conditionalFormatting pivot="1" sqref="B274:G278">
    <cfRule type="colorScale" priority="2">
      <colorScale>
        <cfvo type="min"/>
        <cfvo type="percentile" val="50"/>
        <cfvo type="max"/>
        <color rgb="FFF8696B"/>
        <color rgb="FFFFEB84"/>
        <color rgb="FF63BE7B"/>
      </colorScale>
    </cfRule>
  </conditionalFormatting>
  <conditionalFormatting pivot="1" sqref="B285:M289">
    <cfRule type="dataBar" priority="1">
      <dataBar>
        <cfvo type="min"/>
        <cfvo type="max"/>
        <color rgb="FF638EC6"/>
      </dataBar>
      <extLst>
        <ext xmlns:x14="http://schemas.microsoft.com/office/spreadsheetml/2009/9/main" uri="{B025F937-C7B1-47D3-B67F-A62EFF666E3E}">
          <x14:id>{0E00C160-EC04-4C2F-8F45-E0AA131FDA44}</x14:id>
        </ext>
      </extLst>
    </cfRule>
  </conditionalFormatting>
  <pageMargins left="0.7" right="0.7" top="0.75" bottom="0.75" header="0.3" footer="0.3"/>
  <pageSetup orientation="portrait" r:id="rId21"/>
  <drawing r:id="rId22"/>
  <extLst>
    <ext xmlns:x14="http://schemas.microsoft.com/office/spreadsheetml/2009/9/main" uri="{78C0D931-6437-407d-A8EE-F0AAD7539E65}">
      <x14:conditionalFormattings>
        <x14:conditionalFormatting xmlns:xm="http://schemas.microsoft.com/office/excel/2006/main" pivot="1">
          <x14:cfRule type="dataBar" id="{0E00C160-EC04-4C2F-8F45-E0AA131FDA44}">
            <x14:dataBar minLength="0" maxLength="100" border="1" negativeBarBorderColorSameAsPositive="0">
              <x14:cfvo type="autoMin"/>
              <x14:cfvo type="autoMax"/>
              <x14:borderColor rgb="FF638EC6"/>
              <x14:negativeFillColor rgb="FFFF0000"/>
              <x14:negativeBorderColor rgb="FFFF0000"/>
              <x14:axisColor rgb="FF000000"/>
            </x14:dataBar>
          </x14:cfRule>
          <xm:sqref>B285:M289</xm:sqref>
        </x14:conditionalFormatting>
      </x14:conditionalFormattings>
    </ext>
    <ext xmlns:x14="http://schemas.microsoft.com/office/spreadsheetml/2009/9/main" uri="{A8765BA9-456A-4dab-B4F3-ACF838C121DE}">
      <x14:slicerList>
        <x14:slicer r:id="rId2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Employee Raw Data</vt:lpstr>
      <vt:lpstr>Web Data Connection</vt:lpstr>
      <vt:lpstr>Power Query Processed Emp. Data</vt:lpstr>
      <vt:lpstr>Dept. Info.-Functions</vt:lpstr>
      <vt:lpstr>Employees&gt;100K-Functions</vt:lpstr>
      <vt:lpstr>Employees&gt;100K-MORE Functions</vt:lpstr>
      <vt:lpstr>Female Emp-Functions</vt:lpstr>
      <vt:lpstr>Salary-Functions</vt:lpstr>
      <vt:lpstr>Dept. Info.-More Functions-1</vt:lpstr>
      <vt:lpstr>VLOOKUP, XLOOKUP &amp; INDEX MATCH</vt:lpstr>
      <vt:lpstr>XLOOKUP</vt:lpstr>
      <vt:lpstr>Emp. Detail-Functions</vt:lpstr>
      <vt:lpstr>Dept. Info.-More Functions-2</vt:lpstr>
      <vt:lpstr>Call Centre Data</vt:lpstr>
      <vt:lpstr>Pivot Tables and Others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Saswat Seth</cp:lastModifiedBy>
  <cp:revision/>
  <cp:lastPrinted>2026-08-20T07:07:01Z</cp:lastPrinted>
  <dcterms:created xsi:type="dcterms:W3CDTF">2024-12-11T19:47:07Z</dcterms:created>
  <dcterms:modified xsi:type="dcterms:W3CDTF">2026-08-20T07:07:45Z</dcterms:modified>
  <cp:category/>
  <cp:contentStatus/>
</cp:coreProperties>
</file>