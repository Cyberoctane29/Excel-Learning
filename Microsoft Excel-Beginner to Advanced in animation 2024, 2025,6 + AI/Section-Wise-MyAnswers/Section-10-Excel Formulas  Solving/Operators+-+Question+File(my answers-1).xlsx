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64"/>
  </bookViews>
  <sheets>
    <sheet name="IF" sheetId="4" r:id="rId1"/>
    <sheet name="AND" sheetId="3" r:id="rId2"/>
    <sheet name="OR" sheetId="1" r:id="rId3"/>
  </sheets>
  <definedNames>
    <definedName name="_xlnm._FilterDatabase" localSheetId="1" hidden="1">AND!$A$1:$B$16</definedName>
    <definedName name="_xlnm._FilterDatabase" localSheetId="2" hidden="1">OR!$C$1:$C$16</definedName>
  </definedNames>
  <calcPr calcId="144525"/>
</workbook>
</file>

<file path=xl/sharedStrings.xml><?xml version="1.0" encoding="utf-8"?>
<sst xmlns="http://schemas.openxmlformats.org/spreadsheetml/2006/main" count="107" uniqueCount="42">
  <si>
    <t>Party Food</t>
  </si>
  <si>
    <t>Your Dress</t>
  </si>
  <si>
    <t>Good Camera</t>
  </si>
  <si>
    <t>Would you Go ?</t>
  </si>
  <si>
    <t>Good</t>
  </si>
  <si>
    <t>Okayish</t>
  </si>
  <si>
    <t>Yes</t>
  </si>
  <si>
    <t>Bad</t>
  </si>
  <si>
    <t>No</t>
  </si>
  <si>
    <t>Spectacular</t>
  </si>
  <si>
    <t>Fantastic</t>
  </si>
  <si>
    <t>Fruit Name</t>
  </si>
  <si>
    <t>Price</t>
  </si>
  <si>
    <t>Vendor</t>
  </si>
  <si>
    <t>Paid by</t>
  </si>
  <si>
    <t>Validate</t>
  </si>
  <si>
    <t>Apple</t>
  </si>
  <si>
    <t>Amazon</t>
  </si>
  <si>
    <t>Cash</t>
  </si>
  <si>
    <t>Orange</t>
  </si>
  <si>
    <t>BigBasket</t>
  </si>
  <si>
    <t>Card</t>
  </si>
  <si>
    <t>Kiwi</t>
  </si>
  <si>
    <t>Walmart</t>
  </si>
  <si>
    <t>Pineapple</t>
  </si>
  <si>
    <t>Lyft</t>
  </si>
  <si>
    <t>Grapes</t>
  </si>
  <si>
    <t>DoorDash</t>
  </si>
  <si>
    <t>Banana</t>
  </si>
  <si>
    <t>Google</t>
  </si>
  <si>
    <t>Amount of Purchase</t>
  </si>
  <si>
    <t>Amount of Sale</t>
  </si>
  <si>
    <t>Country</t>
  </si>
  <si>
    <t>AND</t>
  </si>
  <si>
    <t>United States</t>
  </si>
  <si>
    <t>France</t>
  </si>
  <si>
    <r>
      <rPr>
        <sz val="10"/>
        <color theme="1"/>
        <rFont val="Calibri"/>
        <charset val="134"/>
        <scheme val="minor"/>
      </rPr>
      <t xml:space="preserve">Find if the amount of sale is larger than the purchase amount </t>
    </r>
    <r>
      <rPr>
        <b/>
        <sz val="10"/>
        <color theme="1"/>
        <rFont val="Calibri"/>
        <charset val="134"/>
        <scheme val="minor"/>
      </rPr>
      <t>AND</t>
    </r>
    <r>
      <rPr>
        <sz val="10"/>
        <color theme="1"/>
        <rFont val="Calibri"/>
        <charset val="134"/>
        <scheme val="minor"/>
      </rPr>
      <t xml:space="preserve"> if the coutry of purchase is "United States"</t>
    </r>
  </si>
  <si>
    <t>Spain</t>
  </si>
  <si>
    <t>India</t>
  </si>
  <si>
    <t>China</t>
  </si>
  <si>
    <t>OR</t>
  </si>
  <si>
    <r>
      <rPr>
        <sz val="10"/>
        <color theme="1"/>
        <rFont val="Calibri"/>
        <charset val="134"/>
        <scheme val="minor"/>
      </rPr>
      <t xml:space="preserve">Find if the amount of sale is larger than the purchase amount </t>
    </r>
    <r>
      <rPr>
        <b/>
        <sz val="10"/>
        <color theme="1"/>
        <rFont val="Calibri"/>
        <charset val="134"/>
        <scheme val="minor"/>
      </rPr>
      <t xml:space="preserve">OR </t>
    </r>
    <r>
      <rPr>
        <sz val="10"/>
        <color theme="1"/>
        <rFont val="Calibri"/>
        <charset val="134"/>
        <scheme val="minor"/>
      </rPr>
      <t xml:space="preserve"> if the coutry of purchase is "United States"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</si>
</sst>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1">
    <font>
      <sz val="11"/>
      <color theme="1"/>
      <name val="Calibri"/>
      <charset val="134"/>
      <scheme val="minor"/>
    </font>
    <font>
      <b/>
      <sz val="10"/>
      <color theme="0" tint="-0.499984740745262"/>
      <name val="Calibri"/>
      <charset val="134"/>
      <scheme val="minor"/>
    </font>
    <font>
      <b/>
      <sz val="10"/>
      <color theme="1" tint="0.149998474074526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8"/>
      <color theme="1"/>
      <name val="Calibri"/>
      <charset val="134"/>
      <scheme val="minor"/>
    </font>
    <font>
      <sz val="18"/>
      <color theme="0"/>
      <name val="Calibri"/>
      <charset val="134"/>
      <scheme val="minor"/>
    </font>
    <font>
      <sz val="16"/>
      <color rgb="FF595959"/>
      <name val="Calibri"/>
      <charset val="134"/>
    </font>
    <font>
      <sz val="11"/>
      <color theme="5" tint="0.799981688894314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theme="1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B48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DFFD5"/>
      </left>
      <right style="thin">
        <color rgb="FFBDFFD5"/>
      </right>
      <top style="thin">
        <color rgb="FFBDFFD5"/>
      </top>
      <bottom style="thin">
        <color rgb="FFBDFFD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8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10" borderId="5" applyNumberFormat="0" applyAlignment="0" applyProtection="0">
      <alignment vertical="center"/>
    </xf>
    <xf numFmtId="0" fontId="22" fillId="11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Font="1" applyFill="1" applyAlignment="1" applyProtection="1">
      <alignment horizontal="center"/>
      <protection locked="0"/>
    </xf>
    <xf numFmtId="0" fontId="2" fillId="3" borderId="0" xfId="0" applyFont="1" applyFill="1" applyAlignment="1" applyProtection="1">
      <alignment horizontal="center"/>
      <protection locked="0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0" fontId="5" fillId="4" borderId="0" xfId="0" applyFont="1" applyFill="1"/>
    <xf numFmtId="0" fontId="6" fillId="5" borderId="0" xfId="0" applyFont="1" applyFill="1"/>
    <xf numFmtId="0" fontId="7" fillId="6" borderId="0" xfId="0" applyFont="1" applyFill="1"/>
    <xf numFmtId="0" fontId="8" fillId="0" borderId="1" xfId="0" applyFont="1" applyBorder="1" applyAlignment="1">
      <alignment horizontal="center" vertical="center" readingOrder="1"/>
    </xf>
    <xf numFmtId="0" fontId="9" fillId="7" borderId="0" xfId="0" applyFont="1" applyFill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center"/>
    </xf>
    <xf numFmtId="0" fontId="6" fillId="5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font>
        <b val="1"/>
        <i val="0"/>
        <color theme="0"/>
      </font>
      <fill>
        <patternFill patternType="solid">
          <bgColor rgb="FF00B050"/>
        </patternFill>
      </fill>
    </dxf>
    <dxf>
      <font>
        <b val="1"/>
        <i val="0"/>
      </font>
      <fill>
        <patternFill patternType="solid">
          <bgColor theme="5" tint="0.799981688894314"/>
        </patternFill>
      </fill>
    </dxf>
    <dxf>
      <fill>
        <patternFill patternType="solid">
          <bgColor theme="5" tint="0.799981688894314"/>
        </patternFill>
      </fill>
    </dxf>
    <dxf>
      <fill>
        <patternFill patternType="solid">
          <bgColor theme="5" tint="0.599963377788629"/>
        </patternFill>
      </fill>
    </dxf>
    <dxf>
      <font>
        <b val="1"/>
        <i val="0"/>
        <color theme="0"/>
      </font>
      <fill>
        <patternFill patternType="solid">
          <bgColor rgb="FF00B050"/>
        </patternFill>
      </fill>
    </dxf>
  </dxfs>
  <tableStyles count="0" defaultTableStyle="TableStyleMedium2" defaultPivotStyle="PivotStyleLight16"/>
  <colors>
    <mruColors>
      <color rgb="000099FF"/>
      <color rgb="0000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AND!A1"/><Relationship Id="rId2" Type="http://schemas.openxmlformats.org/officeDocument/2006/relationships/hyperlink" Target="#IF!A54"/><Relationship Id="rId1" Type="http://schemas.openxmlformats.org/officeDocument/2006/relationships/hyperlink" Target="#IF!A36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OR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519038</xdr:colOff>
      <xdr:row>41</xdr:row>
      <xdr:rowOff>210332</xdr:rowOff>
    </xdr:from>
    <xdr:to>
      <xdr:col>12</xdr:col>
      <xdr:colOff>606135</xdr:colOff>
      <xdr:row>44</xdr:row>
      <xdr:rowOff>91571</xdr:rowOff>
    </xdr:to>
    <xdr:sp>
      <xdr:nvSpPr>
        <xdr:cNvPr id="2" name="TextBox 3"/>
        <xdr:cNvSpPr txBox="1"/>
      </xdr:nvSpPr>
      <xdr:spPr>
        <a:xfrm>
          <a:off x="8061960" y="9057005"/>
          <a:ext cx="3173095" cy="681355"/>
        </a:xfrm>
        <a:prstGeom prst="rect">
          <a:avLst/>
        </a:prstGeom>
        <a:noFill/>
        <a:ln>
          <a:solidFill>
            <a:srgbClr val="FFC000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30000"/>
            </a:lnSpc>
          </a:pPr>
          <a:r>
            <a:rPr lang="en-US" sz="1400">
              <a:solidFill>
                <a:srgbClr val="666666"/>
              </a:solidFill>
              <a:latin typeface="Poppins SemiBold"/>
              <a:cs typeface="Poppins SemiBold"/>
            </a:rPr>
            <a:t>Is the price of fruit “6“ or higher</a:t>
          </a:r>
          <a:r>
            <a:rPr lang="en-US" sz="1400" baseline="0">
              <a:solidFill>
                <a:srgbClr val="666666"/>
              </a:solidFill>
              <a:latin typeface="Poppins SemiBold"/>
              <a:cs typeface="Poppins SemiBold"/>
            </a:rPr>
            <a:t> </a:t>
          </a:r>
          <a:r>
            <a:rPr lang="en-US" sz="1400">
              <a:solidFill>
                <a:srgbClr val="666666"/>
              </a:solidFill>
              <a:latin typeface="Poppins SemiBold"/>
              <a:cs typeface="Poppins SemiBold"/>
            </a:rPr>
            <a:t>?</a:t>
          </a:r>
          <a:br>
            <a:rPr lang="en-US" sz="1400">
              <a:solidFill>
                <a:srgbClr val="666666"/>
              </a:solidFill>
              <a:latin typeface="Poppins SemiBold"/>
              <a:cs typeface="Poppins SemiBold"/>
            </a:rPr>
          </a:br>
          <a:r>
            <a:rPr lang="en-US" sz="1050">
              <a:solidFill>
                <a:srgbClr val="666666"/>
              </a:solidFill>
              <a:latin typeface="Poppins SemiBold"/>
              <a:cs typeface="Poppins SemiBold"/>
            </a:rPr>
            <a:t>Use "It is Over 6" for output</a:t>
          </a:r>
          <a:endParaRPr lang="en-US" sz="1400">
            <a:solidFill>
              <a:srgbClr val="666666"/>
            </a:solidFill>
            <a:latin typeface="Poppins SemiBold"/>
            <a:cs typeface="Poppins SemiBold"/>
          </a:endParaRPr>
        </a:p>
      </xdr:txBody>
    </xdr:sp>
    <xdr:clientData/>
  </xdr:twoCellAnchor>
  <xdr:twoCellAnchor>
    <xdr:from>
      <xdr:col>6</xdr:col>
      <xdr:colOff>519039</xdr:colOff>
      <xdr:row>6</xdr:row>
      <xdr:rowOff>210332</xdr:rowOff>
    </xdr:from>
    <xdr:to>
      <xdr:col>11</xdr:col>
      <xdr:colOff>468239</xdr:colOff>
      <xdr:row>10</xdr:row>
      <xdr:rowOff>266914</xdr:rowOff>
    </xdr:to>
    <xdr:sp>
      <xdr:nvSpPr>
        <xdr:cNvPr id="3" name="TextBox 3"/>
        <xdr:cNvSpPr txBox="1"/>
      </xdr:nvSpPr>
      <xdr:spPr>
        <a:xfrm>
          <a:off x="7444740" y="1421765"/>
          <a:ext cx="3035300" cy="1123315"/>
        </a:xfrm>
        <a:prstGeom prst="rect">
          <a:avLst/>
        </a:prstGeom>
        <a:noFill/>
        <a:ln>
          <a:solidFill>
            <a:srgbClr val="FFC000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30000"/>
            </a:lnSpc>
          </a:pPr>
          <a:r>
            <a:rPr lang="en-US" sz="1400">
              <a:solidFill>
                <a:srgbClr val="666666"/>
              </a:solidFill>
              <a:latin typeface="Poppins SemiBold"/>
              <a:cs typeface="Poppins SemiBold"/>
            </a:rPr>
            <a:t>Would you go to the Party if the Food</a:t>
          </a:r>
          <a:r>
            <a:rPr lang="en-US" sz="1400" baseline="0">
              <a:solidFill>
                <a:srgbClr val="666666"/>
              </a:solidFill>
              <a:latin typeface="Poppins SemiBold"/>
              <a:cs typeface="Poppins SemiBold"/>
            </a:rPr>
            <a:t> is Bad ?</a:t>
          </a:r>
          <a:br>
            <a:rPr lang="en-US" sz="1400" baseline="0">
              <a:solidFill>
                <a:srgbClr val="666666"/>
              </a:solidFill>
              <a:latin typeface="Poppins SemiBold"/>
              <a:cs typeface="Poppins SemiBold"/>
            </a:rPr>
          </a:br>
          <a:r>
            <a:rPr lang="en-US" sz="700" b="1" baseline="0">
              <a:solidFill>
                <a:srgbClr val="666666"/>
              </a:solidFill>
              <a:latin typeface="Poppins SemiBold"/>
              <a:cs typeface="Poppins SemiBold"/>
            </a:rPr>
            <a:t>(To go, use"Will go", </a:t>
          </a:r>
          <a:br>
            <a:rPr lang="en-US" sz="700" b="1" baseline="0">
              <a:solidFill>
                <a:srgbClr val="666666"/>
              </a:solidFill>
              <a:latin typeface="Poppins SemiBold"/>
              <a:cs typeface="Poppins SemiBold"/>
            </a:rPr>
          </a:br>
          <a:r>
            <a:rPr lang="en-US" sz="700" b="1" baseline="0">
              <a:solidFill>
                <a:srgbClr val="666666"/>
              </a:solidFill>
              <a:latin typeface="Poppins SemiBold"/>
              <a:cs typeface="Poppins SemiBold"/>
            </a:rPr>
            <a:t>To not go, use"Will Not Go")</a:t>
          </a:r>
          <a:endParaRPr lang="en-US" sz="700" b="1">
            <a:solidFill>
              <a:srgbClr val="666666"/>
            </a:solidFill>
            <a:latin typeface="Poppins SemiBold"/>
            <a:cs typeface="Poppins SemiBold"/>
          </a:endParaRPr>
        </a:p>
      </xdr:txBody>
    </xdr:sp>
    <xdr:clientData/>
  </xdr:twoCellAnchor>
  <xdr:twoCellAnchor>
    <xdr:from>
      <xdr:col>6</xdr:col>
      <xdr:colOff>519039</xdr:colOff>
      <xdr:row>24</xdr:row>
      <xdr:rowOff>210332</xdr:rowOff>
    </xdr:from>
    <xdr:to>
      <xdr:col>11</xdr:col>
      <xdr:colOff>468239</xdr:colOff>
      <xdr:row>29</xdr:row>
      <xdr:rowOff>53049</xdr:rowOff>
    </xdr:to>
    <xdr:sp>
      <xdr:nvSpPr>
        <xdr:cNvPr id="4" name="TextBox 3"/>
        <xdr:cNvSpPr txBox="1"/>
      </xdr:nvSpPr>
      <xdr:spPr>
        <a:xfrm>
          <a:off x="7444740" y="5330825"/>
          <a:ext cx="3035300" cy="1176020"/>
        </a:xfrm>
        <a:prstGeom prst="rect">
          <a:avLst/>
        </a:prstGeom>
        <a:noFill/>
        <a:ln>
          <a:solidFill>
            <a:srgbClr val="FFC000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30000"/>
            </a:lnSpc>
          </a:pPr>
          <a:r>
            <a:rPr lang="en-US" sz="1400">
              <a:solidFill>
                <a:srgbClr val="666666"/>
              </a:solidFill>
              <a:latin typeface="Poppins SemiBold"/>
              <a:cs typeface="Poppins SemiBold"/>
            </a:rPr>
            <a:t>Would you go to the Party if your Dress </a:t>
          </a:r>
          <a:r>
            <a:rPr lang="en-US" sz="1400" baseline="0">
              <a:solidFill>
                <a:srgbClr val="666666"/>
              </a:solidFill>
              <a:latin typeface="Poppins SemiBold"/>
              <a:cs typeface="Poppins SemiBold"/>
            </a:rPr>
            <a:t>is Okayish ?</a:t>
          </a:r>
          <a:br>
            <a:rPr lang="en-US" sz="1400" baseline="0">
              <a:solidFill>
                <a:srgbClr val="666666"/>
              </a:solidFill>
              <a:latin typeface="Poppins SemiBold"/>
              <a:cs typeface="Poppins SemiBold"/>
            </a:rPr>
          </a:br>
          <a:r>
            <a:rPr lang="en-US" sz="800" b="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(To go, use</a:t>
          </a:r>
          <a:r>
            <a:rPr lang="en-US" sz="800" b="1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"Will go", </a:t>
          </a:r>
          <a:br>
            <a:rPr lang="en-US" sz="800" b="1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800" b="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 not go, use</a:t>
          </a:r>
          <a:r>
            <a:rPr lang="en-US" sz="800" b="1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"Will Not Go</a:t>
          </a:r>
          <a:r>
            <a:rPr lang="en-US" sz="800" b="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")</a:t>
          </a:r>
          <a:endParaRPr lang="en-US" sz="1400" b="0">
            <a:solidFill>
              <a:srgbClr val="666666"/>
            </a:solidFill>
            <a:latin typeface="Poppins SemiBold"/>
            <a:cs typeface="Poppins SemiBold"/>
          </a:endParaRPr>
        </a:p>
      </xdr:txBody>
    </xdr:sp>
    <xdr:clientData/>
  </xdr:twoCellAnchor>
  <xdr:twoCellAnchor>
    <xdr:from>
      <xdr:col>11</xdr:col>
      <xdr:colOff>572366</xdr:colOff>
      <xdr:row>11</xdr:row>
      <xdr:rowOff>77066</xdr:rowOff>
    </xdr:from>
    <xdr:to>
      <xdr:col>13</xdr:col>
      <xdr:colOff>8658</xdr:colOff>
      <xdr:row>14</xdr:row>
      <xdr:rowOff>181844</xdr:rowOff>
    </xdr:to>
    <xdr:sp>
      <xdr:nvSpPr>
        <xdr:cNvPr id="5" name="Arrow: Right 4">
          <a:hlinkClick xmlns:r="http://schemas.openxmlformats.org/officeDocument/2006/relationships" r:id="rId1"/>
        </xdr:cNvPr>
        <xdr:cNvSpPr/>
      </xdr:nvSpPr>
      <xdr:spPr>
        <a:xfrm rot="5400000">
          <a:off x="10550525" y="2654935"/>
          <a:ext cx="737870" cy="671195"/>
        </a:xfrm>
        <a:prstGeom prst="rightArrow">
          <a:avLst>
            <a:gd name="adj1" fmla="val 69048"/>
            <a:gd name="adj2" fmla="val 25968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aseline="0"/>
            <a:t>Next</a:t>
          </a:r>
          <a:endParaRPr lang="en-US" sz="900"/>
        </a:p>
      </xdr:txBody>
    </xdr:sp>
    <xdr:clientData/>
  </xdr:twoCellAnchor>
  <xdr:twoCellAnchor>
    <xdr:from>
      <xdr:col>11</xdr:col>
      <xdr:colOff>551585</xdr:colOff>
      <xdr:row>31</xdr:row>
      <xdr:rowOff>86594</xdr:rowOff>
    </xdr:from>
    <xdr:to>
      <xdr:col>12</xdr:col>
      <xdr:colOff>594013</xdr:colOff>
      <xdr:row>35</xdr:row>
      <xdr:rowOff>22518</xdr:rowOff>
    </xdr:to>
    <xdr:sp>
      <xdr:nvSpPr>
        <xdr:cNvPr id="6" name="Arrow: Right 5">
          <a:hlinkClick xmlns:r="http://schemas.openxmlformats.org/officeDocument/2006/relationships" r:id="rId2"/>
        </xdr:cNvPr>
        <xdr:cNvSpPr/>
      </xdr:nvSpPr>
      <xdr:spPr>
        <a:xfrm rot="5400000">
          <a:off x="10559415" y="6993890"/>
          <a:ext cx="667385" cy="659765"/>
        </a:xfrm>
        <a:prstGeom prst="rightArrow">
          <a:avLst>
            <a:gd name="adj1" fmla="val 71718"/>
            <a:gd name="adj2" fmla="val 35314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aseline="0"/>
            <a:t>Next</a:t>
          </a:r>
          <a:endParaRPr lang="en-US" sz="900"/>
        </a:p>
      </xdr:txBody>
    </xdr:sp>
    <xdr:clientData/>
  </xdr:twoCellAnchor>
  <xdr:twoCellAnchor>
    <xdr:from>
      <xdr:col>11</xdr:col>
      <xdr:colOff>390956</xdr:colOff>
      <xdr:row>49</xdr:row>
      <xdr:rowOff>67976</xdr:rowOff>
    </xdr:from>
    <xdr:to>
      <xdr:col>12</xdr:col>
      <xdr:colOff>482744</xdr:colOff>
      <xdr:row>52</xdr:row>
      <xdr:rowOff>145040</xdr:rowOff>
    </xdr:to>
    <xdr:sp>
      <xdr:nvSpPr>
        <xdr:cNvPr id="7" name="Arrow: Right 6">
          <a:hlinkClick xmlns:r="http://schemas.openxmlformats.org/officeDocument/2006/relationships" r:id="rId3"/>
        </xdr:cNvPr>
        <xdr:cNvSpPr/>
      </xdr:nvSpPr>
      <xdr:spPr>
        <a:xfrm>
          <a:off x="10402570" y="10880725"/>
          <a:ext cx="709295" cy="625475"/>
        </a:xfrm>
        <a:prstGeom prst="rightArrow">
          <a:avLst>
            <a:gd name="adj1" fmla="val 71718"/>
            <a:gd name="adj2" fmla="val 35314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aseline="0"/>
            <a:t>AND</a:t>
          </a:r>
          <a:endParaRPr lang="en-US" sz="9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283051</xdr:colOff>
      <xdr:row>13</xdr:row>
      <xdr:rowOff>146537</xdr:rowOff>
    </xdr:from>
    <xdr:to>
      <xdr:col>13</xdr:col>
      <xdr:colOff>256442</xdr:colOff>
      <xdr:row>16</xdr:row>
      <xdr:rowOff>79762</xdr:rowOff>
    </xdr:to>
    <xdr:sp>
      <xdr:nvSpPr>
        <xdr:cNvPr id="2" name="Arrow: Right 1">
          <a:hlinkClick xmlns:r="http://schemas.openxmlformats.org/officeDocument/2006/relationships" r:id="rId1"/>
        </xdr:cNvPr>
        <xdr:cNvSpPr/>
      </xdr:nvSpPr>
      <xdr:spPr>
        <a:xfrm>
          <a:off x="8747125" y="2523490"/>
          <a:ext cx="590550" cy="481965"/>
        </a:xfrm>
        <a:prstGeom prst="rightArrow">
          <a:avLst>
            <a:gd name="adj1" fmla="val 71718"/>
            <a:gd name="adj2" fmla="val 35314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aseline="0"/>
            <a:t>OR</a:t>
          </a:r>
          <a:endParaRPr lang="en-US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G47"/>
  <sheetViews>
    <sheetView showGridLines="0" tabSelected="1" zoomScale="110" zoomScaleNormal="110" workbookViewId="0">
      <selection activeCell="E7" sqref="E7"/>
    </sheetView>
  </sheetViews>
  <sheetFormatPr defaultColWidth="9" defaultRowHeight="14.4" outlineLevelCol="6"/>
  <cols>
    <col min="2" max="2" width="17.1388888888889" customWidth="1"/>
    <col min="3" max="3" width="16.287037037037" customWidth="1"/>
    <col min="4" max="4" width="20.8518518518519" customWidth="1"/>
    <col min="5" max="5" width="24.1388888888889" customWidth="1"/>
    <col min="6" max="6" width="13.5740740740741" customWidth="1"/>
  </cols>
  <sheetData>
    <row r="6" ht="23.4" spans="2:5">
      <c r="B6" s="8" t="s">
        <v>0</v>
      </c>
      <c r="C6" s="8" t="s">
        <v>1</v>
      </c>
      <c r="D6" s="8" t="s">
        <v>2</v>
      </c>
      <c r="E6" s="9" t="s">
        <v>3</v>
      </c>
    </row>
    <row r="7" ht="21" spans="2:6">
      <c r="B7" s="10" t="s">
        <v>4</v>
      </c>
      <c r="C7" s="10" t="s">
        <v>5</v>
      </c>
      <c r="D7" s="10" t="s">
        <v>6</v>
      </c>
      <c r="E7" s="11"/>
      <c r="F7" s="12" t="str">
        <f>IF(B7="Bad","Would Not Go","Will Go")</f>
        <v>Will Go</v>
      </c>
    </row>
    <row r="8" ht="21" spans="2:6">
      <c r="B8" s="10" t="s">
        <v>5</v>
      </c>
      <c r="C8" s="10" t="s">
        <v>4</v>
      </c>
      <c r="D8" s="10" t="s">
        <v>6</v>
      </c>
      <c r="E8" s="11"/>
      <c r="F8" s="12" t="str">
        <f t="shared" ref="F8:F12" si="0">IF(B8="Bad","Would Not Go","Will Go")</f>
        <v>Will Go</v>
      </c>
    </row>
    <row r="9" ht="21" spans="2:6">
      <c r="B9" s="10" t="s">
        <v>7</v>
      </c>
      <c r="C9" s="10" t="s">
        <v>4</v>
      </c>
      <c r="D9" s="10" t="s">
        <v>8</v>
      </c>
      <c r="E9" s="11"/>
      <c r="F9" s="12" t="str">
        <f>IF(B9="Bad","Will Not Go","Will Go")</f>
        <v>Will Not Go</v>
      </c>
    </row>
    <row r="10" ht="21" spans="2:6">
      <c r="B10" s="10" t="s">
        <v>4</v>
      </c>
      <c r="C10" s="10" t="s">
        <v>4</v>
      </c>
      <c r="D10" s="10" t="s">
        <v>6</v>
      </c>
      <c r="E10" s="11"/>
      <c r="F10" s="12" t="str">
        <f t="shared" si="0"/>
        <v>Will Go</v>
      </c>
    </row>
    <row r="11" ht="21" spans="2:6">
      <c r="B11" s="10" t="s">
        <v>4</v>
      </c>
      <c r="C11" s="10" t="s">
        <v>9</v>
      </c>
      <c r="D11" s="10" t="s">
        <v>8</v>
      </c>
      <c r="E11" s="11"/>
      <c r="F11" s="12" t="str">
        <f t="shared" si="0"/>
        <v>Will Go</v>
      </c>
    </row>
    <row r="12" ht="21" spans="2:6">
      <c r="B12" s="10" t="s">
        <v>10</v>
      </c>
      <c r="C12" s="10" t="s">
        <v>9</v>
      </c>
      <c r="D12" s="10" t="s">
        <v>6</v>
      </c>
      <c r="E12" s="11"/>
      <c r="F12" s="12" t="str">
        <f t="shared" si="0"/>
        <v>Will Go</v>
      </c>
    </row>
    <row r="24" ht="23.4" spans="2:5">
      <c r="B24" s="8" t="s">
        <v>0</v>
      </c>
      <c r="C24" s="8" t="s">
        <v>1</v>
      </c>
      <c r="D24" s="8" t="s">
        <v>2</v>
      </c>
      <c r="E24" s="9" t="s">
        <v>3</v>
      </c>
    </row>
    <row r="25" ht="21" spans="2:6">
      <c r="B25" s="10" t="s">
        <v>4</v>
      </c>
      <c r="C25" s="10" t="s">
        <v>5</v>
      </c>
      <c r="D25" s="10" t="s">
        <v>6</v>
      </c>
      <c r="E25" s="13"/>
      <c r="F25" s="12" t="str">
        <f>IF(C25="Okayish","Will Not Go","Will Go")</f>
        <v>Will Not Go</v>
      </c>
    </row>
    <row r="26" ht="21" spans="2:6">
      <c r="B26" s="10" t="s">
        <v>5</v>
      </c>
      <c r="C26" s="10" t="s">
        <v>4</v>
      </c>
      <c r="D26" s="10" t="s">
        <v>6</v>
      </c>
      <c r="E26" s="13"/>
      <c r="F26" s="12" t="str">
        <f t="shared" ref="F26:F30" si="1">IF(C26="Okayish","Will Not Go","Will Go")</f>
        <v>Will Go</v>
      </c>
    </row>
    <row r="27" ht="21" spans="2:6">
      <c r="B27" s="10" t="s">
        <v>7</v>
      </c>
      <c r="C27" s="10" t="s">
        <v>4</v>
      </c>
      <c r="D27" s="10" t="s">
        <v>8</v>
      </c>
      <c r="E27" s="13"/>
      <c r="F27" s="12" t="str">
        <f t="shared" si="1"/>
        <v>Will Go</v>
      </c>
    </row>
    <row r="28" ht="21" spans="2:6">
      <c r="B28" s="10" t="s">
        <v>4</v>
      </c>
      <c r="C28" s="10" t="s">
        <v>4</v>
      </c>
      <c r="D28" s="10" t="s">
        <v>6</v>
      </c>
      <c r="E28" s="13"/>
      <c r="F28" s="12" t="str">
        <f t="shared" si="1"/>
        <v>Will Go</v>
      </c>
    </row>
    <row r="29" ht="21" spans="2:6">
      <c r="B29" s="10" t="s">
        <v>4</v>
      </c>
      <c r="C29" s="10" t="s">
        <v>9</v>
      </c>
      <c r="D29" s="10" t="s">
        <v>8</v>
      </c>
      <c r="E29" s="13"/>
      <c r="F29" s="12" t="str">
        <f t="shared" si="1"/>
        <v>Will Go</v>
      </c>
    </row>
    <row r="30" ht="21" spans="2:6">
      <c r="B30" s="10" t="s">
        <v>10</v>
      </c>
      <c r="C30" s="10" t="s">
        <v>9</v>
      </c>
      <c r="D30" s="10" t="s">
        <v>6</v>
      </c>
      <c r="E30" s="13"/>
      <c r="F30" s="12" t="str">
        <f t="shared" si="1"/>
        <v>Will Go</v>
      </c>
    </row>
    <row r="41" ht="23.4" spans="2:6">
      <c r="B41" s="14" t="s">
        <v>11</v>
      </c>
      <c r="C41" s="14" t="s">
        <v>12</v>
      </c>
      <c r="D41" s="14" t="s">
        <v>13</v>
      </c>
      <c r="E41" s="14" t="s">
        <v>14</v>
      </c>
      <c r="F41" s="9" t="s">
        <v>15</v>
      </c>
    </row>
    <row r="42" ht="21" spans="2:7">
      <c r="B42" s="10" t="s">
        <v>16</v>
      </c>
      <c r="C42" s="10">
        <v>6</v>
      </c>
      <c r="D42" s="10" t="s">
        <v>17</v>
      </c>
      <c r="E42" s="10" t="s">
        <v>18</v>
      </c>
      <c r="F42" s="13"/>
      <c r="G42" s="12" t="str">
        <f>_xlfn.IFS(B42&gt;=6,"It is over 6")</f>
        <v>It is over 6</v>
      </c>
    </row>
    <row r="43" ht="21" spans="2:7">
      <c r="B43" s="10" t="s">
        <v>19</v>
      </c>
      <c r="C43" s="10">
        <v>3.25</v>
      </c>
      <c r="D43" s="10" t="s">
        <v>20</v>
      </c>
      <c r="E43" s="10" t="s">
        <v>21</v>
      </c>
      <c r="F43" s="13"/>
      <c r="G43" s="12" t="str">
        <f t="shared" ref="G43:G47" si="2">_xlfn.IFS(B43&gt;=6,"It is over 6")</f>
        <v>It is over 6</v>
      </c>
    </row>
    <row r="44" ht="21" spans="2:7">
      <c r="B44" s="10" t="s">
        <v>22</v>
      </c>
      <c r="C44" s="10">
        <v>12.5</v>
      </c>
      <c r="D44" s="10" t="s">
        <v>23</v>
      </c>
      <c r="E44" s="10" t="s">
        <v>18</v>
      </c>
      <c r="F44" s="13"/>
      <c r="G44" s="12" t="str">
        <f t="shared" si="2"/>
        <v>It is over 6</v>
      </c>
    </row>
    <row r="45" ht="21" spans="2:7">
      <c r="B45" s="10" t="s">
        <v>24</v>
      </c>
      <c r="C45" s="10">
        <v>6.35</v>
      </c>
      <c r="D45" s="10" t="s">
        <v>25</v>
      </c>
      <c r="E45" s="10" t="s">
        <v>18</v>
      </c>
      <c r="F45" s="13"/>
      <c r="G45" s="12" t="str">
        <f t="shared" si="2"/>
        <v>It is over 6</v>
      </c>
    </row>
    <row r="46" ht="21" spans="2:7">
      <c r="B46" s="10" t="s">
        <v>26</v>
      </c>
      <c r="C46" s="10">
        <v>2.5</v>
      </c>
      <c r="D46" s="10" t="s">
        <v>27</v>
      </c>
      <c r="E46" s="10" t="s">
        <v>21</v>
      </c>
      <c r="F46" s="13"/>
      <c r="G46" s="12" t="str">
        <f t="shared" si="2"/>
        <v>It is over 6</v>
      </c>
    </row>
    <row r="47" ht="21" spans="2:7">
      <c r="B47" s="10" t="s">
        <v>28</v>
      </c>
      <c r="C47" s="10">
        <v>6.5</v>
      </c>
      <c r="D47" s="10" t="s">
        <v>29</v>
      </c>
      <c r="E47" s="10" t="s">
        <v>21</v>
      </c>
      <c r="F47" s="13"/>
      <c r="G47" s="12" t="str">
        <f t="shared" si="2"/>
        <v>It is over 6</v>
      </c>
    </row>
  </sheetData>
  <conditionalFormatting sqref="E7:E12">
    <cfRule type="expression" dxfId="0" priority="4">
      <formula>$E7=$F7</formula>
    </cfRule>
  </conditionalFormatting>
  <conditionalFormatting sqref="E25:E30">
    <cfRule type="expression" dxfId="0" priority="3">
      <formula>$E25=$F25</formula>
    </cfRule>
    <cfRule type="containsBlanks" dxfId="1" priority="2">
      <formula>LEN(TRIM(E25))=0</formula>
    </cfRule>
  </conditionalFormatting>
  <conditionalFormatting sqref="F42:F47">
    <cfRule type="expression" dxfId="0" priority="5">
      <formula>$F42=$G42</formula>
    </cfRule>
    <cfRule type="containsBlanks" dxfId="2" priority="1">
      <formula>LEN(TRIM(F42))=0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showGridLines="0" zoomScale="130" zoomScaleNormal="130" workbookViewId="0">
      <selection activeCell="I11" sqref="I11"/>
    </sheetView>
  </sheetViews>
  <sheetFormatPr defaultColWidth="9" defaultRowHeight="14.4"/>
  <cols>
    <col min="1" max="1" width="17" customWidth="1"/>
    <col min="2" max="2" width="13.1388888888889" customWidth="1"/>
    <col min="3" max="3" width="11.712962962963" customWidth="1"/>
    <col min="4" max="4" width="9.57407407407407" customWidth="1"/>
    <col min="5" max="5" width="9" customWidth="1"/>
  </cols>
  <sheetData>
    <row r="1" spans="1:4">
      <c r="A1" s="1" t="s">
        <v>30</v>
      </c>
      <c r="B1" s="1" t="s">
        <v>31</v>
      </c>
      <c r="C1" s="1" t="s">
        <v>32</v>
      </c>
      <c r="D1" s="2" t="s">
        <v>33</v>
      </c>
    </row>
    <row r="2" spans="1:6">
      <c r="A2" s="3">
        <v>43802</v>
      </c>
      <c r="B2" s="3">
        <v>44590</v>
      </c>
      <c r="C2" s="4" t="s">
        <v>34</v>
      </c>
      <c r="F2" s="5" t="b">
        <f>AND((B2&gt;A2),(C2="United States"))</f>
        <v>1</v>
      </c>
    </row>
    <row r="3" spans="1:6">
      <c r="A3" s="3">
        <v>43775</v>
      </c>
      <c r="B3" s="3">
        <v>44844</v>
      </c>
      <c r="C3" s="4" t="s">
        <v>34</v>
      </c>
      <c r="F3" s="5" t="b">
        <f t="shared" ref="F3:F16" si="0">AND((B3&gt;A3),(C3="United States"))</f>
        <v>1</v>
      </c>
    </row>
    <row r="4" spans="1:6">
      <c r="A4" s="3">
        <v>43498</v>
      </c>
      <c r="B4" s="3">
        <v>44954</v>
      </c>
      <c r="C4" s="4" t="s">
        <v>35</v>
      </c>
      <c r="F4" s="5" t="b">
        <f t="shared" si="0"/>
        <v>0</v>
      </c>
    </row>
    <row r="5" spans="1:6">
      <c r="A5" s="3">
        <v>44040</v>
      </c>
      <c r="B5" s="3">
        <v>44831</v>
      </c>
      <c r="C5" s="4" t="s">
        <v>34</v>
      </c>
      <c r="F5" s="5" t="b">
        <f t="shared" si="0"/>
        <v>1</v>
      </c>
    </row>
    <row r="6" spans="1:12">
      <c r="A6" s="3">
        <v>43702</v>
      </c>
      <c r="B6" s="3">
        <v>44608</v>
      </c>
      <c r="C6" s="4" t="s">
        <v>34</v>
      </c>
      <c r="E6" s="7">
        <f>AVERAGE(A2:A16)</f>
        <v>43770</v>
      </c>
      <c r="F6" s="5" t="b">
        <f t="shared" si="0"/>
        <v>1</v>
      </c>
      <c r="H6" s="6" t="s">
        <v>36</v>
      </c>
      <c r="I6" s="6"/>
      <c r="J6" s="6"/>
      <c r="K6" s="6"/>
      <c r="L6" s="6"/>
    </row>
    <row r="7" spans="1:12">
      <c r="A7" s="3">
        <v>43490</v>
      </c>
      <c r="B7" s="3">
        <v>44524</v>
      </c>
      <c r="C7" s="4" t="s">
        <v>34</v>
      </c>
      <c r="F7" s="5" t="b">
        <f t="shared" si="0"/>
        <v>1</v>
      </c>
      <c r="H7" s="6"/>
      <c r="I7" s="6"/>
      <c r="J7" s="6"/>
      <c r="K7" s="6"/>
      <c r="L7" s="6"/>
    </row>
    <row r="8" spans="1:12">
      <c r="A8" s="3">
        <v>43691</v>
      </c>
      <c r="B8" s="3">
        <v>44945</v>
      </c>
      <c r="C8" s="4" t="s">
        <v>34</v>
      </c>
      <c r="F8" s="5" t="b">
        <f t="shared" si="0"/>
        <v>1</v>
      </c>
      <c r="H8" s="6"/>
      <c r="I8" s="6"/>
      <c r="J8" s="6"/>
      <c r="K8" s="6"/>
      <c r="L8" s="6"/>
    </row>
    <row r="9" spans="1:6">
      <c r="A9" s="3">
        <v>44234</v>
      </c>
      <c r="B9" s="3">
        <v>44976</v>
      </c>
      <c r="C9" s="4" t="s">
        <v>34</v>
      </c>
      <c r="F9" s="5" t="b">
        <f t="shared" si="0"/>
        <v>1</v>
      </c>
    </row>
    <row r="10" spans="1:6">
      <c r="A10" s="3">
        <v>43427</v>
      </c>
      <c r="B10" s="3">
        <v>44423</v>
      </c>
      <c r="C10" s="4" t="s">
        <v>34</v>
      </c>
      <c r="F10" s="5" t="b">
        <f t="shared" si="0"/>
        <v>1</v>
      </c>
    </row>
    <row r="11" spans="1:6">
      <c r="A11" s="3">
        <v>43861</v>
      </c>
      <c r="B11" s="3">
        <v>44810</v>
      </c>
      <c r="C11" s="4" t="s">
        <v>34</v>
      </c>
      <c r="F11" s="5" t="b">
        <f t="shared" si="0"/>
        <v>1</v>
      </c>
    </row>
    <row r="12" spans="1:6">
      <c r="A12" s="3">
        <v>43893</v>
      </c>
      <c r="B12" s="3">
        <v>44857</v>
      </c>
      <c r="C12" s="4" t="s">
        <v>35</v>
      </c>
      <c r="F12" s="5" t="b">
        <f t="shared" si="0"/>
        <v>0</v>
      </c>
    </row>
    <row r="13" spans="1:6">
      <c r="A13" s="3">
        <v>43753</v>
      </c>
      <c r="B13" s="3">
        <v>45251</v>
      </c>
      <c r="C13" s="4" t="s">
        <v>37</v>
      </c>
      <c r="F13" s="5" t="b">
        <f t="shared" si="0"/>
        <v>0</v>
      </c>
    </row>
    <row r="14" spans="1:6">
      <c r="A14" s="3">
        <v>43817</v>
      </c>
      <c r="B14" s="3">
        <v>44857</v>
      </c>
      <c r="C14" s="4" t="s">
        <v>38</v>
      </c>
      <c r="F14" s="5" t="b">
        <f t="shared" si="0"/>
        <v>0</v>
      </c>
    </row>
    <row r="15" spans="1:6">
      <c r="A15" s="3">
        <v>43423</v>
      </c>
      <c r="B15" s="3">
        <v>44019</v>
      </c>
      <c r="C15" s="4" t="s">
        <v>39</v>
      </c>
      <c r="F15" s="5" t="b">
        <f t="shared" si="0"/>
        <v>0</v>
      </c>
    </row>
    <row r="16" spans="1:6">
      <c r="A16" s="3">
        <v>44144</v>
      </c>
      <c r="B16" s="3">
        <v>44840</v>
      </c>
      <c r="C16" s="4" t="s">
        <v>38</v>
      </c>
      <c r="F16" s="5" t="b">
        <f t="shared" si="0"/>
        <v>0</v>
      </c>
    </row>
  </sheetData>
  <sheetProtection selectLockedCells="1" sort="0" autoFilter="0"/>
  <mergeCells count="1">
    <mergeCell ref="H6:L8"/>
  </mergeCells>
  <conditionalFormatting sqref="D2:D16">
    <cfRule type="containsBlanks" dxfId="3" priority="1">
      <formula>LEN(TRIM(D2))=0</formula>
    </cfRule>
    <cfRule type="expression" dxfId="0" priority="2">
      <formula>F2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showGridLines="0" zoomScale="130" zoomScaleNormal="130" workbookViewId="0">
      <selection activeCell="A2" sqref="A2"/>
    </sheetView>
  </sheetViews>
  <sheetFormatPr defaultColWidth="9" defaultRowHeight="14.4"/>
  <cols>
    <col min="1" max="1" width="17" customWidth="1"/>
    <col min="2" max="2" width="13.1388888888889" customWidth="1"/>
    <col min="3" max="3" width="11.712962962963" customWidth="1"/>
    <col min="4" max="4" width="7.57407407407407" customWidth="1"/>
  </cols>
  <sheetData>
    <row r="1" spans="1:4">
      <c r="A1" s="1" t="s">
        <v>30</v>
      </c>
      <c r="B1" s="1" t="s">
        <v>31</v>
      </c>
      <c r="C1" s="1" t="s">
        <v>32</v>
      </c>
      <c r="D1" s="2" t="s">
        <v>40</v>
      </c>
    </row>
    <row r="2" spans="1:6">
      <c r="A2" s="3">
        <v>43802</v>
      </c>
      <c r="B2" s="3">
        <v>44590</v>
      </c>
      <c r="C2" s="4" t="s">
        <v>34</v>
      </c>
      <c r="F2" s="5" t="b">
        <f>OR((B2&gt;A2),(C2="United States"))</f>
        <v>1</v>
      </c>
    </row>
    <row r="3" ht="15" customHeight="1" spans="1:6">
      <c r="A3" s="3">
        <v>43775</v>
      </c>
      <c r="B3" s="3">
        <v>44844</v>
      </c>
      <c r="C3" s="4" t="s">
        <v>34</v>
      </c>
      <c r="F3" s="5" t="b">
        <f t="shared" ref="F3:F16" si="0">OR((B3&gt;A3),(C3="United States"))</f>
        <v>1</v>
      </c>
    </row>
    <row r="4" ht="15" customHeight="1" spans="1:6">
      <c r="A4" s="3">
        <v>47480</v>
      </c>
      <c r="B4" s="3">
        <v>44954</v>
      </c>
      <c r="C4" s="4" t="s">
        <v>35</v>
      </c>
      <c r="F4" s="5" t="b">
        <f t="shared" si="0"/>
        <v>0</v>
      </c>
    </row>
    <row r="5" ht="15" customHeight="1" spans="1:6">
      <c r="A5" s="3">
        <v>44040</v>
      </c>
      <c r="B5" s="3">
        <v>44831</v>
      </c>
      <c r="C5" s="4" t="s">
        <v>34</v>
      </c>
      <c r="F5" s="5" t="b">
        <f t="shared" si="0"/>
        <v>1</v>
      </c>
    </row>
    <row r="6" ht="15" customHeight="1" spans="1:6">
      <c r="A6" s="3">
        <v>43702</v>
      </c>
      <c r="B6" s="3">
        <v>44608</v>
      </c>
      <c r="C6" s="4" t="s">
        <v>34</v>
      </c>
      <c r="F6" s="5" t="b">
        <f t="shared" si="0"/>
        <v>1</v>
      </c>
    </row>
    <row r="7" ht="15" customHeight="1" spans="1:12">
      <c r="A7" s="3">
        <v>43490</v>
      </c>
      <c r="B7" s="3">
        <v>44524</v>
      </c>
      <c r="C7" s="4" t="s">
        <v>34</v>
      </c>
      <c r="F7" s="5" t="b">
        <f t="shared" si="0"/>
        <v>1</v>
      </c>
      <c r="H7" s="6" t="s">
        <v>41</v>
      </c>
      <c r="I7" s="6"/>
      <c r="J7" s="6"/>
      <c r="K7" s="6"/>
      <c r="L7" s="6"/>
    </row>
    <row r="8" ht="15" customHeight="1" spans="1:12">
      <c r="A8" s="3">
        <v>43691</v>
      </c>
      <c r="B8" s="3">
        <v>44945</v>
      </c>
      <c r="C8" s="4" t="s">
        <v>34</v>
      </c>
      <c r="F8" s="5" t="b">
        <f t="shared" si="0"/>
        <v>1</v>
      </c>
      <c r="H8" s="6"/>
      <c r="I8" s="6"/>
      <c r="J8" s="6"/>
      <c r="K8" s="6"/>
      <c r="L8" s="6"/>
    </row>
    <row r="9" ht="15" customHeight="1" spans="1:12">
      <c r="A9" s="3">
        <v>44234</v>
      </c>
      <c r="B9" s="3">
        <v>44976</v>
      </c>
      <c r="C9" s="4" t="s">
        <v>34</v>
      </c>
      <c r="F9" s="5" t="b">
        <f t="shared" si="0"/>
        <v>1</v>
      </c>
      <c r="H9" s="6"/>
      <c r="I9" s="6"/>
      <c r="J9" s="6"/>
      <c r="K9" s="6"/>
      <c r="L9" s="6"/>
    </row>
    <row r="10" ht="15" customHeight="1" spans="1:6">
      <c r="A10" s="3">
        <v>43427</v>
      </c>
      <c r="B10" s="3">
        <v>44423</v>
      </c>
      <c r="C10" s="4" t="s">
        <v>34</v>
      </c>
      <c r="F10" s="5" t="b">
        <f t="shared" si="0"/>
        <v>1</v>
      </c>
    </row>
    <row r="11" spans="1:6">
      <c r="A11" s="3">
        <v>43861</v>
      </c>
      <c r="B11" s="3">
        <v>44810</v>
      </c>
      <c r="C11" s="4" t="s">
        <v>34</v>
      </c>
      <c r="F11" s="5" t="b">
        <f t="shared" si="0"/>
        <v>1</v>
      </c>
    </row>
    <row r="12" spans="1:6">
      <c r="A12" s="3">
        <v>43893</v>
      </c>
      <c r="B12" s="3">
        <v>44857</v>
      </c>
      <c r="C12" s="4" t="s">
        <v>35</v>
      </c>
      <c r="F12" s="5" t="b">
        <f t="shared" si="0"/>
        <v>1</v>
      </c>
    </row>
    <row r="13" spans="1:6">
      <c r="A13" s="3">
        <v>45478</v>
      </c>
      <c r="B13" s="3">
        <v>45251</v>
      </c>
      <c r="C13" s="4" t="s">
        <v>37</v>
      </c>
      <c r="F13" s="5" t="b">
        <f t="shared" si="0"/>
        <v>0</v>
      </c>
    </row>
    <row r="14" spans="1:6">
      <c r="A14" s="3">
        <v>43817</v>
      </c>
      <c r="B14" s="3">
        <v>44857</v>
      </c>
      <c r="C14" s="4" t="s">
        <v>38</v>
      </c>
      <c r="F14" s="5" t="b">
        <f t="shared" si="0"/>
        <v>1</v>
      </c>
    </row>
    <row r="15" spans="1:6">
      <c r="A15" s="3">
        <v>43423</v>
      </c>
      <c r="B15" s="3">
        <v>44019</v>
      </c>
      <c r="C15" s="4" t="s">
        <v>39</v>
      </c>
      <c r="F15" s="5" t="b">
        <f t="shared" si="0"/>
        <v>1</v>
      </c>
    </row>
    <row r="16" spans="1:6">
      <c r="A16" s="3">
        <v>44144</v>
      </c>
      <c r="B16" s="3">
        <v>44840</v>
      </c>
      <c r="C16" s="4" t="s">
        <v>38</v>
      </c>
      <c r="F16" s="5" t="b">
        <f t="shared" si="0"/>
        <v>1</v>
      </c>
    </row>
  </sheetData>
  <sheetProtection selectLockedCells="1" formatCells="0" formatColumns="0" formatRows="0" insertRows="0" insertColumns="0" insertHyperlinks="0" deleteColumns="0" deleteRows="0" sort="0" autoFilter="0" pivotTables="0"/>
  <mergeCells count="1">
    <mergeCell ref="H7:L9"/>
  </mergeCells>
  <conditionalFormatting sqref="D2:D16">
    <cfRule type="containsBlanks" dxfId="3" priority="1">
      <formula>LEN(TRIM(D2))=0</formula>
    </cfRule>
    <cfRule type="cellIs" dxfId="4" priority="3" operator="equal">
      <formula>F2</formula>
    </cfRule>
  </conditionalFormatting>
  <conditionalFormatting sqref="F2:F16">
    <cfRule type="cellIs" dxfId="4" priority="2" operator="equal">
      <formula>H2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IF</vt:lpstr>
      <vt:lpstr>AND</vt:lpstr>
      <vt:lpstr>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My-PC</dc:creator>
  <cp:lastModifiedBy>saswa</cp:lastModifiedBy>
  <dcterms:created xsi:type="dcterms:W3CDTF">2021-07-08T06:57:00Z</dcterms:created>
  <dcterms:modified xsi:type="dcterms:W3CDTF">2024-09-19T15:34:09Z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36B1DF2B316E4A69AD83BE224CB67A11_13</vt:lpwstr>
  </property>
  <property fmtid="{D5CDD505-2E9C-101B-9397-08002B2CF9AE}" pid="3" name="KSOProductBuildVer">
    <vt:lpwstr>1033-12.2.0.13472</vt:lpwstr>
  </property>
</Properties>
</file>