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codeName="ThisWorkbook" defaultThemeVersion="166925"/>
  <mc:AlternateContent xmlns:mc="http://schemas.openxmlformats.org/markup-compatibility/2006">
    <mc:Choice Requires="x15">
      <x15ac:absPath xmlns:x15ac="http://schemas.microsoft.com/office/spreadsheetml/2010/11/ac" url="E:\Your Excel Guy\Product\Excel\Version 7\Advanced Excel Functions\Practice Files\"/>
    </mc:Choice>
  </mc:AlternateContent>
  <xr:revisionPtr revIDLastSave="0" documentId="8_{2EE921AC-2265-406A-A685-D559B1C56FAA}" xr6:coauthVersionLast="47" xr6:coauthVersionMax="47" xr10:uidLastSave="{00000000-0000-0000-0000-000000000000}"/>
  <bookViews>
    <workbookView xWindow="-120" yWindow="-120" windowWidth="20730" windowHeight="11760" firstSheet="3" activeTab="3" xr2:uid="{7D65AE5E-B855-4ACF-991B-4713640FBF75}"/>
  </bookViews>
  <sheets>
    <sheet name="Round" sheetId="15" r:id="rId1"/>
    <sheet name="RUP, RDown &amp; MRound" sheetId="40" r:id="rId2"/>
    <sheet name="MRound" sheetId="41" r:id="rId3"/>
    <sheet name="Floor &amp; Ceiling" sheetId="35" r:id="rId4"/>
    <sheet name="IFS" sheetId="1" state="hidden" r:id="rId5"/>
  </sheets>
  <definedNames>
    <definedName name="_xlnm._FilterDatabase" localSheetId="0" hidden="1">Round!$B$3:$E$15</definedName>
    <definedName name="Z_0458C18D_9EF5_4516_9145_CA54D8EB1865_.wvu.FilterData" localSheetId="0" hidden="1">Round!$B$3:$E$15</definedName>
    <definedName name="Z_08E755F8_82E9_4D95_862B_81F55FBDDDF6_.wvu.FilterData" localSheetId="0" hidden="1">Round!$B$3:$E$15</definedName>
    <definedName name="Z_0BF42E77_7016_4BE4_A5AB_A49974630D91_.wvu.FilterData" localSheetId="0" hidden="1">Round!$B$3:$E$15</definedName>
    <definedName name="Z_0E02FCC8_6440_4859_9F6B_C77617EF5D89_.wvu.FilterData" localSheetId="0" hidden="1">Round!$B$3:$E$15</definedName>
    <definedName name="Z_86D36E03_787A_41EB_85FF_8BB8A222055B_.wvu.FilterData" localSheetId="0" hidden="1">Round!$B$3:$E$15</definedName>
    <definedName name="Z_B19B24CB_B859_49E3_8AE0_2D671510EE4F_.wvu.FilterData" localSheetId="0" hidden="1">Round!$B$3:$E$15</definedName>
    <definedName name="Z_C453A932_6110_4A84_A9C2_26C809391387_.wvu.FilterData" localSheetId="0" hidden="1">Round!$B$3:$E$15</definedName>
    <definedName name="Z_D9413B31_FDB2_4AE8_80A8_7F09954E703C_.wvu.FilterData" localSheetId="0" hidden="1">Round!$B$3:$E$15</definedName>
    <definedName name="Z_DFE0B66A_2DCB_4802_A91B_F836707AD43C_.wvu.FilterData" localSheetId="0" hidden="1">Round!$B$3:$E$15</definedName>
    <definedName name="Z_EE811897_5BF5_4321_9879_5B7EDF90A350_.wvu.FilterData" localSheetId="0" hidden="1">Round!$B$3:$E$15</definedName>
    <definedName name="Z_FF03E81F_A9A8_4546_A9C3_77A6EEA02ED9_.wvu.FilterData" localSheetId="0" hidden="1">Round!$B$3:$E$15</definedName>
  </definedNames>
  <calcPr calcId="191028"/>
  <customWorkbookViews>
    <customWorkbookView name="if3" guid="{86D36E03-787A-41EB-85FF-8BB8A222055B}" maximized="1" xWindow="-8" yWindow="-8" windowWidth="1382" windowHeight="784" activeSheetId="36"/>
    <customWorkbookView name="if2" guid="{08E755F8-82E9-4D95-862B-81F55FBDDDF6}" maximized="1" xWindow="-8" yWindow="-8" windowWidth="1382" windowHeight="784" activeSheetId="36"/>
    <customWorkbookView name="if1" guid="{C453A932-6110-4A84-A9C2-26C809391387}" maximized="1" xWindow="-8" yWindow="-8" windowWidth="1382" windowHeight="784" activeSheetId="36"/>
    <customWorkbookView name="maxifs8" guid="{0BF42E77-7016-4BE4-A5AB-A49974630D91}" maximized="1" xWindow="-8" yWindow="-8" windowWidth="1382" windowHeight="784" activeSheetId="33"/>
    <customWorkbookView name="maxifs7" guid="{B19B24CB-B859-49E3-8AE0-2D671510EE4F}" maximized="1" xWindow="-8" yWindow="-8" windowWidth="1382" windowHeight="784" activeSheetId="33"/>
    <customWorkbookView name="maxifs6" guid="{D9413B31-FDB2-4AE8-80A8-7F09954E703C}" maximized="1" xWindow="-8" yWindow="-8" windowWidth="1382" windowHeight="784" activeSheetId="33"/>
    <customWorkbookView name="maxifs5" guid="{FF03E81F-A9A8-4546-A9C3-77A6EEA02ED9}" maximized="1" xWindow="-8" yWindow="-8" windowWidth="1382" windowHeight="784" activeSheetId="33"/>
    <customWorkbookView name="maxifs4" guid="{EE811897-5BF5-4321-9879-5B7EDF90A350}" maximized="1" xWindow="-8" yWindow="-8" windowWidth="1382" windowHeight="784" activeSheetId="33"/>
    <customWorkbookView name="maxifs3" guid="{0E02FCC8-6440-4859-9F6B-C77617EF5D89}" maximized="1" xWindow="-8" yWindow="-8" windowWidth="1382" windowHeight="784" activeSheetId="33"/>
    <customWorkbookView name="maxifs2" guid="{0458C18D-9EF5-4516-9145-CA54D8EB1865}" maximized="1" xWindow="-8" yWindow="-8" windowWidth="1382" windowHeight="784" activeSheetId="33"/>
    <customWorkbookView name="maxifs1" guid="{DFE0B66A-2DCB-4802-A91B-F836707AD43C}" maximized="1" xWindow="-8" yWindow="-8" windowWidth="1382" windowHeight="784" activeSheetId="33"/>
    <customWorkbookView name="concat" guid="{3511E245-32F9-4CFF-8540-6B03C6FAE218}" maximized="1" xWindow="-8" yWindow="-8" windowWidth="1382" windowHeight="784" activeSheetId="43"/>
    <customWorkbookView name="textjoin" guid="{CE50DC7E-3038-4337-BAC8-5B16EE1D95B0}" maximized="1" xWindow="-8" yWindow="-8" windowWidth="1382" windowHeight="784" activeSheetId="43"/>
    <customWorkbookView name="hardconcat" guid="{C908A6D6-4C77-416B-BC46-6F501B5F842F}" maximized="1" xWindow="-8" yWindow="-8" windowWidth="1382" windowHeight="784" activeSheetId="43"/>
    <customWorkbookView name="proper" guid="{C575B46A-1D4C-489C-97AE-5DAB6560E171}" maximized="1" xWindow="-8" yWindow="-8" windowWidth="1382" windowHeight="784" activeSheetId="42"/>
    <customWorkbookView name="lower" guid="{81DEBAD0-6E86-4DFB-8642-C52E8C976BDA}" maximized="1" xWindow="-8" yWindow="-8" windowWidth="1382" windowHeight="784" activeSheetId="42"/>
    <customWorkbookView name="upper" guid="{58306194-C83B-413E-AC5F-AD717216CB21}" maximized="1" xWindow="-8" yWindow="-8" windowWidth="1382" windowHeight="784" activeSheetId="42"/>
    <customWorkbookView name="mid" guid="{E4375DB4-4B74-46BC-A9F2-C5C5055B366F}" maximized="1" xWindow="-8" yWindow="-8" windowWidth="1382" windowHeight="784" activeSheetId="41"/>
    <customWorkbookView name="right" guid="{2CEDB1FB-2942-4B51-BF30-285DCDB05292}" maximized="1" xWindow="-8" yWindow="-8" windowWidth="1382" windowHeight="784" activeSheetId="41"/>
    <customWorkbookView name="left" guid="{DF16608F-40E8-490E-B08D-ED6EEAB8B9EC}" maximized="1" xWindow="-8" yWindow="-8" windowWidth="1382" windowHeight="784" activeSheetId="41"/>
    <customWorkbookView name="mround" guid="{2032DE14-E33D-44B5-9022-A2B48F059704}" maximized="1" xWindow="-8" yWindow="-8" windowWidth="1382" windowHeight="784" activeSheetId="40"/>
    <customWorkbookView name="rounddown" guid="{EE4A95A5-BF42-4BAA-B9EB-84A9230A28F9}" maximized="1" xWindow="-8" yWindow="-8" windowWidth="1382" windowHeight="784" activeSheetId="40"/>
    <customWorkbookView name="roundup" guid="{8BEA0E04-8B9A-4A2D-9B80-4E7685E22D5E}" maximized="1" xWindow="-8" yWindow="-8" windowWidth="1382" windowHeight="784" activeSheetId="40"/>
    <customWorkbookView name="ceiling" guid="{0125BE01-BBC8-4E5A-9A9A-3D1257916B8C}" maximized="1" xWindow="-8" yWindow="-8" windowWidth="1382" windowHeight="784" activeSheetId="35"/>
    <customWorkbookView name="floor" guid="{7A9AB605-DB82-470C-B86B-95E2AB3523F6}" maximized="1" xWindow="-8" yWindow="-8" windowWidth="1382" windowHeight="784" activeSheetId="35"/>
    <customWorkbookView name="minifs8" guid="{FC8D231F-57F9-45EE-9DEF-D7ED111600EB}" maximized="1" xWindow="-8" yWindow="-8" windowWidth="1382" windowHeight="784" activeSheetId="34"/>
    <customWorkbookView name="minifs7" guid="{395DC3D6-3299-4A43-88E2-62703FCC0349}" maximized="1" xWindow="-8" yWindow="-8" windowWidth="1382" windowHeight="784" activeSheetId="34"/>
    <customWorkbookView name="minifs6" guid="{5C8F4C13-387F-42D2-8CB5-92C4886D7919}" maximized="1" xWindow="-8" yWindow="-8" windowWidth="1382" windowHeight="784" activeSheetId="34"/>
    <customWorkbookView name="minifs5" guid="{8A25BF65-C908-4B2F-9805-3CD39BD4330E}" maximized="1" xWindow="-8" yWindow="-8" windowWidth="1382" windowHeight="784" activeSheetId="34"/>
    <customWorkbookView name="minifs4" guid="{F9A03991-7A83-41AE-B603-3D22265CDA22}" maximized="1" xWindow="-8" yWindow="-8" windowWidth="1382" windowHeight="784" activeSheetId="34"/>
    <customWorkbookView name="minifs3" guid="{FEB5A49F-F7F7-412A-BE72-F90F7A4799C8}" maximized="1" xWindow="-8" yWindow="-8" windowWidth="1382" windowHeight="784" activeSheetId="34"/>
    <customWorkbookView name="minifs2" guid="{F518ECB9-5D92-41E0-BFD2-C5175A02444D}" maximized="1" xWindow="-8" yWindow="-8" windowWidth="1382" windowHeight="784" activeSheetId="34"/>
    <customWorkbookView name="minifs1" guid="{BCAB4838-A37A-4BCF-A9C9-CC50C95F58C7}" maximized="1" xWindow="-8" yWindow="-8" windowWidth="1382" windowHeight="784" activeSheetId="34"/>
    <customWorkbookView name="countifs8" guid="{E1A67331-473F-4161-806C-BE35870C93B5}" maximized="1" xWindow="-8" yWindow="-8" windowWidth="1382" windowHeight="784" activeSheetId="31"/>
    <customWorkbookView name="countifs7" guid="{CC562453-1E6B-4010-9E1B-775397A26EFA}" maximized="1" xWindow="-8" yWindow="-8" windowWidth="1382" windowHeight="784" activeSheetId="31"/>
    <customWorkbookView name="countifs6" guid="{644A6A80-0D34-48F6-A071-17016DCD2D6E}" maximized="1" xWindow="-8" yWindow="-8" windowWidth="1382" windowHeight="784" activeSheetId="31"/>
    <customWorkbookView name="countifs5" guid="{C65059E8-30E8-488B-A0E9-1B7961920C81}" maximized="1" xWindow="-8" yWindow="-8" windowWidth="1382" windowHeight="784" activeSheetId="31"/>
    <customWorkbookView name="countifs4" guid="{95D39BA8-2B16-4954-ABAC-09AD33A86339}" maximized="1" xWindow="-8" yWindow="-8" windowWidth="1382" windowHeight="784" activeSheetId="31"/>
    <customWorkbookView name="countifs3" guid="{25A4A7C0-9593-456C-861C-76D101D3FE93}" maximized="1" xWindow="-8" yWindow="-8" windowWidth="1382" windowHeight="784" activeSheetId="31"/>
    <customWorkbookView name="countifs2" guid="{51BA8A3D-4711-49ED-89E2-EBC09DF2AEDC}" maximized="1" xWindow="-8" yWindow="-8" windowWidth="1382" windowHeight="784" activeSheetId="31"/>
    <customWorkbookView name="countifs1" guid="{629A478C-29B1-4F25-A016-63CE32A1627F}" maximized="1" xWindow="-8" yWindow="-8" windowWidth="1382" windowHeight="784" activeSheetId="31"/>
    <customWorkbookView name="averageifs8" guid="{F789A6E6-3D06-4D93-BF02-46FA1A2548B2}" maximized="1" xWindow="-8" yWindow="-8" windowWidth="1382" windowHeight="784" activeSheetId="32"/>
    <customWorkbookView name="averageifs7" guid="{15D7A002-B247-4A6B-A16B-61BDD9B0066A}" maximized="1" xWindow="-8" yWindow="-8" windowWidth="1382" windowHeight="784" activeSheetId="32"/>
    <customWorkbookView name="averageifs6" guid="{9AFCAA87-4888-4976-A7C9-C06A34CB6C97}" maximized="1" xWindow="-8" yWindow="-8" windowWidth="1382" windowHeight="784" activeSheetId="32"/>
    <customWorkbookView name="averageifs5" guid="{E4FF7DB9-14DF-49DB-9F59-1898DDED4DCE}" maximized="1" xWindow="-8" yWindow="-8" windowWidth="1382" windowHeight="784" activeSheetId="32"/>
    <customWorkbookView name="averageifs4" guid="{EC7537C6-1678-41C1-B788-EF4AFFECF769}" maximized="1" xWindow="-8" yWindow="-8" windowWidth="1382" windowHeight="784" activeSheetId="32"/>
    <customWorkbookView name="averageifs3" guid="{1920E7A3-1C9F-4320-81BB-D11544051025}" maximized="1" xWindow="-8" yWindow="-8" windowWidth="1382" windowHeight="784" activeSheetId="32"/>
    <customWorkbookView name="averageifs2" guid="{02D27969-4CD1-473E-A0E8-856AB0664DE8}" maximized="1" xWindow="-8" yWindow="-8" windowWidth="1382" windowHeight="784" activeSheetId="32"/>
    <customWorkbookView name="averageifs1" guid="{422703F6-63C4-435C-AFE7-1030286678F6}" maximized="1" xWindow="-8" yWindow="-8" windowWidth="1382" windowHeight="784" activeSheetId="32"/>
    <customWorkbookView name="sumifs8" guid="{F3CB97AD-592C-4B6E-8AE3-1CD47479060C}" maximized="1" xWindow="-8" yWindow="-8" windowWidth="1382" windowHeight="784" activeSheetId="25"/>
    <customWorkbookView name="sumifs7" guid="{19DA6E7F-8950-4769-9BBE-2798EFA465A3}" maximized="1" xWindow="-8" yWindow="-8" windowWidth="1382" windowHeight="784" activeSheetId="25"/>
    <customWorkbookView name="sumifs6" guid="{47C01131-7443-4080-A2BB-6B6AA35C6913}" maximized="1" xWindow="-8" yWindow="-8" windowWidth="1382" windowHeight="784" activeSheetId="25"/>
    <customWorkbookView name="sumifs5" guid="{C7330417-67A9-44CF-917F-5F5E2F191AD4}" maximized="1" xWindow="-8" yWindow="-8" windowWidth="1382" windowHeight="784" activeSheetId="25"/>
    <customWorkbookView name="sumifs4" guid="{EBA5E9C4-A2DB-4DF0-BF75-1243E968318E}" maximized="1" xWindow="-8" yWindow="-8" windowWidth="1382" windowHeight="784" activeSheetId="25"/>
    <customWorkbookView name="sumifs3" guid="{7A7FC9A5-F2B5-4894-82BC-4528575F10D4}" maximized="1" xWindow="-8" yWindow="-8" windowWidth="1382" windowHeight="784" activeSheetId="25"/>
    <customWorkbookView name="sumifs2" guid="{6194C141-D0A1-4D58-BA55-90A184525AC3}" maximized="1" xWindow="-8" yWindow="-8" windowWidth="1382" windowHeight="784" activeSheetId="25"/>
    <customWorkbookView name="sumifs1" guid="{A5292A6B-6F92-4AB3-B051-EF87F39FC489}" maximized="1" xWindow="-8" yWindow="-8" windowWidth="1382" windowHeight="784" activeSheetId="25"/>
    <customWorkbookView name="sumif1" guid="{C090DFAD-A23A-4678-87F2-095D84EBDDE8}" maximized="1" xWindow="-8" yWindow="-8" windowWidth="1382" windowHeight="744" activeSheetId="15"/>
    <customWorkbookView name="sumif2" guid="{4F11E31F-E14C-416D-BB97-C8CE74658FBE}" maximized="1" xWindow="-8" yWindow="-8" windowWidth="1382" windowHeight="744" activeSheetId="15"/>
    <customWorkbookView name="sumif3" guid="{F2A17A28-A3DF-492D-BAE9-AAEF2A13397B}" maximized="1" xWindow="-8" yWindow="-8" windowWidth="1382" windowHeight="744" activeSheetId="15"/>
    <customWorkbookView name="sumif4" guid="{8F332A92-7271-4FEC-B085-C15AA232FE21}" maximized="1" xWindow="-8" yWindow="-8" windowWidth="1382" windowHeight="744" activeSheetId="15"/>
    <customWorkbookView name="sumif5" guid="{6B1EB7F4-EF59-450E-A531-475C3A6E6150}" maximized="1" xWindow="-8" yWindow="-8" windowWidth="1382" windowHeight="744" activeSheetId="15"/>
    <customWorkbookView name="sumif6" guid="{8EBF087E-11C5-42EE-B564-FAEE72C86C17}" maximized="1" xWindow="-8" yWindow="-8" windowWidth="1382" windowHeight="744" activeSheetId="15"/>
    <customWorkbookView name="averageif1" guid="{F716839F-5448-40FC-95BC-286199FD6764}" maximized="1" xWindow="-8" yWindow="-8" windowWidth="1382" windowHeight="744" activeSheetId="23"/>
    <customWorkbookView name="averageif2" guid="{E712F22D-DF79-4936-B86B-186E637372BF}" maximized="1" xWindow="-8" yWindow="-8" windowWidth="1382" windowHeight="744" activeSheetId="23"/>
    <customWorkbookView name="averageif3" guid="{672B3D91-11D6-418C-A856-9FF74CE5E6FB}" maximized="1" xWindow="-8" yWindow="-8" windowWidth="1382" windowHeight="744" activeSheetId="23"/>
    <customWorkbookView name="averageif4" guid="{5B4753E1-B7DC-40C2-A28F-B07A6CB075FE}" maximized="1" xWindow="-8" yWindow="-8" windowWidth="1382" windowHeight="744" activeSheetId="23"/>
    <customWorkbookView name="averageif5" guid="{EF2006E2-DE9B-4938-AD6F-8255BE7D529F}" maximized="1" xWindow="-8" yWindow="-8" windowWidth="1382" windowHeight="744" activeSheetId="23"/>
    <customWorkbookView name="averageif6" guid="{0BFB30CE-F6D9-44B3-99BA-62858BF46600}" maximized="1" xWindow="-8" yWindow="-8" windowWidth="1382" windowHeight="744" activeSheetId="23"/>
    <customWorkbookView name="countif1" guid="{E3977DAC-58A9-43A5-A2CD-037AE84A3934}" maximized="1" xWindow="-8" yWindow="-8" windowWidth="1382" windowHeight="744" activeSheetId="24"/>
    <customWorkbookView name="countif2" guid="{E18774DE-EF27-4708-91D7-FE2A7EE4C992}" maximized="1" xWindow="-8" yWindow="-8" windowWidth="1382" windowHeight="744" activeSheetId="24"/>
    <customWorkbookView name="countif3" guid="{F102CDDA-1DB7-4BD5-8A8F-CD5640485596}" maximized="1" xWindow="-8" yWindow="-8" windowWidth="1382" windowHeight="744" activeSheetId="24"/>
    <customWorkbookView name="countif4" guid="{A3C7F73E-8288-4122-801A-9A426BB0DFB8}" maximized="1" xWindow="-8" yWindow="-8" windowWidth="1382" windowHeight="744" activeSheetId="24"/>
    <customWorkbookView name="countif5" guid="{C1FEC2CE-0AE0-4F12-8438-BD3D230D3830}" maximized="1" xWindow="-8" yWindow="-8" windowWidth="1382" windowHeight="744" activeSheetId="24"/>
    <customWorkbookView name="countif6" guid="{576A445C-3D9A-438D-AC68-B679E3D65634}" maximized="1" xWindow="-8" yWindow="-8" windowWidth="1382" windowHeight="744" activeSheetId="24"/>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35" l="1"/>
  <c r="F22" i="35"/>
  <c r="F23" i="35"/>
  <c r="F24" i="35"/>
  <c r="F25" i="35"/>
  <c r="F26" i="35"/>
  <c r="F27" i="35"/>
  <c r="F28" i="35"/>
  <c r="F20" i="35"/>
  <c r="F5" i="35"/>
  <c r="F6" i="35"/>
  <c r="F7" i="35"/>
  <c r="F8" i="35"/>
  <c r="F9" i="35"/>
  <c r="F10" i="35"/>
  <c r="F11" i="35"/>
  <c r="F12" i="35"/>
  <c r="F13" i="35"/>
  <c r="F28" i="41"/>
  <c r="F29" i="41"/>
  <c r="F30" i="41"/>
  <c r="F31" i="41"/>
  <c r="F32" i="41"/>
  <c r="F33" i="41"/>
  <c r="F34" i="41"/>
  <c r="F35" i="41"/>
  <c r="F27" i="41"/>
  <c r="N7" i="41"/>
  <c r="N8" i="41"/>
  <c r="N9" i="41"/>
  <c r="N10" i="41"/>
  <c r="N11" i="41"/>
  <c r="N12" i="41"/>
  <c r="N13" i="41"/>
  <c r="N14" i="41"/>
  <c r="N6" i="41"/>
  <c r="G6" i="41"/>
  <c r="G7" i="41"/>
  <c r="G8" i="41"/>
  <c r="G9" i="41"/>
  <c r="G10" i="41"/>
  <c r="G11" i="41"/>
  <c r="G12" i="41"/>
  <c r="G13" i="41"/>
  <c r="G14" i="41"/>
  <c r="F7" i="41"/>
  <c r="F8" i="41"/>
  <c r="F9" i="41"/>
  <c r="F10" i="41"/>
  <c r="F11" i="41"/>
  <c r="F12" i="41"/>
  <c r="F13" i="41"/>
  <c r="F14" i="41"/>
  <c r="F6" i="41"/>
  <c r="G21" i="40"/>
  <c r="G22" i="40"/>
  <c r="G23" i="40"/>
  <c r="G24" i="40"/>
  <c r="G25" i="40"/>
  <c r="G26" i="40"/>
  <c r="G27" i="40"/>
  <c r="G28" i="40"/>
  <c r="G20" i="40"/>
  <c r="F21" i="40"/>
  <c r="F22" i="40"/>
  <c r="F23" i="40"/>
  <c r="F24" i="40"/>
  <c r="F25" i="40"/>
  <c r="F26" i="40"/>
  <c r="F27" i="40"/>
  <c r="F28" i="40"/>
  <c r="F20" i="40"/>
  <c r="N21" i="15"/>
  <c r="N22" i="15"/>
  <c r="N23" i="15"/>
  <c r="N24" i="15"/>
  <c r="N25" i="15"/>
  <c r="N26" i="15"/>
  <c r="N27" i="15"/>
  <c r="N28" i="15"/>
  <c r="N29" i="15"/>
  <c r="N30" i="15"/>
  <c r="N31" i="15"/>
  <c r="N20" i="15"/>
  <c r="P6" i="40"/>
  <c r="P7" i="40"/>
  <c r="P8" i="40"/>
  <c r="P9" i="40"/>
  <c r="P10" i="40"/>
  <c r="P11" i="40"/>
  <c r="P12" i="40"/>
  <c r="P13" i="40"/>
  <c r="P5" i="40"/>
  <c r="O5" i="40"/>
  <c r="O6" i="40"/>
  <c r="O7" i="40"/>
  <c r="O8" i="40"/>
  <c r="O9" i="40"/>
  <c r="O10" i="40"/>
  <c r="O11" i="40"/>
  <c r="O12" i="40"/>
  <c r="O13" i="40"/>
  <c r="G6" i="40"/>
  <c r="G7" i="40"/>
  <c r="G8" i="40"/>
  <c r="G9" i="40"/>
  <c r="G10" i="40"/>
  <c r="G11" i="40"/>
  <c r="G12" i="40"/>
  <c r="G13" i="40"/>
  <c r="G5" i="40"/>
  <c r="F6" i="40"/>
  <c r="F7" i="40"/>
  <c r="F8" i="40"/>
  <c r="F9" i="40"/>
  <c r="F10" i="40"/>
  <c r="F11" i="40"/>
  <c r="F12" i="40"/>
  <c r="F13" i="40"/>
  <c r="F5" i="40"/>
  <c r="F21" i="15"/>
  <c r="F22" i="15"/>
  <c r="F23" i="15"/>
  <c r="F24" i="15"/>
  <c r="F25" i="15"/>
  <c r="F26" i="15"/>
  <c r="F27" i="15"/>
  <c r="F28" i="15"/>
  <c r="F29" i="15"/>
  <c r="F30" i="15"/>
  <c r="F31" i="15"/>
  <c r="F20" i="15"/>
  <c r="F5" i="15"/>
  <c r="F6" i="15"/>
  <c r="F7" i="15"/>
  <c r="F8" i="15"/>
  <c r="F9" i="15"/>
  <c r="F10" i="15"/>
  <c r="F11" i="15"/>
  <c r="F12" i="15"/>
  <c r="F13" i="15"/>
  <c r="F14" i="15"/>
  <c r="F15" i="15"/>
  <c r="F4" i="15"/>
  <c r="G2" i="1" a="1"/>
  <c r="G2" i="1" s="1"/>
  <c r="G3" i="1" a="1"/>
  <c r="G3" i="1" s="1"/>
  <c r="G4" i="1" a="1"/>
  <c r="G4" i="1"/>
  <c r="G5" i="1" a="1"/>
  <c r="G5" i="1" s="1"/>
  <c r="G6" i="1" a="1"/>
  <c r="G6" i="1" s="1"/>
  <c r="G7" i="1" a="1"/>
  <c r="G7" i="1" s="1"/>
  <c r="G8" i="1" a="1"/>
  <c r="G8" i="1"/>
  <c r="G9" i="1" a="1"/>
  <c r="G9" i="1" s="1"/>
  <c r="G10" i="1" a="1"/>
  <c r="G10" i="1" s="1"/>
  <c r="G11" i="1" a="1"/>
  <c r="G11" i="1" s="1"/>
  <c r="G12" i="1" a="1"/>
  <c r="G12" i="1"/>
  <c r="G13" i="1" a="1"/>
  <c r="G13" i="1" s="1"/>
  <c r="G14" i="1" a="1"/>
  <c r="G14" i="1" s="1"/>
  <c r="G15" i="1" a="1"/>
  <c r="G15" i="1" s="1"/>
  <c r="G16" i="1" a="1"/>
  <c r="G16" i="1" s="1"/>
  <c r="M23" i="15" l="1"/>
  <c r="M7" i="15" l="1"/>
  <c r="H3" i="1"/>
  <c r="H4" i="1"/>
  <c r="H5" i="1"/>
  <c r="H6" i="1"/>
  <c r="H7" i="1"/>
  <c r="H8" i="1"/>
  <c r="H9" i="1"/>
  <c r="H10" i="1"/>
  <c r="H11" i="1"/>
  <c r="H12" i="1"/>
  <c r="H13" i="1"/>
  <c r="H14" i="1"/>
  <c r="H15" i="1"/>
  <c r="H16" i="1"/>
  <c r="H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<sst xmlns="http://schemas.openxmlformats.org/spreadsheetml/2006/main" count="268" uniqueCount="78">
  <si>
    <t>Fruit Name</t>
  </si>
  <si>
    <t>Price</t>
  </si>
  <si>
    <t>Vendor</t>
  </si>
  <si>
    <t xml:space="preserve"> Month</t>
  </si>
  <si>
    <t>Rounded Price</t>
  </si>
  <si>
    <t>advanced rounding fucntions which  also falls into family of statistical function.</t>
  </si>
  <si>
    <t>Apple</t>
  </si>
  <si>
    <t>Amazon</t>
  </si>
  <si>
    <t>Jan</t>
  </si>
  <si>
    <t>Orange</t>
  </si>
  <si>
    <t>BigBasket</t>
  </si>
  <si>
    <t>Feb</t>
  </si>
  <si>
    <t>Kiwi</t>
  </si>
  <si>
    <t>Walmart</t>
  </si>
  <si>
    <t>Mar</t>
  </si>
  <si>
    <t>Pineapple</t>
  </si>
  <si>
    <t>Lyft</t>
  </si>
  <si>
    <t>Make the Price as Whole number. Without any decimals</t>
  </si>
  <si>
    <t>Grapes</t>
  </si>
  <si>
    <t>DoorDash</t>
  </si>
  <si>
    <t>Banana</t>
  </si>
  <si>
    <t>Google</t>
  </si>
  <si>
    <t>Month</t>
  </si>
  <si>
    <t>Round the Price to 1 decimal only</t>
  </si>
  <si>
    <t>Dress Type</t>
  </si>
  <si>
    <t>Dress Size</t>
  </si>
  <si>
    <t>Actual Price</t>
  </si>
  <si>
    <t>Nearest Higher 10 value</t>
  </si>
  <si>
    <t>we can also make it go to the nearest 10 value</t>
  </si>
  <si>
    <t>Shirt</t>
  </si>
  <si>
    <t>S</t>
  </si>
  <si>
    <t>Pants</t>
  </si>
  <si>
    <t>M</t>
  </si>
  <si>
    <t>Round the value of the price to the nearest higher value in order of 10</t>
  </si>
  <si>
    <t>L</t>
  </si>
  <si>
    <t>similarly as we keep on increasing the negative value it would go to the nearest order of 10.</t>
  </si>
  <si>
    <t>Round Down Value</t>
  </si>
  <si>
    <t>Round the value of the price to the nearest lower  &amp; Higher value.</t>
  </si>
  <si>
    <t>Inflation Adjusted Price</t>
  </si>
  <si>
    <t>what if value is 787.859 so mround gave 840 with 120 as multiple value how?
ChatGPT said:
ChatGPT
Let’s break down how MROUND(787.859, 120) results in 840:
Number: 787.859
Multiple: 120
How MROUND Works:
The MROUND function rounds to the nearest multiple of 120. It does this by finding the multiples of 120 that are closest to the number (787.859 in this case) and then choosing the one that is nearer.
The multiples of 120 around 787.859 are:
720 (120 × 6)
840 (120 × 7)
Now, Excel checks which of these multiples (720 or 840) is closer to 787.859:
Distance from 720:
787.859
−
720
=
67.859
787.859−720=67.859
Distance from 840:
840
−
787.859
=
52.141
840−787.859=52.141
Since 840 is closer to 787.859 than 720 (52.141 is less than 67.859), MROUND rounds up to 840.
Key Concept:
MROUND rounds to whichever multiple is closer. If the number is equally distant between two multiples, it rounds up.
Does this clarify things? Let me know if you'd like more examples!</t>
  </si>
  <si>
    <t>Round the value of the price to the nearest multiple values of 50</t>
  </si>
  <si>
    <t>Market Price</t>
  </si>
  <si>
    <t>Round the value of the price to the nearest multiple values of 5</t>
  </si>
  <si>
    <t>Profit Corrected Price</t>
  </si>
  <si>
    <t>ceiling is mround but it considers the higher difference betweent the nearest multiple of the multiple value mentioned and the number in the cell.</t>
  </si>
  <si>
    <t>this means that it rounds up to the nearest multiple value to the value in cell but only the ones greater than the value in cell but mround checks if the multiple value is closer to the value in cell and whichever is closer is its answer, be it that the value is lesser than the value in the cell.</t>
  </si>
  <si>
    <t>Find the nearest higher value that is a multiple of 50</t>
  </si>
  <si>
    <t>Using 741 with a multiple of 120:
MROUND(741, 120) → 720 (because 720 is closer than 840)
CEILING(741, 120) → 840 (always rounds up)</t>
  </si>
  <si>
    <t>Nearest Lower 50 value</t>
  </si>
  <si>
    <t>Using 741 with a multiple of 120:
MROUND(741, 120) → 720 (because 720 is closer than 840)
CEILING(741, 120) → 840 (always rounds up)
FLOOR(741, 120) → 720 (always rounds down to the lower multiple)</t>
  </si>
  <si>
    <t>Find the nearest lower value that is a multiple of 25</t>
  </si>
  <si>
    <t>Rank</t>
  </si>
  <si>
    <t>Name</t>
  </si>
  <si>
    <t>Net Worth (B)</t>
  </si>
  <si>
    <t>LastChange</t>
  </si>
  <si>
    <t>YTDChange</t>
  </si>
  <si>
    <t>Country</t>
  </si>
  <si>
    <t>Change Type</t>
  </si>
  <si>
    <t xml:space="preserve">Elon Musk </t>
  </si>
  <si>
    <t>UnitedStates</t>
  </si>
  <si>
    <t xml:space="preserve">Jeff Bezos </t>
  </si>
  <si>
    <t xml:space="preserve">Bernard Arnault </t>
  </si>
  <si>
    <t>France</t>
  </si>
  <si>
    <t xml:space="preserve">Bill Gates </t>
  </si>
  <si>
    <t xml:space="preserve">Larry Page </t>
  </si>
  <si>
    <t xml:space="preserve">Sergey Brin </t>
  </si>
  <si>
    <r>
      <rPr>
        <b/>
        <sz val="12"/>
        <rFont val="Calibri"/>
        <family val="2"/>
        <scheme val="minor"/>
      </rPr>
      <t xml:space="preserve">Logic1: 
</t>
    </r>
    <r>
      <rPr>
        <sz val="12"/>
        <rFont val="Calibri"/>
        <family val="2"/>
        <scheme val="minor"/>
      </rPr>
      <t xml:space="preserve">If the networth is Less then 100, then get an output as "Multi Billionaire"
</t>
    </r>
    <r>
      <rPr>
        <b/>
        <sz val="12"/>
        <rFont val="Calibri"/>
        <family val="2"/>
        <scheme val="minor"/>
      </rPr>
      <t xml:space="preserve">Logic 2:
</t>
    </r>
    <r>
      <rPr>
        <sz val="12"/>
        <rFont val="Calibri"/>
        <family val="2"/>
        <scheme val="minor"/>
      </rPr>
      <t>If the networth is over 100, then get an output as "Centi Billionaire"</t>
    </r>
  </si>
  <si>
    <t xml:space="preserve">Mark Zuckerberg </t>
  </si>
  <si>
    <t xml:space="preserve">Steve Ballmer </t>
  </si>
  <si>
    <t xml:space="preserve">Larry Ellison </t>
  </si>
  <si>
    <t xml:space="preserve">Warren Buffett </t>
  </si>
  <si>
    <t xml:space="preserve">Mukesh Ambani </t>
  </si>
  <si>
    <t>India</t>
  </si>
  <si>
    <t>Francoise Bettencourt</t>
  </si>
  <si>
    <t xml:space="preserve">Gautam Adani </t>
  </si>
  <si>
    <t xml:space="preserve">Amancio Ortega </t>
  </si>
  <si>
    <t>Spain</t>
  </si>
  <si>
    <t xml:space="preserve">Jim Walton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</si>
</sst>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2"/>
      <color theme="1"/>
      <name val="Calibri"/>
      <family val="2"/>
      <scheme val="minor"/>
    </font>
    <font>
      <sz val="12"/>
      <color theme="1" tint="0.249977111117893"/>
      <name val="Calibri"/>
      <family val="2"/>
      <scheme val="minor"/>
    </font>
    <font>
      <b/>
      <sz val="12"/>
      <color theme="0"/>
      <name val="Calibri"/>
      <family val="2"/>
      <scheme val="minor"/>
    </font>
    <font>
      <sz val="12"/>
      <color theme="0"/>
      <name val="Calibri"/>
      <family val="2"/>
      <scheme val="minor"/>
    </font>
    <font>
      <sz val="12"/>
      <name val="Calibri"/>
      <family val="2"/>
      <scheme val="minor"/>
    </font>
    <font>
      <b/>
      <sz val="12"/>
      <name val="Calibri"/>
      <family val="2"/>
      <scheme val="minor"/>
    </font>
    <font>
      <sz val="14"/>
      <color theme="1"/>
      <name val="Calibri"/>
      <family val="2"/>
      <scheme val="minor"/>
    </font>
    <font>
      <sz val="14"/>
      <color rgb="FF595959"/>
      <name val="Calibri"/>
      <family val="2"/>
    </font>
    <font>
      <sz val="14"/>
      <color theme="0"/>
      <name val="Calibri"/>
      <family val="2"/>
      <scheme val="minor"/>
    </font>
    <font>
      <b/>
      <sz val="12"/>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50"/>
        <bgColor indexed="64"/>
      </patternFill>
    </fill>
    <fill>
      <patternFill patternType="solid">
        <fgColor rgb="FF66FF99"/>
        <bgColor indexed="64"/>
      </patternFill>
    </fill>
    <fill>
      <patternFill patternType="solid">
        <fgColor theme="6" tint="0.59999389629810485"/>
        <bgColor indexed="64"/>
      </patternFill>
    </fill>
    <fill>
      <patternFill patternType="solid">
        <fgColor rgb="FFFCF492"/>
        <bgColor indexed="64"/>
      </patternFill>
    </fill>
  </fills>
  <borders count="2">
    <border>
      <left/>
      <right/>
      <top/>
      <bottom/>
      <diagonal/>
    </border>
    <border>
      <left style="thin">
        <color rgb="FFBDFFD5"/>
      </left>
      <right style="thin">
        <color rgb="FFBDFFD5"/>
      </right>
      <top style="thin">
        <color rgb="FFBDFFD5"/>
      </top>
      <bottom style="thin">
        <color rgb="FFBDFFD5"/>
      </bottom>
      <diagonal/>
    </border>
  </borders>
  <cellStyleXfs count="1">
    <xf numFmtId="0" fontId="0" fillId="0" borderId="0"/>
  </cellStyleXfs>
  <cellXfs count="17">
    <xf numFmtId="0" fontId="0" fillId="0" borderId="0" xfId="0"/>
    <xf numFmtId="0" fontId="1" fillId="0" borderId="0" xfId="0" applyFont="1"/>
    <xf numFmtId="0" fontId="4" fillId="0" borderId="0" xfId="0" applyFont="1"/>
    <xf numFmtId="0" fontId="1" fillId="4" borderId="0" xfId="0" applyFont="1" applyFill="1" applyAlignment="1">
      <alignment horizontal="center"/>
    </xf>
    <xf numFmtId="0" fontId="3" fillId="3" borderId="0" xfId="0" applyFont="1" applyFill="1" applyAlignment="1">
      <alignment horizontal="center"/>
    </xf>
    <xf numFmtId="0" fontId="2" fillId="0" borderId="0" xfId="0" applyFont="1" applyAlignment="1">
      <alignment horizontal="center"/>
    </xf>
    <xf numFmtId="0" fontId="1" fillId="0" borderId="0" xfId="0" applyFont="1" applyAlignment="1">
      <alignment horizontal="center"/>
    </xf>
    <xf numFmtId="0" fontId="7" fillId="0" borderId="0" xfId="0" applyFont="1"/>
    <xf numFmtId="0" fontId="8" fillId="0" borderId="1" xfId="0" applyFont="1" applyBorder="1" applyAlignment="1">
      <alignment horizontal="center" vertical="center" readingOrder="1"/>
    </xf>
    <xf numFmtId="0" fontId="7" fillId="5" borderId="0" xfId="0" applyFont="1" applyFill="1" applyAlignment="1">
      <alignment horizontal="center"/>
    </xf>
    <xf numFmtId="0" fontId="9" fillId="0" borderId="0" xfId="0" applyFont="1" applyAlignment="1">
      <alignment horizontal="center" vertical="center"/>
    </xf>
    <xf numFmtId="0" fontId="8" fillId="0" borderId="0" xfId="0" applyFont="1" applyAlignment="1">
      <alignment horizontal="center" vertical="center" readingOrder="1"/>
    </xf>
    <xf numFmtId="0" fontId="0" fillId="0" borderId="0" xfId="0" applyAlignment="1"/>
    <xf numFmtId="0" fontId="10" fillId="6" borderId="0" xfId="0" applyFont="1" applyFill="1" applyAlignment="1">
      <alignment horizontal="center" vertical="center" wrapText="1"/>
    </xf>
    <xf numFmtId="0" fontId="11" fillId="6" borderId="0" xfId="0" applyFont="1" applyFill="1" applyAlignment="1">
      <alignment horizontal="center" vertical="center" wrapText="1"/>
    </xf>
    <xf numFmtId="0" fontId="10" fillId="6" borderId="0" xfId="0" applyFont="1" applyFill="1" applyAlignment="1">
      <alignment horizontal="left" vertical="center" wrapText="1"/>
    </xf>
    <xf numFmtId="0" fontId="5" fillId="2" borderId="0" xfId="0" applyFont="1" applyFill="1" applyAlignment="1">
      <alignment horizontal="center" vertical="center" wrapText="1"/>
    </xf>
  </cellXfs>
  <cellStyles count="1">
    <cellStyle name="Normal" xfId="0" builtinId="0"/>
  </cellStyles>
  <dxfs count="1">
    <dxf>
      <font>
        <b/>
        <i val="0"/>
        <color theme="0"/>
      </font>
      <fill>
        <patternFill>
          <bgColor rgb="FF00B050"/>
        </patternFill>
      </fill>
    </dxf>
  </dxfs>
  <tableStyles count="0" defaultTableStyle="TableStyleMedium2" defaultPivotStyle="PivotStyleLight16"/>
  <colors>
    <mruColors>
      <color rgb="FF66FF99"/>
      <color rgb="FFCCFFCC"/>
      <color rgb="FFFFB48F"/>
      <color rgb="FFFCF492"/>
      <color rgb="FFFF97B7"/>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hyperlink" Target="#Round!F4"/><Relationship Id="rId2" Type="http://schemas.openxmlformats.org/officeDocument/2006/relationships/hyperlink" Target="#'RUP, RDown &amp; MRound'!A1"/><Relationship Id="rId1" Type="http://schemas.openxmlformats.org/officeDocument/2006/relationships/hyperlink" Target="#Round!A32"/></Relationships>
</file>

<file path=xl/drawings/_rels/drawing2.xml.rels><?xml version="1.0" encoding="UTF-8" standalone="yes"?>
<Relationships xmlns="http://schemas.openxmlformats.org/package/2006/relationships"><Relationship Id="rId3" Type="http://schemas.openxmlformats.org/officeDocument/2006/relationships/hyperlink" Target="#MRound!A1"/><Relationship Id="rId2" Type="http://schemas.openxmlformats.org/officeDocument/2006/relationships/hyperlink" Target="#'RUP, RDown &amp; MRound'!A32"/><Relationship Id="rId1" Type="http://schemas.openxmlformats.org/officeDocument/2006/relationships/hyperlink" Target="#'RUP, RDown &amp; MRound'!F5"/></Relationships>
</file>

<file path=xl/drawings/_rels/drawing3.xml.rels><?xml version="1.0" encoding="UTF-8" standalone="yes"?>
<Relationships xmlns="http://schemas.openxmlformats.org/package/2006/relationships"><Relationship Id="rId3" Type="http://schemas.openxmlformats.org/officeDocument/2006/relationships/hyperlink" Target="#'Floor &amp; Ceiling'!A1"/><Relationship Id="rId2" Type="http://schemas.openxmlformats.org/officeDocument/2006/relationships/hyperlink" Target="#MRound!A38"/><Relationship Id="rId1" Type="http://schemas.openxmlformats.org/officeDocument/2006/relationships/hyperlink" Target="#'RUP, RDown &amp; MRound'!F5"/></Relationships>
</file>

<file path=xl/drawings/_rels/drawing4.xml.rels><?xml version="1.0" encoding="UTF-8" standalone="yes"?>
<Relationships xmlns="http://schemas.openxmlformats.org/package/2006/relationships"><Relationship Id="rId2" Type="http://schemas.openxmlformats.org/officeDocument/2006/relationships/hyperlink" Target="#Round!A1"/><Relationship Id="rId1" Type="http://schemas.openxmlformats.org/officeDocument/2006/relationships/hyperlink" Target="#'Floor &amp; Ceiling'!A32"/></Relationships>
</file>

<file path=xl/drawings/drawing1.xml><?xml version="1.0" encoding="utf-8"?>
<xdr:wsDr xmlns:xdr="http://schemas.openxmlformats.org/drawingml/2006/spreadsheetDrawing" xmlns:a="http://schemas.openxmlformats.org/drawingml/2006/main">
  <xdr:twoCellAnchor>
    <xdr:from>
      <xdr:col>8</xdr:col>
      <xdr:colOff>920750</xdr:colOff>
      <xdr:row>13</xdr:row>
      <xdr:rowOff>15877</xdr:rowOff>
    </xdr:from>
    <xdr:to>
      <xdr:col>9</xdr:col>
      <xdr:colOff>1039812</xdr:colOff>
      <xdr:row>14</xdr:row>
      <xdr:rowOff>142877</xdr:rowOff>
    </xdr:to>
    <xdr:sp macro="[0]!Sheet1.sumif2" textlink="">
      <xdr:nvSpPr>
        <xdr:cNvPr id="2" name="Rectangle: Rounded Corners 1">
          <a:hlinkClick xmlns:r="http://schemas.openxmlformats.org/officeDocument/2006/relationships" r:id="rId1"/>
          <a:extLst>
            <a:ext uri="{FF2B5EF4-FFF2-40B4-BE49-F238E27FC236}">
              <a16:creationId xmlns:a16="http://schemas.microsoft.com/office/drawing/2014/main" id="{0589C8A1-CB53-4874-A90B-2D7E8C71AA0B}"/>
            </a:ext>
          </a:extLst>
        </xdr:cNvPr>
        <xdr:cNvSpPr/>
      </xdr:nvSpPr>
      <xdr:spPr>
        <a:xfrm>
          <a:off x="7493000" y="3143252"/>
          <a:ext cx="1135062" cy="365125"/>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Go to Next Example</a:t>
          </a:r>
        </a:p>
      </xdr:txBody>
    </xdr:sp>
    <xdr:clientData/>
  </xdr:twoCellAnchor>
  <xdr:twoCellAnchor>
    <xdr:from>
      <xdr:col>9</xdr:col>
      <xdr:colOff>404813</xdr:colOff>
      <xdr:row>30</xdr:row>
      <xdr:rowOff>31749</xdr:rowOff>
    </xdr:from>
    <xdr:to>
      <xdr:col>11</xdr:col>
      <xdr:colOff>484188</xdr:colOff>
      <xdr:row>32</xdr:row>
      <xdr:rowOff>103188</xdr:rowOff>
    </xdr:to>
    <xdr:sp macro="[0]!Sheet4.averageif1" textlink="">
      <xdr:nvSpPr>
        <xdr:cNvPr id="9" name="Rectangle: Rounded Corners 8">
          <a:hlinkClick xmlns:r="http://schemas.openxmlformats.org/officeDocument/2006/relationships" r:id="rId2"/>
          <a:extLst>
            <a:ext uri="{FF2B5EF4-FFF2-40B4-BE49-F238E27FC236}">
              <a16:creationId xmlns:a16="http://schemas.microsoft.com/office/drawing/2014/main" id="{A2F22DC1-49C5-4F6B-A76F-FDF9F2051E24}"/>
            </a:ext>
          </a:extLst>
        </xdr:cNvPr>
        <xdr:cNvSpPr/>
      </xdr:nvSpPr>
      <xdr:spPr>
        <a:xfrm>
          <a:off x="7993063" y="7207249"/>
          <a:ext cx="1944688" cy="547689"/>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Go to Other round</a:t>
          </a:r>
          <a:r>
            <a:rPr lang="en-IN" sz="1000" b="1" baseline="0"/>
            <a:t> </a:t>
          </a:r>
          <a:r>
            <a:rPr lang="en-US" sz="1000" b="1" baseline="0"/>
            <a:t>Functions</a:t>
          </a:r>
          <a:endParaRPr lang="en-IN" sz="1000" b="1"/>
        </a:p>
      </xdr:txBody>
    </xdr:sp>
    <xdr:clientData/>
  </xdr:twoCellAnchor>
  <xdr:twoCellAnchor>
    <xdr:from>
      <xdr:col>0</xdr:col>
      <xdr:colOff>55563</xdr:colOff>
      <xdr:row>0</xdr:row>
      <xdr:rowOff>23813</xdr:rowOff>
    </xdr:from>
    <xdr:to>
      <xdr:col>1</xdr:col>
      <xdr:colOff>341312</xdr:colOff>
      <xdr:row>1</xdr:row>
      <xdr:rowOff>0</xdr:rowOff>
    </xdr:to>
    <xdr:sp macro="[0]!Sheet1.sumif1" textlink="">
      <xdr:nvSpPr>
        <xdr:cNvPr id="5" name="Rectangle: Rounded Corners 4">
          <a:hlinkClick xmlns:r="http://schemas.openxmlformats.org/officeDocument/2006/relationships" r:id="rId3"/>
          <a:extLst>
            <a:ext uri="{FF2B5EF4-FFF2-40B4-BE49-F238E27FC236}">
              <a16:creationId xmlns:a16="http://schemas.microsoft.com/office/drawing/2014/main" id="{48629397-75F8-49D2-9288-67A71F592CE2}"/>
            </a:ext>
          </a:extLst>
        </xdr:cNvPr>
        <xdr:cNvSpPr/>
      </xdr:nvSpPr>
      <xdr:spPr>
        <a:xfrm>
          <a:off x="55563" y="23813"/>
          <a:ext cx="865187" cy="230187"/>
        </a:xfrm>
        <a:prstGeom prst="roundRect">
          <a:avLst>
            <a:gd name="adj" fmla="val 50000"/>
          </a:avLst>
        </a:prstGeom>
        <a:solidFill>
          <a:srgbClr val="FFB4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Start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125157</xdr:colOff>
      <xdr:row>1</xdr:row>
      <xdr:rowOff>24888</xdr:rowOff>
    </xdr:to>
    <xdr:sp macro="[0]!Sheet20.roundup" textlink="">
      <xdr:nvSpPr>
        <xdr:cNvPr id="2" name="Graphic 7" descr="Play">
          <a:hlinkClick xmlns:r="http://schemas.openxmlformats.org/officeDocument/2006/relationships" r:id="rId1"/>
          <a:extLst>
            <a:ext uri="{FF2B5EF4-FFF2-40B4-BE49-F238E27FC236}">
              <a16:creationId xmlns:a16="http://schemas.microsoft.com/office/drawing/2014/main" id="{8B2083A4-0529-433D-83C9-66451127BA09}"/>
            </a:ext>
          </a:extLst>
        </xdr:cNvPr>
        <xdr:cNvSpPr/>
      </xdr:nvSpPr>
      <xdr:spPr>
        <a:xfrm>
          <a:off x="0" y="0"/>
          <a:ext cx="736345" cy="215388"/>
        </a:xfrm>
        <a:prstGeom prst="roundRect">
          <a:avLst>
            <a:gd name="adj" fmla="val 50000"/>
          </a:avLst>
        </a:prstGeom>
        <a:solidFill>
          <a:srgbClr val="FFB48F"/>
        </a:solidFill>
        <a:ln w="2480" cap="flat">
          <a:noFill/>
          <a:prstDash val="solid"/>
          <a:miter/>
        </a:ln>
      </xdr:spPr>
      <xdr:txBody>
        <a:bodyPr rtlCol="0" anchor="ctr"/>
        <a:lstStyle/>
        <a:p>
          <a:pPr algn="ctr"/>
          <a:r>
            <a:rPr lang="en-IN"/>
            <a:t>Start</a:t>
          </a:r>
        </a:p>
      </xdr:txBody>
    </xdr:sp>
    <xdr:clientData/>
  </xdr:twoCellAnchor>
  <xdr:twoCellAnchor>
    <xdr:from>
      <xdr:col>11</xdr:col>
      <xdr:colOff>0</xdr:colOff>
      <xdr:row>12</xdr:row>
      <xdr:rowOff>0</xdr:rowOff>
    </xdr:from>
    <xdr:to>
      <xdr:col>12</xdr:col>
      <xdr:colOff>357186</xdr:colOff>
      <xdr:row>12</xdr:row>
      <xdr:rowOff>222252</xdr:rowOff>
    </xdr:to>
    <xdr:sp macro="[0]!Sheet20.rounddown" textlink="">
      <xdr:nvSpPr>
        <xdr:cNvPr id="3" name="Rectangle: Rounded Corners 2">
          <a:hlinkClick xmlns:r="http://schemas.openxmlformats.org/officeDocument/2006/relationships" r:id="rId2"/>
          <a:extLst>
            <a:ext uri="{FF2B5EF4-FFF2-40B4-BE49-F238E27FC236}">
              <a16:creationId xmlns:a16="http://schemas.microsoft.com/office/drawing/2014/main" id="{89AA1716-5766-4026-8E2B-ADC01CAF2A96}"/>
            </a:ext>
          </a:extLst>
        </xdr:cNvPr>
        <xdr:cNvSpPr/>
      </xdr:nvSpPr>
      <xdr:spPr>
        <a:xfrm>
          <a:off x="8223250" y="2714625"/>
          <a:ext cx="968374" cy="222252"/>
        </a:xfrm>
        <a:prstGeom prst="roundRect">
          <a:avLst>
            <a:gd name="adj" fmla="val 5000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Go to Next</a:t>
          </a:r>
        </a:p>
      </xdr:txBody>
    </xdr:sp>
    <xdr:clientData/>
  </xdr:twoCellAnchor>
  <xdr:twoCellAnchor>
    <xdr:from>
      <xdr:col>11</xdr:col>
      <xdr:colOff>0</xdr:colOff>
      <xdr:row>27</xdr:row>
      <xdr:rowOff>0</xdr:rowOff>
    </xdr:from>
    <xdr:to>
      <xdr:col>12</xdr:col>
      <xdr:colOff>357186</xdr:colOff>
      <xdr:row>27</xdr:row>
      <xdr:rowOff>222252</xdr:rowOff>
    </xdr:to>
    <xdr:sp macro="[0]!Sheet20.mround" textlink="">
      <xdr:nvSpPr>
        <xdr:cNvPr id="4" name="Rectangle: Rounded Corners 3">
          <a:hlinkClick xmlns:r="http://schemas.openxmlformats.org/officeDocument/2006/relationships" r:id="rId3"/>
          <a:extLst>
            <a:ext uri="{FF2B5EF4-FFF2-40B4-BE49-F238E27FC236}">
              <a16:creationId xmlns:a16="http://schemas.microsoft.com/office/drawing/2014/main" id="{C1D395DE-36DD-4F73-AA1C-9005363C0DED}"/>
            </a:ext>
          </a:extLst>
        </xdr:cNvPr>
        <xdr:cNvSpPr/>
      </xdr:nvSpPr>
      <xdr:spPr>
        <a:xfrm>
          <a:off x="8223250" y="6048375"/>
          <a:ext cx="968374" cy="222252"/>
        </a:xfrm>
        <a:prstGeom prst="roundRect">
          <a:avLst>
            <a:gd name="adj" fmla="val 5000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Go to </a:t>
          </a:r>
          <a:r>
            <a:rPr lang="en-IN" sz="1100" b="1">
              <a:solidFill>
                <a:schemeClr val="lt1"/>
              </a:solidFill>
              <a:effectLst/>
              <a:latin typeface="+mn-lt"/>
              <a:ea typeface="+mn-ea"/>
              <a:cs typeface="+mn-cs"/>
            </a:rPr>
            <a:t>Next</a:t>
          </a:r>
          <a:endParaRPr lang="en-IN" sz="10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125157</xdr:colOff>
      <xdr:row>1</xdr:row>
      <xdr:rowOff>24888</xdr:rowOff>
    </xdr:to>
    <xdr:sp macro="[0]!Sheet20.roundup" textlink="">
      <xdr:nvSpPr>
        <xdr:cNvPr id="2" name="Graphic 7" descr="Play">
          <a:hlinkClick xmlns:r="http://schemas.openxmlformats.org/officeDocument/2006/relationships" r:id="rId1"/>
          <a:extLst>
            <a:ext uri="{FF2B5EF4-FFF2-40B4-BE49-F238E27FC236}">
              <a16:creationId xmlns:a16="http://schemas.microsoft.com/office/drawing/2014/main" id="{F1B3CE20-B73C-4C7C-93CA-1D070C14F058}"/>
            </a:ext>
          </a:extLst>
        </xdr:cNvPr>
        <xdr:cNvSpPr/>
      </xdr:nvSpPr>
      <xdr:spPr>
        <a:xfrm>
          <a:off x="0" y="0"/>
          <a:ext cx="734757" cy="215388"/>
        </a:xfrm>
        <a:prstGeom prst="roundRect">
          <a:avLst>
            <a:gd name="adj" fmla="val 50000"/>
          </a:avLst>
        </a:prstGeom>
        <a:solidFill>
          <a:srgbClr val="FFB48F"/>
        </a:solidFill>
        <a:ln w="2480" cap="flat">
          <a:noFill/>
          <a:prstDash val="solid"/>
          <a:miter/>
        </a:ln>
      </xdr:spPr>
      <xdr:txBody>
        <a:bodyPr rtlCol="0" anchor="ctr"/>
        <a:lstStyle/>
        <a:p>
          <a:pPr algn="ctr"/>
          <a:r>
            <a:rPr lang="en-IN"/>
            <a:t>Start</a:t>
          </a:r>
        </a:p>
      </xdr:txBody>
    </xdr:sp>
    <xdr:clientData/>
  </xdr:twoCellAnchor>
  <xdr:twoCellAnchor>
    <xdr:from>
      <xdr:col>10</xdr:col>
      <xdr:colOff>381000</xdr:colOff>
      <xdr:row>14</xdr:row>
      <xdr:rowOff>142875</xdr:rowOff>
    </xdr:from>
    <xdr:to>
      <xdr:col>12</xdr:col>
      <xdr:colOff>261936</xdr:colOff>
      <xdr:row>15</xdr:row>
      <xdr:rowOff>174627</xdr:rowOff>
    </xdr:to>
    <xdr:sp macro="[0]!Sheet11.ceiling" textlink="">
      <xdr:nvSpPr>
        <xdr:cNvPr id="5" name="Rectangle: Rounded Corners 4">
          <a:hlinkClick xmlns:r="http://schemas.openxmlformats.org/officeDocument/2006/relationships" r:id="rId2"/>
          <a:extLst>
            <a:ext uri="{FF2B5EF4-FFF2-40B4-BE49-F238E27FC236}">
              <a16:creationId xmlns:a16="http://schemas.microsoft.com/office/drawing/2014/main" id="{8527B35E-60F6-48D2-B867-A7FFBFAD6C17}"/>
            </a:ext>
          </a:extLst>
        </xdr:cNvPr>
        <xdr:cNvSpPr/>
      </xdr:nvSpPr>
      <xdr:spPr>
        <a:xfrm>
          <a:off x="8705850" y="9810750"/>
          <a:ext cx="881061" cy="222252"/>
        </a:xfrm>
        <a:prstGeom prst="roundRect">
          <a:avLst>
            <a:gd name="adj" fmla="val 5000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Go to Next</a:t>
          </a:r>
        </a:p>
      </xdr:txBody>
    </xdr:sp>
    <xdr:clientData/>
  </xdr:twoCellAnchor>
  <xdr:twoCellAnchor>
    <xdr:from>
      <xdr:col>10</xdr:col>
      <xdr:colOff>0</xdr:colOff>
      <xdr:row>35</xdr:row>
      <xdr:rowOff>0</xdr:rowOff>
    </xdr:from>
    <xdr:to>
      <xdr:col>11</xdr:col>
      <xdr:colOff>404811</xdr:colOff>
      <xdr:row>36</xdr:row>
      <xdr:rowOff>31752</xdr:rowOff>
    </xdr:to>
    <xdr:sp macro="[0]!Sheet11.ceiling" textlink="">
      <xdr:nvSpPr>
        <xdr:cNvPr id="6" name="Rectangle: Rounded Corners 5">
          <a:hlinkClick xmlns:r="http://schemas.openxmlformats.org/officeDocument/2006/relationships" r:id="rId3"/>
          <a:extLst>
            <a:ext uri="{FF2B5EF4-FFF2-40B4-BE49-F238E27FC236}">
              <a16:creationId xmlns:a16="http://schemas.microsoft.com/office/drawing/2014/main" id="{C67E0523-5D3B-45E5-9881-E4132FB610C0}"/>
            </a:ext>
          </a:extLst>
        </xdr:cNvPr>
        <xdr:cNvSpPr/>
      </xdr:nvSpPr>
      <xdr:spPr>
        <a:xfrm>
          <a:off x="8080375" y="7620000"/>
          <a:ext cx="881061" cy="222252"/>
        </a:xfrm>
        <a:prstGeom prst="roundRect">
          <a:avLst>
            <a:gd name="adj" fmla="val 5000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Go to Next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125157</xdr:colOff>
      <xdr:row>1</xdr:row>
      <xdr:rowOff>24888</xdr:rowOff>
    </xdr:to>
    <xdr:sp macro="[0]!Sheet11.ceiling" textlink="">
      <xdr:nvSpPr>
        <xdr:cNvPr id="2" name="Graphic 7" descr="Play">
          <a:extLst>
            <a:ext uri="{FF2B5EF4-FFF2-40B4-BE49-F238E27FC236}">
              <a16:creationId xmlns:a16="http://schemas.microsoft.com/office/drawing/2014/main" id="{12AFCE85-62A7-4DEA-843C-BAAE2F50F816}"/>
            </a:ext>
          </a:extLst>
        </xdr:cNvPr>
        <xdr:cNvSpPr/>
      </xdr:nvSpPr>
      <xdr:spPr>
        <a:xfrm>
          <a:off x="0" y="0"/>
          <a:ext cx="736345" cy="215388"/>
        </a:xfrm>
        <a:prstGeom prst="roundRect">
          <a:avLst>
            <a:gd name="adj" fmla="val 50000"/>
          </a:avLst>
        </a:prstGeom>
        <a:solidFill>
          <a:srgbClr val="FFB48F"/>
        </a:solidFill>
        <a:ln w="2480" cap="flat">
          <a:noFill/>
          <a:prstDash val="solid"/>
          <a:miter/>
        </a:ln>
      </xdr:spPr>
      <xdr:txBody>
        <a:bodyPr rtlCol="0" anchor="ctr"/>
        <a:lstStyle/>
        <a:p>
          <a:pPr algn="ctr"/>
          <a:r>
            <a:rPr lang="en-IN"/>
            <a:t>Start</a:t>
          </a:r>
        </a:p>
      </xdr:txBody>
    </xdr:sp>
    <xdr:clientData/>
  </xdr:twoCellAnchor>
  <xdr:twoCellAnchor>
    <xdr:from>
      <xdr:col>10</xdr:col>
      <xdr:colOff>238125</xdr:colOff>
      <xdr:row>12</xdr:row>
      <xdr:rowOff>7937</xdr:rowOff>
    </xdr:from>
    <xdr:to>
      <xdr:col>11</xdr:col>
      <xdr:colOff>595311</xdr:colOff>
      <xdr:row>12</xdr:row>
      <xdr:rowOff>230189</xdr:rowOff>
    </xdr:to>
    <xdr:sp macro="[0]!Sheet11.floor" textlink="">
      <xdr:nvSpPr>
        <xdr:cNvPr id="3" name="Rectangle: Rounded Corners 2">
          <a:hlinkClick xmlns:r="http://schemas.openxmlformats.org/officeDocument/2006/relationships" r:id="rId1"/>
          <a:extLst>
            <a:ext uri="{FF2B5EF4-FFF2-40B4-BE49-F238E27FC236}">
              <a16:creationId xmlns:a16="http://schemas.microsoft.com/office/drawing/2014/main" id="{951129D0-09EC-480E-B4F0-2470744C64FA}"/>
            </a:ext>
          </a:extLst>
        </xdr:cNvPr>
        <xdr:cNvSpPr/>
      </xdr:nvSpPr>
      <xdr:spPr>
        <a:xfrm>
          <a:off x="8461375" y="2722562"/>
          <a:ext cx="968374" cy="222252"/>
        </a:xfrm>
        <a:prstGeom prst="roundRect">
          <a:avLst>
            <a:gd name="adj" fmla="val 5000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Go to Next</a:t>
          </a:r>
        </a:p>
      </xdr:txBody>
    </xdr:sp>
    <xdr:clientData/>
  </xdr:twoCellAnchor>
  <xdr:twoCellAnchor>
    <xdr:from>
      <xdr:col>10</xdr:col>
      <xdr:colOff>317500</xdr:colOff>
      <xdr:row>28</xdr:row>
      <xdr:rowOff>25400</xdr:rowOff>
    </xdr:from>
    <xdr:to>
      <xdr:col>12</xdr:col>
      <xdr:colOff>327024</xdr:colOff>
      <xdr:row>29</xdr:row>
      <xdr:rowOff>57152</xdr:rowOff>
    </xdr:to>
    <xdr:sp macro="[0]!Sheet19.if1" textlink="">
      <xdr:nvSpPr>
        <xdr:cNvPr id="4" name="Rectangle: Rounded Corners 3">
          <a:hlinkClick xmlns:r="http://schemas.openxmlformats.org/officeDocument/2006/relationships" r:id="rId2"/>
          <a:extLst>
            <a:ext uri="{FF2B5EF4-FFF2-40B4-BE49-F238E27FC236}">
              <a16:creationId xmlns:a16="http://schemas.microsoft.com/office/drawing/2014/main" id="{79C2A108-B9CA-B6DE-1A4C-CC71CBCB568B}"/>
            </a:ext>
          </a:extLst>
        </xdr:cNvPr>
        <xdr:cNvSpPr/>
      </xdr:nvSpPr>
      <xdr:spPr>
        <a:xfrm>
          <a:off x="8540750" y="6311900"/>
          <a:ext cx="1231899" cy="222252"/>
        </a:xfrm>
        <a:prstGeom prst="roundRect">
          <a:avLst>
            <a:gd name="adj" fmla="val 5000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Home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printerSettings" Target="../printerSettings/printerSettings26.bin"/><Relationship Id="rId21" Type="http://schemas.openxmlformats.org/officeDocument/2006/relationships/printerSettings" Target="../printerSettings/printerSettings21.bin"/><Relationship Id="rId42" Type="http://schemas.openxmlformats.org/officeDocument/2006/relationships/printerSettings" Target="../printerSettings/printerSettings42.bin"/><Relationship Id="rId47" Type="http://schemas.openxmlformats.org/officeDocument/2006/relationships/printerSettings" Target="../printerSettings/printerSettings47.bin"/><Relationship Id="rId63" Type="http://schemas.openxmlformats.org/officeDocument/2006/relationships/printerSettings" Target="../printerSettings/printerSettings63.bin"/><Relationship Id="rId68" Type="http://schemas.openxmlformats.org/officeDocument/2006/relationships/printerSettings" Target="../printerSettings/printerSettings68.bin"/><Relationship Id="rId16" Type="http://schemas.openxmlformats.org/officeDocument/2006/relationships/printerSettings" Target="../printerSettings/printerSettings16.bin"/><Relationship Id="rId11" Type="http://schemas.openxmlformats.org/officeDocument/2006/relationships/printerSettings" Target="../printerSettings/printerSettings11.bin"/><Relationship Id="rId24" Type="http://schemas.openxmlformats.org/officeDocument/2006/relationships/printerSettings" Target="../printerSettings/printerSettings24.bin"/><Relationship Id="rId32" Type="http://schemas.openxmlformats.org/officeDocument/2006/relationships/printerSettings" Target="../printerSettings/printerSettings32.bin"/><Relationship Id="rId37" Type="http://schemas.openxmlformats.org/officeDocument/2006/relationships/printerSettings" Target="../printerSettings/printerSettings37.bin"/><Relationship Id="rId40" Type="http://schemas.openxmlformats.org/officeDocument/2006/relationships/printerSettings" Target="../printerSettings/printerSettings40.bin"/><Relationship Id="rId45" Type="http://schemas.openxmlformats.org/officeDocument/2006/relationships/printerSettings" Target="../printerSettings/printerSettings45.bin"/><Relationship Id="rId53" Type="http://schemas.openxmlformats.org/officeDocument/2006/relationships/printerSettings" Target="../printerSettings/printerSettings53.bin"/><Relationship Id="rId58" Type="http://schemas.openxmlformats.org/officeDocument/2006/relationships/printerSettings" Target="../printerSettings/printerSettings58.bin"/><Relationship Id="rId66" Type="http://schemas.openxmlformats.org/officeDocument/2006/relationships/printerSettings" Target="../printerSettings/printerSettings66.bin"/><Relationship Id="rId74" Type="http://schemas.openxmlformats.org/officeDocument/2006/relationships/printerSettings" Target="../printerSettings/printerSettings74.bin"/><Relationship Id="rId5" Type="http://schemas.openxmlformats.org/officeDocument/2006/relationships/printerSettings" Target="../printerSettings/printerSettings5.bin"/><Relationship Id="rId61" Type="http://schemas.openxmlformats.org/officeDocument/2006/relationships/printerSettings" Target="../printerSettings/printerSettings61.bin"/><Relationship Id="rId19" Type="http://schemas.openxmlformats.org/officeDocument/2006/relationships/printerSettings" Target="../printerSettings/printerSettings19.bin"/><Relationship Id="rId14" Type="http://schemas.openxmlformats.org/officeDocument/2006/relationships/printerSettings" Target="../printerSettings/printerSettings14.bin"/><Relationship Id="rId22" Type="http://schemas.openxmlformats.org/officeDocument/2006/relationships/printerSettings" Target="../printerSettings/printerSettings22.bin"/><Relationship Id="rId27" Type="http://schemas.openxmlformats.org/officeDocument/2006/relationships/printerSettings" Target="../printerSettings/printerSettings27.bin"/><Relationship Id="rId30" Type="http://schemas.openxmlformats.org/officeDocument/2006/relationships/printerSettings" Target="../printerSettings/printerSettings30.bin"/><Relationship Id="rId35" Type="http://schemas.openxmlformats.org/officeDocument/2006/relationships/printerSettings" Target="../printerSettings/printerSettings35.bin"/><Relationship Id="rId43" Type="http://schemas.openxmlformats.org/officeDocument/2006/relationships/printerSettings" Target="../printerSettings/printerSettings43.bin"/><Relationship Id="rId48" Type="http://schemas.openxmlformats.org/officeDocument/2006/relationships/printerSettings" Target="../printerSettings/printerSettings48.bin"/><Relationship Id="rId56" Type="http://schemas.openxmlformats.org/officeDocument/2006/relationships/printerSettings" Target="../printerSettings/printerSettings56.bin"/><Relationship Id="rId64" Type="http://schemas.openxmlformats.org/officeDocument/2006/relationships/printerSettings" Target="../printerSettings/printerSettings64.bin"/><Relationship Id="rId69" Type="http://schemas.openxmlformats.org/officeDocument/2006/relationships/printerSettings" Target="../printerSettings/printerSettings69.bin"/><Relationship Id="rId77" Type="http://schemas.openxmlformats.org/officeDocument/2006/relationships/drawing" Target="../drawings/drawing1.xml"/><Relationship Id="rId8" Type="http://schemas.openxmlformats.org/officeDocument/2006/relationships/printerSettings" Target="../printerSettings/printerSettings8.bin"/><Relationship Id="rId51" Type="http://schemas.openxmlformats.org/officeDocument/2006/relationships/printerSettings" Target="../printerSettings/printerSettings51.bin"/><Relationship Id="rId72" Type="http://schemas.openxmlformats.org/officeDocument/2006/relationships/printerSettings" Target="../printerSettings/printerSettings72.bin"/><Relationship Id="rId3" Type="http://schemas.openxmlformats.org/officeDocument/2006/relationships/printerSettings" Target="../printerSettings/printerSettings3.bin"/><Relationship Id="rId12" Type="http://schemas.openxmlformats.org/officeDocument/2006/relationships/printerSettings" Target="../printerSettings/printerSettings12.bin"/><Relationship Id="rId17" Type="http://schemas.openxmlformats.org/officeDocument/2006/relationships/printerSettings" Target="../printerSettings/printerSettings17.bin"/><Relationship Id="rId25" Type="http://schemas.openxmlformats.org/officeDocument/2006/relationships/printerSettings" Target="../printerSettings/printerSettings25.bin"/><Relationship Id="rId33" Type="http://schemas.openxmlformats.org/officeDocument/2006/relationships/printerSettings" Target="../printerSettings/printerSettings33.bin"/><Relationship Id="rId38" Type="http://schemas.openxmlformats.org/officeDocument/2006/relationships/printerSettings" Target="../printerSettings/printerSettings38.bin"/><Relationship Id="rId46" Type="http://schemas.openxmlformats.org/officeDocument/2006/relationships/printerSettings" Target="../printerSettings/printerSettings46.bin"/><Relationship Id="rId59" Type="http://schemas.openxmlformats.org/officeDocument/2006/relationships/printerSettings" Target="../printerSettings/printerSettings59.bin"/><Relationship Id="rId67" Type="http://schemas.openxmlformats.org/officeDocument/2006/relationships/printerSettings" Target="../printerSettings/printerSettings67.bin"/><Relationship Id="rId20" Type="http://schemas.openxmlformats.org/officeDocument/2006/relationships/printerSettings" Target="../printerSettings/printerSettings20.bin"/><Relationship Id="rId41" Type="http://schemas.openxmlformats.org/officeDocument/2006/relationships/printerSettings" Target="../printerSettings/printerSettings41.bin"/><Relationship Id="rId54" Type="http://schemas.openxmlformats.org/officeDocument/2006/relationships/printerSettings" Target="../printerSettings/printerSettings54.bin"/><Relationship Id="rId62" Type="http://schemas.openxmlformats.org/officeDocument/2006/relationships/printerSettings" Target="../printerSettings/printerSettings62.bin"/><Relationship Id="rId70" Type="http://schemas.openxmlformats.org/officeDocument/2006/relationships/printerSettings" Target="../printerSettings/printerSettings70.bin"/><Relationship Id="rId75" Type="http://schemas.openxmlformats.org/officeDocument/2006/relationships/printerSettings" Target="../printerSettings/printerSettings75.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5" Type="http://schemas.openxmlformats.org/officeDocument/2006/relationships/printerSettings" Target="../printerSettings/printerSettings15.bin"/><Relationship Id="rId23" Type="http://schemas.openxmlformats.org/officeDocument/2006/relationships/printerSettings" Target="../printerSettings/printerSettings23.bin"/><Relationship Id="rId28" Type="http://schemas.openxmlformats.org/officeDocument/2006/relationships/printerSettings" Target="../printerSettings/printerSettings28.bin"/><Relationship Id="rId36" Type="http://schemas.openxmlformats.org/officeDocument/2006/relationships/printerSettings" Target="../printerSettings/printerSettings36.bin"/><Relationship Id="rId49" Type="http://schemas.openxmlformats.org/officeDocument/2006/relationships/printerSettings" Target="../printerSettings/printerSettings49.bin"/><Relationship Id="rId57" Type="http://schemas.openxmlformats.org/officeDocument/2006/relationships/printerSettings" Target="../printerSettings/printerSettings57.bin"/><Relationship Id="rId10" Type="http://schemas.openxmlformats.org/officeDocument/2006/relationships/printerSettings" Target="../printerSettings/printerSettings10.bin"/><Relationship Id="rId31" Type="http://schemas.openxmlformats.org/officeDocument/2006/relationships/printerSettings" Target="../printerSettings/printerSettings31.bin"/><Relationship Id="rId44" Type="http://schemas.openxmlformats.org/officeDocument/2006/relationships/printerSettings" Target="../printerSettings/printerSettings44.bin"/><Relationship Id="rId52" Type="http://schemas.openxmlformats.org/officeDocument/2006/relationships/printerSettings" Target="../printerSettings/printerSettings52.bin"/><Relationship Id="rId60" Type="http://schemas.openxmlformats.org/officeDocument/2006/relationships/printerSettings" Target="../printerSettings/printerSettings60.bin"/><Relationship Id="rId65" Type="http://schemas.openxmlformats.org/officeDocument/2006/relationships/printerSettings" Target="../printerSettings/printerSettings65.bin"/><Relationship Id="rId73" Type="http://schemas.openxmlformats.org/officeDocument/2006/relationships/printerSettings" Target="../printerSettings/printerSettings73.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3" Type="http://schemas.openxmlformats.org/officeDocument/2006/relationships/printerSettings" Target="../printerSettings/printerSettings13.bin"/><Relationship Id="rId18" Type="http://schemas.openxmlformats.org/officeDocument/2006/relationships/printerSettings" Target="../printerSettings/printerSettings18.bin"/><Relationship Id="rId39" Type="http://schemas.openxmlformats.org/officeDocument/2006/relationships/printerSettings" Target="../printerSettings/printerSettings39.bin"/><Relationship Id="rId34" Type="http://schemas.openxmlformats.org/officeDocument/2006/relationships/printerSettings" Target="../printerSettings/printerSettings34.bin"/><Relationship Id="rId50" Type="http://schemas.openxmlformats.org/officeDocument/2006/relationships/printerSettings" Target="../printerSettings/printerSettings50.bin"/><Relationship Id="rId55" Type="http://schemas.openxmlformats.org/officeDocument/2006/relationships/printerSettings" Target="../printerSettings/printerSettings55.bin"/><Relationship Id="rId76" Type="http://schemas.openxmlformats.org/officeDocument/2006/relationships/printerSettings" Target="../printerSettings/printerSettings76.bin"/><Relationship Id="rId7" Type="http://schemas.openxmlformats.org/officeDocument/2006/relationships/printerSettings" Target="../printerSettings/printerSettings7.bin"/><Relationship Id="rId71" Type="http://schemas.openxmlformats.org/officeDocument/2006/relationships/printerSettings" Target="../printerSettings/printerSettings71.bin"/><Relationship Id="rId2" Type="http://schemas.openxmlformats.org/officeDocument/2006/relationships/printerSettings" Target="../printerSettings/printerSettings2.bin"/><Relationship Id="rId29" Type="http://schemas.openxmlformats.org/officeDocument/2006/relationships/printerSettings" Target="../printerSettings/printerSettings29.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84.bin"/><Relationship Id="rId13" Type="http://schemas.openxmlformats.org/officeDocument/2006/relationships/printerSettings" Target="../printerSettings/printerSettings89.bin"/><Relationship Id="rId18" Type="http://schemas.openxmlformats.org/officeDocument/2006/relationships/printerSettings" Target="../printerSettings/printerSettings94.bin"/><Relationship Id="rId3" Type="http://schemas.openxmlformats.org/officeDocument/2006/relationships/printerSettings" Target="../printerSettings/printerSettings79.bin"/><Relationship Id="rId21" Type="http://schemas.openxmlformats.org/officeDocument/2006/relationships/printerSettings" Target="../printerSettings/printerSettings97.bin"/><Relationship Id="rId7" Type="http://schemas.openxmlformats.org/officeDocument/2006/relationships/printerSettings" Target="../printerSettings/printerSettings83.bin"/><Relationship Id="rId12" Type="http://schemas.openxmlformats.org/officeDocument/2006/relationships/printerSettings" Target="../printerSettings/printerSettings88.bin"/><Relationship Id="rId17" Type="http://schemas.openxmlformats.org/officeDocument/2006/relationships/printerSettings" Target="../printerSettings/printerSettings93.bin"/><Relationship Id="rId25" Type="http://schemas.openxmlformats.org/officeDocument/2006/relationships/drawing" Target="../drawings/drawing2.xml"/><Relationship Id="rId2" Type="http://schemas.openxmlformats.org/officeDocument/2006/relationships/printerSettings" Target="../printerSettings/printerSettings78.bin"/><Relationship Id="rId16" Type="http://schemas.openxmlformats.org/officeDocument/2006/relationships/printerSettings" Target="../printerSettings/printerSettings92.bin"/><Relationship Id="rId20" Type="http://schemas.openxmlformats.org/officeDocument/2006/relationships/printerSettings" Target="../printerSettings/printerSettings96.bin"/><Relationship Id="rId1" Type="http://schemas.openxmlformats.org/officeDocument/2006/relationships/printerSettings" Target="../printerSettings/printerSettings77.bin"/><Relationship Id="rId6" Type="http://schemas.openxmlformats.org/officeDocument/2006/relationships/printerSettings" Target="../printerSettings/printerSettings82.bin"/><Relationship Id="rId11" Type="http://schemas.openxmlformats.org/officeDocument/2006/relationships/printerSettings" Target="../printerSettings/printerSettings87.bin"/><Relationship Id="rId24" Type="http://schemas.openxmlformats.org/officeDocument/2006/relationships/printerSettings" Target="../printerSettings/printerSettings100.bin"/><Relationship Id="rId5" Type="http://schemas.openxmlformats.org/officeDocument/2006/relationships/printerSettings" Target="../printerSettings/printerSettings81.bin"/><Relationship Id="rId15" Type="http://schemas.openxmlformats.org/officeDocument/2006/relationships/printerSettings" Target="../printerSettings/printerSettings91.bin"/><Relationship Id="rId23" Type="http://schemas.openxmlformats.org/officeDocument/2006/relationships/printerSettings" Target="../printerSettings/printerSettings99.bin"/><Relationship Id="rId10" Type="http://schemas.openxmlformats.org/officeDocument/2006/relationships/printerSettings" Target="../printerSettings/printerSettings86.bin"/><Relationship Id="rId19" Type="http://schemas.openxmlformats.org/officeDocument/2006/relationships/printerSettings" Target="../printerSettings/printerSettings95.bin"/><Relationship Id="rId4" Type="http://schemas.openxmlformats.org/officeDocument/2006/relationships/printerSettings" Target="../printerSettings/printerSettings80.bin"/><Relationship Id="rId9" Type="http://schemas.openxmlformats.org/officeDocument/2006/relationships/printerSettings" Target="../printerSettings/printerSettings85.bin"/><Relationship Id="rId14" Type="http://schemas.openxmlformats.org/officeDocument/2006/relationships/printerSettings" Target="../printerSettings/printerSettings90.bin"/><Relationship Id="rId22" Type="http://schemas.openxmlformats.org/officeDocument/2006/relationships/printerSettings" Target="../printerSettings/printerSettings98.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6" Type="http://schemas.openxmlformats.org/officeDocument/2006/relationships/printerSettings" Target="../printerSettings/printerSettings127.bin"/><Relationship Id="rId21" Type="http://schemas.openxmlformats.org/officeDocument/2006/relationships/printerSettings" Target="../printerSettings/printerSettings122.bin"/><Relationship Id="rId42" Type="http://schemas.openxmlformats.org/officeDocument/2006/relationships/printerSettings" Target="../printerSettings/printerSettings143.bin"/><Relationship Id="rId47" Type="http://schemas.openxmlformats.org/officeDocument/2006/relationships/printerSettings" Target="../printerSettings/printerSettings148.bin"/><Relationship Id="rId63" Type="http://schemas.openxmlformats.org/officeDocument/2006/relationships/printerSettings" Target="../printerSettings/printerSettings164.bin"/><Relationship Id="rId68" Type="http://schemas.openxmlformats.org/officeDocument/2006/relationships/printerSettings" Target="../printerSettings/printerSettings169.bin"/><Relationship Id="rId2" Type="http://schemas.openxmlformats.org/officeDocument/2006/relationships/printerSettings" Target="../printerSettings/printerSettings103.bin"/><Relationship Id="rId16" Type="http://schemas.openxmlformats.org/officeDocument/2006/relationships/printerSettings" Target="../printerSettings/printerSettings117.bin"/><Relationship Id="rId29" Type="http://schemas.openxmlformats.org/officeDocument/2006/relationships/printerSettings" Target="../printerSettings/printerSettings130.bin"/><Relationship Id="rId11" Type="http://schemas.openxmlformats.org/officeDocument/2006/relationships/printerSettings" Target="../printerSettings/printerSettings112.bin"/><Relationship Id="rId24" Type="http://schemas.openxmlformats.org/officeDocument/2006/relationships/printerSettings" Target="../printerSettings/printerSettings125.bin"/><Relationship Id="rId32" Type="http://schemas.openxmlformats.org/officeDocument/2006/relationships/printerSettings" Target="../printerSettings/printerSettings133.bin"/><Relationship Id="rId37" Type="http://schemas.openxmlformats.org/officeDocument/2006/relationships/printerSettings" Target="../printerSettings/printerSettings138.bin"/><Relationship Id="rId40" Type="http://schemas.openxmlformats.org/officeDocument/2006/relationships/printerSettings" Target="../printerSettings/printerSettings141.bin"/><Relationship Id="rId45" Type="http://schemas.openxmlformats.org/officeDocument/2006/relationships/printerSettings" Target="../printerSettings/printerSettings146.bin"/><Relationship Id="rId53" Type="http://schemas.openxmlformats.org/officeDocument/2006/relationships/printerSettings" Target="../printerSettings/printerSettings154.bin"/><Relationship Id="rId58" Type="http://schemas.openxmlformats.org/officeDocument/2006/relationships/printerSettings" Target="../printerSettings/printerSettings159.bin"/><Relationship Id="rId66" Type="http://schemas.openxmlformats.org/officeDocument/2006/relationships/printerSettings" Target="../printerSettings/printerSettings167.bin"/><Relationship Id="rId74" Type="http://schemas.openxmlformats.org/officeDocument/2006/relationships/printerSettings" Target="../printerSettings/printerSettings175.bin"/><Relationship Id="rId5" Type="http://schemas.openxmlformats.org/officeDocument/2006/relationships/printerSettings" Target="../printerSettings/printerSettings106.bin"/><Relationship Id="rId61" Type="http://schemas.openxmlformats.org/officeDocument/2006/relationships/printerSettings" Target="../printerSettings/printerSettings162.bin"/><Relationship Id="rId19" Type="http://schemas.openxmlformats.org/officeDocument/2006/relationships/printerSettings" Target="../printerSettings/printerSettings120.bin"/><Relationship Id="rId14" Type="http://schemas.openxmlformats.org/officeDocument/2006/relationships/printerSettings" Target="../printerSettings/printerSettings115.bin"/><Relationship Id="rId22" Type="http://schemas.openxmlformats.org/officeDocument/2006/relationships/printerSettings" Target="../printerSettings/printerSettings123.bin"/><Relationship Id="rId27" Type="http://schemas.openxmlformats.org/officeDocument/2006/relationships/printerSettings" Target="../printerSettings/printerSettings128.bin"/><Relationship Id="rId30" Type="http://schemas.openxmlformats.org/officeDocument/2006/relationships/printerSettings" Target="../printerSettings/printerSettings131.bin"/><Relationship Id="rId35" Type="http://schemas.openxmlformats.org/officeDocument/2006/relationships/printerSettings" Target="../printerSettings/printerSettings136.bin"/><Relationship Id="rId43" Type="http://schemas.openxmlformats.org/officeDocument/2006/relationships/printerSettings" Target="../printerSettings/printerSettings144.bin"/><Relationship Id="rId48" Type="http://schemas.openxmlformats.org/officeDocument/2006/relationships/printerSettings" Target="../printerSettings/printerSettings149.bin"/><Relationship Id="rId56" Type="http://schemas.openxmlformats.org/officeDocument/2006/relationships/printerSettings" Target="../printerSettings/printerSettings157.bin"/><Relationship Id="rId64" Type="http://schemas.openxmlformats.org/officeDocument/2006/relationships/printerSettings" Target="../printerSettings/printerSettings165.bin"/><Relationship Id="rId69" Type="http://schemas.openxmlformats.org/officeDocument/2006/relationships/printerSettings" Target="../printerSettings/printerSettings170.bin"/><Relationship Id="rId8" Type="http://schemas.openxmlformats.org/officeDocument/2006/relationships/printerSettings" Target="../printerSettings/printerSettings109.bin"/><Relationship Id="rId51" Type="http://schemas.openxmlformats.org/officeDocument/2006/relationships/printerSettings" Target="../printerSettings/printerSettings152.bin"/><Relationship Id="rId72" Type="http://schemas.openxmlformats.org/officeDocument/2006/relationships/printerSettings" Target="../printerSettings/printerSettings173.bin"/><Relationship Id="rId3" Type="http://schemas.openxmlformats.org/officeDocument/2006/relationships/printerSettings" Target="../printerSettings/printerSettings104.bin"/><Relationship Id="rId12" Type="http://schemas.openxmlformats.org/officeDocument/2006/relationships/printerSettings" Target="../printerSettings/printerSettings113.bin"/><Relationship Id="rId17" Type="http://schemas.openxmlformats.org/officeDocument/2006/relationships/printerSettings" Target="../printerSettings/printerSettings118.bin"/><Relationship Id="rId25" Type="http://schemas.openxmlformats.org/officeDocument/2006/relationships/printerSettings" Target="../printerSettings/printerSettings126.bin"/><Relationship Id="rId33" Type="http://schemas.openxmlformats.org/officeDocument/2006/relationships/printerSettings" Target="../printerSettings/printerSettings134.bin"/><Relationship Id="rId38" Type="http://schemas.openxmlformats.org/officeDocument/2006/relationships/printerSettings" Target="../printerSettings/printerSettings139.bin"/><Relationship Id="rId46" Type="http://schemas.openxmlformats.org/officeDocument/2006/relationships/printerSettings" Target="../printerSettings/printerSettings147.bin"/><Relationship Id="rId59" Type="http://schemas.openxmlformats.org/officeDocument/2006/relationships/printerSettings" Target="../printerSettings/printerSettings160.bin"/><Relationship Id="rId67" Type="http://schemas.openxmlformats.org/officeDocument/2006/relationships/printerSettings" Target="../printerSettings/printerSettings168.bin"/><Relationship Id="rId20" Type="http://schemas.openxmlformats.org/officeDocument/2006/relationships/printerSettings" Target="../printerSettings/printerSettings121.bin"/><Relationship Id="rId41" Type="http://schemas.openxmlformats.org/officeDocument/2006/relationships/printerSettings" Target="../printerSettings/printerSettings142.bin"/><Relationship Id="rId54" Type="http://schemas.openxmlformats.org/officeDocument/2006/relationships/printerSettings" Target="../printerSettings/printerSettings155.bin"/><Relationship Id="rId62" Type="http://schemas.openxmlformats.org/officeDocument/2006/relationships/printerSettings" Target="../printerSettings/printerSettings163.bin"/><Relationship Id="rId70" Type="http://schemas.openxmlformats.org/officeDocument/2006/relationships/printerSettings" Target="../printerSettings/printerSettings171.bin"/><Relationship Id="rId75" Type="http://schemas.openxmlformats.org/officeDocument/2006/relationships/printerSettings" Target="../printerSettings/printerSettings176.bin"/><Relationship Id="rId1" Type="http://schemas.openxmlformats.org/officeDocument/2006/relationships/printerSettings" Target="../printerSettings/printerSettings102.bin"/><Relationship Id="rId6" Type="http://schemas.openxmlformats.org/officeDocument/2006/relationships/printerSettings" Target="../printerSettings/printerSettings107.bin"/><Relationship Id="rId15" Type="http://schemas.openxmlformats.org/officeDocument/2006/relationships/printerSettings" Target="../printerSettings/printerSettings116.bin"/><Relationship Id="rId23" Type="http://schemas.openxmlformats.org/officeDocument/2006/relationships/printerSettings" Target="../printerSettings/printerSettings124.bin"/><Relationship Id="rId28" Type="http://schemas.openxmlformats.org/officeDocument/2006/relationships/printerSettings" Target="../printerSettings/printerSettings129.bin"/><Relationship Id="rId36" Type="http://schemas.openxmlformats.org/officeDocument/2006/relationships/printerSettings" Target="../printerSettings/printerSettings137.bin"/><Relationship Id="rId49" Type="http://schemas.openxmlformats.org/officeDocument/2006/relationships/printerSettings" Target="../printerSettings/printerSettings150.bin"/><Relationship Id="rId57" Type="http://schemas.openxmlformats.org/officeDocument/2006/relationships/printerSettings" Target="../printerSettings/printerSettings158.bin"/><Relationship Id="rId10" Type="http://schemas.openxmlformats.org/officeDocument/2006/relationships/printerSettings" Target="../printerSettings/printerSettings111.bin"/><Relationship Id="rId31" Type="http://schemas.openxmlformats.org/officeDocument/2006/relationships/printerSettings" Target="../printerSettings/printerSettings132.bin"/><Relationship Id="rId44" Type="http://schemas.openxmlformats.org/officeDocument/2006/relationships/printerSettings" Target="../printerSettings/printerSettings145.bin"/><Relationship Id="rId52" Type="http://schemas.openxmlformats.org/officeDocument/2006/relationships/printerSettings" Target="../printerSettings/printerSettings153.bin"/><Relationship Id="rId60" Type="http://schemas.openxmlformats.org/officeDocument/2006/relationships/printerSettings" Target="../printerSettings/printerSettings161.bin"/><Relationship Id="rId65" Type="http://schemas.openxmlformats.org/officeDocument/2006/relationships/printerSettings" Target="../printerSettings/printerSettings166.bin"/><Relationship Id="rId73" Type="http://schemas.openxmlformats.org/officeDocument/2006/relationships/printerSettings" Target="../printerSettings/printerSettings174.bin"/><Relationship Id="rId4" Type="http://schemas.openxmlformats.org/officeDocument/2006/relationships/printerSettings" Target="../printerSettings/printerSettings105.bin"/><Relationship Id="rId9" Type="http://schemas.openxmlformats.org/officeDocument/2006/relationships/printerSettings" Target="../printerSettings/printerSettings110.bin"/><Relationship Id="rId13" Type="http://schemas.openxmlformats.org/officeDocument/2006/relationships/printerSettings" Target="../printerSettings/printerSettings114.bin"/><Relationship Id="rId18" Type="http://schemas.openxmlformats.org/officeDocument/2006/relationships/printerSettings" Target="../printerSettings/printerSettings119.bin"/><Relationship Id="rId39" Type="http://schemas.openxmlformats.org/officeDocument/2006/relationships/printerSettings" Target="../printerSettings/printerSettings140.bin"/><Relationship Id="rId34" Type="http://schemas.openxmlformats.org/officeDocument/2006/relationships/printerSettings" Target="../printerSettings/printerSettings135.bin"/><Relationship Id="rId50" Type="http://schemas.openxmlformats.org/officeDocument/2006/relationships/printerSettings" Target="../printerSettings/printerSettings151.bin"/><Relationship Id="rId55" Type="http://schemas.openxmlformats.org/officeDocument/2006/relationships/printerSettings" Target="../printerSettings/printerSettings156.bin"/><Relationship Id="rId76" Type="http://schemas.openxmlformats.org/officeDocument/2006/relationships/printerSettings" Target="../printerSettings/printerSettings177.bin"/><Relationship Id="rId7" Type="http://schemas.openxmlformats.org/officeDocument/2006/relationships/printerSettings" Target="../printerSettings/printerSettings108.bin"/><Relationship Id="rId71" Type="http://schemas.openxmlformats.org/officeDocument/2006/relationships/printerSettings" Target="../printerSettings/printerSettings17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6D679-BBB8-44F0-B28F-9E16A9FB1BA6}">
  <sheetPr codeName="Sheet1">
    <pageSetUpPr autoPageBreaks="0"/>
  </sheetPr>
  <dimension ref="B3:N31"/>
  <sheetViews>
    <sheetView showGridLines="0" topLeftCell="A15" zoomScale="120" zoomScaleNormal="110" workbookViewId="0">
      <selection activeCell="N31" sqref="N31"/>
    </sheetView>
  </sheetViews>
  <sheetFormatPr defaultRowHeight="18.75"/>
  <cols>
    <col min="1" max="1" width="8.7109375" style="7" customWidth="1"/>
    <col min="2" max="2" width="17.140625" style="7" bestFit="1" customWidth="1"/>
    <col min="3" max="3" width="8.28515625" style="7" bestFit="1" customWidth="1"/>
    <col min="4" max="4" width="13.85546875" style="7" bestFit="1" customWidth="1"/>
    <col min="5" max="5" width="10.140625" style="7" customWidth="1"/>
    <col min="6" max="6" width="17.28515625" style="7" bestFit="1" customWidth="1"/>
    <col min="7" max="7" width="9.140625" style="7"/>
    <col min="8" max="8" width="14" style="7" customWidth="1"/>
    <col min="9" max="9" width="15.28515625" style="7" customWidth="1"/>
    <col min="10" max="10" width="18.85546875" style="7" customWidth="1"/>
    <col min="11" max="16384" width="9.140625" style="7"/>
  </cols>
  <sheetData>
    <row r="3" spans="2:13">
      <c r="B3" s="9" t="s">
        <v>0</v>
      </c>
      <c r="C3" s="9" t="s">
        <v>1</v>
      </c>
      <c r="D3" s="9" t="s">
        <v>2</v>
      </c>
      <c r="E3" s="9" t="s">
        <v>3</v>
      </c>
      <c r="F3" s="9" t="s">
        <v>4</v>
      </c>
      <c r="H3" s="7" t="s">
        <v>5</v>
      </c>
    </row>
    <row r="4" spans="2:13">
      <c r="B4" s="8" t="s">
        <v>6</v>
      </c>
      <c r="C4" s="8">
        <v>7.85</v>
      </c>
      <c r="D4" s="8" t="s">
        <v>7</v>
      </c>
      <c r="E4" s="8" t="s">
        <v>8</v>
      </c>
      <c r="F4" s="8">
        <f>ROUND(C4,0)</f>
        <v>8</v>
      </c>
    </row>
    <row r="5" spans="2:13" ht="18.75" customHeight="1">
      <c r="B5" s="8" t="s">
        <v>9</v>
      </c>
      <c r="C5" s="8">
        <v>3.25</v>
      </c>
      <c r="D5" s="8" t="s">
        <v>10</v>
      </c>
      <c r="E5" s="8" t="s">
        <v>11</v>
      </c>
      <c r="F5" s="8">
        <f t="shared" ref="F5:F15" si="0">ROUND(C5,0)</f>
        <v>3</v>
      </c>
    </row>
    <row r="6" spans="2:13" ht="21" customHeight="1">
      <c r="B6" s="8" t="s">
        <v>12</v>
      </c>
      <c r="C6" s="8">
        <v>12.5</v>
      </c>
      <c r="D6" s="8" t="s">
        <v>13</v>
      </c>
      <c r="E6" s="8" t="s">
        <v>14</v>
      </c>
      <c r="F6" s="8">
        <f t="shared" si="0"/>
        <v>13</v>
      </c>
    </row>
    <row r="7" spans="2:13" ht="18.75" customHeight="1">
      <c r="B7" s="8" t="s">
        <v>15</v>
      </c>
      <c r="C7" s="8">
        <v>6.35</v>
      </c>
      <c r="D7" s="8" t="s">
        <v>16</v>
      </c>
      <c r="E7" s="8" t="s">
        <v>8</v>
      </c>
      <c r="F7" s="8">
        <f t="shared" si="0"/>
        <v>6</v>
      </c>
      <c r="H7" s="13" t="s">
        <v>17</v>
      </c>
      <c r="I7" s="13"/>
      <c r="J7" s="13"/>
      <c r="M7" s="10">
        <f>SUMIF(E4:E15,"Mar",C4:C15)</f>
        <v>41.8</v>
      </c>
    </row>
    <row r="8" spans="2:13">
      <c r="B8" s="8" t="s">
        <v>18</v>
      </c>
      <c r="C8" s="8">
        <v>2.5</v>
      </c>
      <c r="D8" s="8" t="s">
        <v>19</v>
      </c>
      <c r="E8" s="8" t="s">
        <v>11</v>
      </c>
      <c r="F8" s="8">
        <f t="shared" si="0"/>
        <v>3</v>
      </c>
      <c r="H8" s="13"/>
      <c r="I8" s="13"/>
      <c r="J8" s="13"/>
    </row>
    <row r="9" spans="2:13">
      <c r="B9" s="8" t="s">
        <v>20</v>
      </c>
      <c r="C9" s="8">
        <v>6.5</v>
      </c>
      <c r="D9" s="8" t="s">
        <v>21</v>
      </c>
      <c r="E9" s="8" t="s">
        <v>14</v>
      </c>
      <c r="F9" s="8">
        <f t="shared" si="0"/>
        <v>7</v>
      </c>
    </row>
    <row r="10" spans="2:13">
      <c r="B10" s="8" t="s">
        <v>6</v>
      </c>
      <c r="C10" s="8">
        <v>8.75</v>
      </c>
      <c r="D10" s="8" t="s">
        <v>7</v>
      </c>
      <c r="E10" s="8" t="s">
        <v>8</v>
      </c>
      <c r="F10" s="8">
        <f t="shared" si="0"/>
        <v>9</v>
      </c>
    </row>
    <row r="11" spans="2:13">
      <c r="B11" s="8" t="s">
        <v>15</v>
      </c>
      <c r="C11" s="8">
        <v>4.6500000000000004</v>
      </c>
      <c r="D11" s="8" t="s">
        <v>16</v>
      </c>
      <c r="E11" s="8" t="s">
        <v>11</v>
      </c>
      <c r="F11" s="8">
        <f t="shared" si="0"/>
        <v>5</v>
      </c>
    </row>
    <row r="12" spans="2:13">
      <c r="B12" s="8" t="s">
        <v>6</v>
      </c>
      <c r="C12" s="8">
        <v>12.85</v>
      </c>
      <c r="D12" s="8" t="s">
        <v>7</v>
      </c>
      <c r="E12" s="8" t="s">
        <v>14</v>
      </c>
      <c r="F12" s="8">
        <f t="shared" si="0"/>
        <v>13</v>
      </c>
    </row>
    <row r="13" spans="2:13" ht="18.75" customHeight="1">
      <c r="B13" s="8" t="s">
        <v>9</v>
      </c>
      <c r="C13" s="8">
        <v>8.25</v>
      </c>
      <c r="D13" s="8" t="s">
        <v>10</v>
      </c>
      <c r="E13" s="8" t="s">
        <v>8</v>
      </c>
      <c r="F13" s="8">
        <f t="shared" si="0"/>
        <v>8</v>
      </c>
    </row>
    <row r="14" spans="2:13">
      <c r="B14" s="8" t="s">
        <v>12</v>
      </c>
      <c r="C14" s="8">
        <v>13.5</v>
      </c>
      <c r="D14" s="8" t="s">
        <v>13</v>
      </c>
      <c r="E14" s="8" t="s">
        <v>11</v>
      </c>
      <c r="F14" s="8">
        <f t="shared" si="0"/>
        <v>14</v>
      </c>
    </row>
    <row r="15" spans="2:13">
      <c r="B15" s="8" t="s">
        <v>15</v>
      </c>
      <c r="C15" s="8">
        <v>9.9499999999999993</v>
      </c>
      <c r="D15" s="8" t="s">
        <v>16</v>
      </c>
      <c r="E15" s="8" t="s">
        <v>14</v>
      </c>
      <c r="F15" s="8">
        <f t="shared" si="0"/>
        <v>10</v>
      </c>
    </row>
    <row r="19" spans="2:14">
      <c r="B19" s="9" t="s">
        <v>0</v>
      </c>
      <c r="C19" s="9" t="s">
        <v>1</v>
      </c>
      <c r="D19" s="9" t="s">
        <v>2</v>
      </c>
      <c r="E19" s="9" t="s">
        <v>22</v>
      </c>
      <c r="F19" s="9" t="s">
        <v>4</v>
      </c>
    </row>
    <row r="20" spans="2:14">
      <c r="B20" s="8" t="s">
        <v>6</v>
      </c>
      <c r="C20" s="8">
        <v>7.85</v>
      </c>
      <c r="D20" s="8" t="s">
        <v>7</v>
      </c>
      <c r="E20" s="8" t="s">
        <v>8</v>
      </c>
      <c r="F20" s="8">
        <f>ROUND(C20,1)</f>
        <v>7.9</v>
      </c>
      <c r="N20" s="7">
        <f>ROUND(C20,-1)</f>
        <v>10</v>
      </c>
    </row>
    <row r="21" spans="2:14">
      <c r="B21" s="8" t="s">
        <v>9</v>
      </c>
      <c r="C21" s="8">
        <v>3.25</v>
      </c>
      <c r="D21" s="8" t="s">
        <v>10</v>
      </c>
      <c r="E21" s="8" t="s">
        <v>11</v>
      </c>
      <c r="F21" s="8">
        <f t="shared" ref="F21:F31" si="1">ROUND(C21,1)</f>
        <v>3.3</v>
      </c>
      <c r="N21" s="7">
        <f t="shared" ref="N21:N32" si="2">ROUND(C21,-1)</f>
        <v>0</v>
      </c>
    </row>
    <row r="22" spans="2:14">
      <c r="B22" s="8" t="s">
        <v>12</v>
      </c>
      <c r="C22" s="8">
        <v>12.5</v>
      </c>
      <c r="D22" s="8" t="s">
        <v>13</v>
      </c>
      <c r="E22" s="8" t="s">
        <v>14</v>
      </c>
      <c r="F22" s="8">
        <f t="shared" si="1"/>
        <v>12.5</v>
      </c>
      <c r="N22" s="7">
        <f t="shared" si="2"/>
        <v>10</v>
      </c>
    </row>
    <row r="23" spans="2:14" ht="18.75" customHeight="1">
      <c r="B23" s="8" t="s">
        <v>15</v>
      </c>
      <c r="C23" s="8">
        <v>6.35</v>
      </c>
      <c r="D23" s="8" t="s">
        <v>16</v>
      </c>
      <c r="E23" s="8" t="s">
        <v>8</v>
      </c>
      <c r="F23" s="8">
        <f t="shared" si="1"/>
        <v>6.4</v>
      </c>
      <c r="H23" s="13" t="s">
        <v>23</v>
      </c>
      <c r="I23" s="13"/>
      <c r="J23" s="13"/>
      <c r="M23" s="10">
        <f>SUMIF(D20:D31,"Amazon",C20:C31)</f>
        <v>29.450000000000003</v>
      </c>
      <c r="N23" s="7">
        <f t="shared" si="2"/>
        <v>10</v>
      </c>
    </row>
    <row r="24" spans="2:14">
      <c r="B24" s="8" t="s">
        <v>18</v>
      </c>
      <c r="C24" s="8">
        <v>2.5</v>
      </c>
      <c r="D24" s="8" t="s">
        <v>19</v>
      </c>
      <c r="E24" s="8" t="s">
        <v>11</v>
      </c>
      <c r="F24" s="8">
        <f t="shared" si="1"/>
        <v>2.5</v>
      </c>
      <c r="H24" s="13"/>
      <c r="I24" s="13"/>
      <c r="J24" s="13"/>
      <c r="N24" s="7">
        <f t="shared" si="2"/>
        <v>0</v>
      </c>
    </row>
    <row r="25" spans="2:14">
      <c r="B25" s="8" t="s">
        <v>20</v>
      </c>
      <c r="C25" s="8">
        <v>6.5</v>
      </c>
      <c r="D25" s="8" t="s">
        <v>21</v>
      </c>
      <c r="E25" s="8" t="s">
        <v>14</v>
      </c>
      <c r="F25" s="8">
        <f t="shared" si="1"/>
        <v>6.5</v>
      </c>
      <c r="N25" s="7">
        <f t="shared" si="2"/>
        <v>10</v>
      </c>
    </row>
    <row r="26" spans="2:14">
      <c r="B26" s="8" t="s">
        <v>6</v>
      </c>
      <c r="C26" s="8">
        <v>8.75</v>
      </c>
      <c r="D26" s="8" t="s">
        <v>7</v>
      </c>
      <c r="E26" s="8" t="s">
        <v>8</v>
      </c>
      <c r="F26" s="8">
        <f t="shared" si="1"/>
        <v>8.8000000000000007</v>
      </c>
      <c r="N26" s="7">
        <f t="shared" si="2"/>
        <v>10</v>
      </c>
    </row>
    <row r="27" spans="2:14">
      <c r="B27" s="8" t="s">
        <v>15</v>
      </c>
      <c r="C27" s="8">
        <v>4.6500000000000004</v>
      </c>
      <c r="D27" s="8" t="s">
        <v>16</v>
      </c>
      <c r="E27" s="8" t="s">
        <v>11</v>
      </c>
      <c r="F27" s="8">
        <f t="shared" si="1"/>
        <v>4.7</v>
      </c>
      <c r="N27" s="7">
        <f t="shared" si="2"/>
        <v>0</v>
      </c>
    </row>
    <row r="28" spans="2:14">
      <c r="B28" s="8" t="s">
        <v>6</v>
      </c>
      <c r="C28" s="8">
        <v>12.85</v>
      </c>
      <c r="D28" s="8" t="s">
        <v>7</v>
      </c>
      <c r="E28" s="8" t="s">
        <v>14</v>
      </c>
      <c r="F28" s="8">
        <f t="shared" si="1"/>
        <v>12.9</v>
      </c>
      <c r="N28" s="7">
        <f t="shared" si="2"/>
        <v>10</v>
      </c>
    </row>
    <row r="29" spans="2:14">
      <c r="B29" s="8" t="s">
        <v>9</v>
      </c>
      <c r="C29" s="8">
        <v>8.25</v>
      </c>
      <c r="D29" s="8" t="s">
        <v>10</v>
      </c>
      <c r="E29" s="8" t="s">
        <v>8</v>
      </c>
      <c r="F29" s="8">
        <f t="shared" si="1"/>
        <v>8.3000000000000007</v>
      </c>
      <c r="N29" s="7">
        <f t="shared" si="2"/>
        <v>10</v>
      </c>
    </row>
    <row r="30" spans="2:14">
      <c r="B30" s="8" t="s">
        <v>12</v>
      </c>
      <c r="C30" s="8">
        <v>13.5</v>
      </c>
      <c r="D30" s="8" t="s">
        <v>13</v>
      </c>
      <c r="E30" s="8" t="s">
        <v>11</v>
      </c>
      <c r="F30" s="8">
        <f t="shared" si="1"/>
        <v>13.5</v>
      </c>
      <c r="N30" s="7">
        <f t="shared" si="2"/>
        <v>10</v>
      </c>
    </row>
    <row r="31" spans="2:14">
      <c r="B31" s="8" t="s">
        <v>15</v>
      </c>
      <c r="C31" s="8">
        <v>9.9499999999999993</v>
      </c>
      <c r="D31" s="8" t="s">
        <v>16</v>
      </c>
      <c r="E31" s="8" t="s">
        <v>14</v>
      </c>
      <c r="F31" s="8">
        <f t="shared" si="1"/>
        <v>10</v>
      </c>
      <c r="N31" s="7">
        <f t="shared" si="2"/>
        <v>10</v>
      </c>
    </row>
  </sheetData>
  <customSheetViews>
    <customSheetView guid="{86D36E03-787A-41EB-85FF-8BB8A222055B}" scale="120" showGridLines="0" topLeftCell="A73">
      <selection activeCell="H78" sqref="H78:I79"/>
      <pageMargins left="0" right="0" top="0" bottom="0" header="0" footer="0"/>
      <pageSetup orientation="portrait" r:id="rId1"/>
    </customSheetView>
    <customSheetView guid="{08E755F8-82E9-4D95-862B-81F55FBDDDF6}" scale="120" showGridLines="0" topLeftCell="A73">
      <selection activeCell="H78" sqref="H78:I79"/>
      <pageMargins left="0" right="0" top="0" bottom="0" header="0" footer="0"/>
      <pageSetup orientation="portrait" r:id="rId2"/>
    </customSheetView>
    <customSheetView guid="{C453A932-6110-4A84-A9C2-26C809391387}" scale="120" showGridLines="0" topLeftCell="A73">
      <selection activeCell="H78" sqref="H78:I79"/>
      <pageMargins left="0" right="0" top="0" bottom="0" header="0" footer="0"/>
      <pageSetup orientation="portrait" r:id="rId3"/>
    </customSheetView>
    <customSheetView guid="{0BF42E77-7016-4BE4-A5AB-A49974630D91}" scale="120" showGridLines="0" topLeftCell="A73">
      <selection activeCell="H78" sqref="H78:I79"/>
      <pageMargins left="0" right="0" top="0" bottom="0" header="0" footer="0"/>
      <pageSetup orientation="portrait" r:id="rId4"/>
    </customSheetView>
    <customSheetView guid="{B19B24CB-B859-49E3-8AE0-2D671510EE4F}" scale="120" showGridLines="0" topLeftCell="A73">
      <selection activeCell="H78" sqref="H78:I79"/>
      <pageMargins left="0" right="0" top="0" bottom="0" header="0" footer="0"/>
      <pageSetup orientation="portrait" r:id="rId5"/>
    </customSheetView>
    <customSheetView guid="{D9413B31-FDB2-4AE8-80A8-7F09954E703C}" scale="120" showGridLines="0" topLeftCell="A73">
      <selection activeCell="H78" sqref="H78:I79"/>
      <pageMargins left="0" right="0" top="0" bottom="0" header="0" footer="0"/>
      <pageSetup orientation="portrait" r:id="rId6"/>
    </customSheetView>
    <customSheetView guid="{FF03E81F-A9A8-4546-A9C3-77A6EEA02ED9}" scale="120" showGridLines="0" topLeftCell="A73">
      <selection activeCell="H78" sqref="H78:I79"/>
      <pageMargins left="0" right="0" top="0" bottom="0" header="0" footer="0"/>
      <pageSetup orientation="portrait" r:id="rId7"/>
    </customSheetView>
    <customSheetView guid="{EE811897-5BF5-4321-9879-5B7EDF90A350}" scale="120" showGridLines="0" topLeftCell="A73">
      <selection activeCell="H78" sqref="H78:I79"/>
      <pageMargins left="0" right="0" top="0" bottom="0" header="0" footer="0"/>
      <pageSetup orientation="portrait" r:id="rId8"/>
    </customSheetView>
    <customSheetView guid="{0E02FCC8-6440-4859-9F6B-C77617EF5D89}" scale="120" showGridLines="0" topLeftCell="A73">
      <selection activeCell="H78" sqref="H78:I79"/>
      <pageMargins left="0" right="0" top="0" bottom="0" header="0" footer="0"/>
      <pageSetup orientation="portrait" r:id="rId9"/>
    </customSheetView>
    <customSheetView guid="{0458C18D-9EF5-4516-9145-CA54D8EB1865}" scale="120" showGridLines="0" topLeftCell="A73">
      <selection activeCell="H78" sqref="H78:I79"/>
      <pageMargins left="0" right="0" top="0" bottom="0" header="0" footer="0"/>
      <pageSetup orientation="portrait" r:id="rId10"/>
    </customSheetView>
    <customSheetView guid="{DFE0B66A-2DCB-4802-A91B-F836707AD43C}" scale="120" showGridLines="0" topLeftCell="A73">
      <selection activeCell="H78" sqref="H78:I79"/>
      <pageMargins left="0" right="0" top="0" bottom="0" header="0" footer="0"/>
      <pageSetup orientation="portrait" r:id="rId11"/>
    </customSheetView>
    <customSheetView guid="{3511E245-32F9-4CFF-8540-6B03C6FAE218}" scale="120" showGridLines="0" topLeftCell="A73">
      <selection activeCell="H78" sqref="H78:I79"/>
      <pageMargins left="0" right="0" top="0" bottom="0" header="0" footer="0"/>
      <pageSetup orientation="portrait" r:id="rId12"/>
    </customSheetView>
    <customSheetView guid="{CE50DC7E-3038-4337-BAC8-5B16EE1D95B0}" scale="120" showGridLines="0" topLeftCell="A73">
      <selection activeCell="H78" sqref="H78:I79"/>
      <pageMargins left="0" right="0" top="0" bottom="0" header="0" footer="0"/>
      <pageSetup orientation="portrait" r:id="rId13"/>
    </customSheetView>
    <customSheetView guid="{C908A6D6-4C77-416B-BC46-6F501B5F842F}" scale="120" showGridLines="0" topLeftCell="A73">
      <selection activeCell="H78" sqref="H78:I79"/>
      <pageMargins left="0" right="0" top="0" bottom="0" header="0" footer="0"/>
      <pageSetup orientation="portrait" r:id="rId14"/>
    </customSheetView>
    <customSheetView guid="{C575B46A-1D4C-489C-97AE-5DAB6560E171}" scale="120" showGridLines="0" topLeftCell="A73">
      <selection activeCell="H78" sqref="H78:I79"/>
      <pageMargins left="0" right="0" top="0" bottom="0" header="0" footer="0"/>
      <pageSetup orientation="portrait" r:id="rId15"/>
    </customSheetView>
    <customSheetView guid="{81DEBAD0-6E86-4DFB-8642-C52E8C976BDA}" scale="120" showGridLines="0" topLeftCell="A73">
      <selection activeCell="H78" sqref="H78:I79"/>
      <pageMargins left="0" right="0" top="0" bottom="0" header="0" footer="0"/>
      <pageSetup orientation="portrait" r:id="rId16"/>
    </customSheetView>
    <customSheetView guid="{58306194-C83B-413E-AC5F-AD717216CB21}" scale="120" showGridLines="0" topLeftCell="A73">
      <selection activeCell="H78" sqref="H78:I79"/>
      <pageMargins left="0" right="0" top="0" bottom="0" header="0" footer="0"/>
      <pageSetup orientation="portrait" r:id="rId17"/>
    </customSheetView>
    <customSheetView guid="{E4375DB4-4B74-46BC-A9F2-C5C5055B366F}" scale="120" showGridLines="0" topLeftCell="A73">
      <selection activeCell="H78" sqref="H78:I79"/>
      <pageMargins left="0" right="0" top="0" bottom="0" header="0" footer="0"/>
      <pageSetup orientation="portrait" r:id="rId18"/>
    </customSheetView>
    <customSheetView guid="{2CEDB1FB-2942-4B51-BF30-285DCDB05292}" scale="120" showGridLines="0" topLeftCell="A73">
      <selection activeCell="H78" sqref="H78:I79"/>
      <pageMargins left="0" right="0" top="0" bottom="0" header="0" footer="0"/>
      <pageSetup orientation="portrait" r:id="rId19"/>
    </customSheetView>
    <customSheetView guid="{DF16608F-40E8-490E-B08D-ED6EEAB8B9EC}" scale="120" showGridLines="0" topLeftCell="A73">
      <selection activeCell="H78" sqref="H78:I79"/>
      <pageMargins left="0" right="0" top="0" bottom="0" header="0" footer="0"/>
      <pageSetup orientation="portrait" r:id="rId20"/>
    </customSheetView>
    <customSheetView guid="{2032DE14-E33D-44B5-9022-A2B48F059704}" scale="120" showGridLines="0" topLeftCell="A73">
      <selection activeCell="H78" sqref="H78:I79"/>
      <pageMargins left="0" right="0" top="0" bottom="0" header="0" footer="0"/>
      <pageSetup orientation="portrait" r:id="rId21"/>
    </customSheetView>
    <customSheetView guid="{EE4A95A5-BF42-4BAA-B9EB-84A9230A28F9}" scale="120" showGridLines="0" topLeftCell="A73">
      <selection activeCell="H78" sqref="H78:I79"/>
      <pageMargins left="0" right="0" top="0" bottom="0" header="0" footer="0"/>
      <pageSetup orientation="portrait" r:id="rId22"/>
    </customSheetView>
    <customSheetView guid="{8BEA0E04-8B9A-4A2D-9B80-4E7685E22D5E}" scale="120" showGridLines="0" topLeftCell="A73">
      <selection activeCell="H78" sqref="H78:I79"/>
      <pageMargins left="0" right="0" top="0" bottom="0" header="0" footer="0"/>
      <pageSetup orientation="portrait" r:id="rId23"/>
    </customSheetView>
    <customSheetView guid="{0125BE01-BBC8-4E5A-9A9A-3D1257916B8C}" scale="120" showGridLines="0" topLeftCell="A73">
      <selection activeCell="H78" sqref="H78:I79"/>
      <pageMargins left="0" right="0" top="0" bottom="0" header="0" footer="0"/>
      <pageSetup orientation="portrait" r:id="rId24"/>
    </customSheetView>
    <customSheetView guid="{7A9AB605-DB82-470C-B86B-95E2AB3523F6}" scale="120" showGridLines="0" topLeftCell="A73">
      <selection activeCell="H78" sqref="H78:I79"/>
      <pageMargins left="0" right="0" top="0" bottom="0" header="0" footer="0"/>
      <pageSetup orientation="portrait" r:id="rId25"/>
    </customSheetView>
    <customSheetView guid="{FC8D231F-57F9-45EE-9DEF-D7ED111600EB}" scale="120" showGridLines="0" topLeftCell="A73">
      <selection activeCell="H78" sqref="H78:I79"/>
      <pageMargins left="0" right="0" top="0" bottom="0" header="0" footer="0"/>
      <pageSetup orientation="portrait" r:id="rId26"/>
    </customSheetView>
    <customSheetView guid="{395DC3D6-3299-4A43-88E2-62703FCC0349}" scale="120" showGridLines="0" topLeftCell="A73">
      <selection activeCell="H78" sqref="H78:I79"/>
      <pageMargins left="0" right="0" top="0" bottom="0" header="0" footer="0"/>
      <pageSetup orientation="portrait" r:id="rId27"/>
    </customSheetView>
    <customSheetView guid="{5C8F4C13-387F-42D2-8CB5-92C4886D7919}" scale="120" showGridLines="0" topLeftCell="A73">
      <selection activeCell="H78" sqref="H78:I79"/>
      <pageMargins left="0" right="0" top="0" bottom="0" header="0" footer="0"/>
      <pageSetup orientation="portrait" r:id="rId28"/>
    </customSheetView>
    <customSheetView guid="{8A25BF65-C908-4B2F-9805-3CD39BD4330E}" scale="120" showGridLines="0" topLeftCell="A73">
      <selection activeCell="H78" sqref="H78:I79"/>
      <pageMargins left="0" right="0" top="0" bottom="0" header="0" footer="0"/>
      <pageSetup orientation="portrait" r:id="rId29"/>
    </customSheetView>
    <customSheetView guid="{F9A03991-7A83-41AE-B603-3D22265CDA22}" scale="120" showGridLines="0" topLeftCell="A73">
      <selection activeCell="H78" sqref="H78:I79"/>
      <pageMargins left="0" right="0" top="0" bottom="0" header="0" footer="0"/>
      <pageSetup orientation="portrait" r:id="rId30"/>
    </customSheetView>
    <customSheetView guid="{FEB5A49F-F7F7-412A-BE72-F90F7A4799C8}" scale="120" showGridLines="0" topLeftCell="A73">
      <selection activeCell="H78" sqref="H78:I79"/>
      <pageMargins left="0" right="0" top="0" bottom="0" header="0" footer="0"/>
      <pageSetup orientation="portrait" r:id="rId31"/>
    </customSheetView>
    <customSheetView guid="{F518ECB9-5D92-41E0-BFD2-C5175A02444D}" scale="120" showGridLines="0" topLeftCell="A73">
      <selection activeCell="H78" sqref="H78:I79"/>
      <pageMargins left="0" right="0" top="0" bottom="0" header="0" footer="0"/>
      <pageSetup orientation="portrait" r:id="rId32"/>
    </customSheetView>
    <customSheetView guid="{BCAB4838-A37A-4BCF-A9C9-CC50C95F58C7}" scale="120" showGridLines="0" topLeftCell="A73">
      <selection activeCell="H78" sqref="H78:I79"/>
      <pageMargins left="0" right="0" top="0" bottom="0" header="0" footer="0"/>
      <pageSetup orientation="portrait" r:id="rId33"/>
    </customSheetView>
    <customSheetView guid="{E1A67331-473F-4161-806C-BE35870C93B5}" scale="120" showGridLines="0" topLeftCell="A73">
      <selection activeCell="H78" sqref="H78:I79"/>
      <pageMargins left="0" right="0" top="0" bottom="0" header="0" footer="0"/>
      <pageSetup orientation="portrait" r:id="rId34"/>
    </customSheetView>
    <customSheetView guid="{CC562453-1E6B-4010-9E1B-775397A26EFA}" scale="120" showGridLines="0" topLeftCell="A73">
      <selection activeCell="H78" sqref="H78:I79"/>
      <pageMargins left="0" right="0" top="0" bottom="0" header="0" footer="0"/>
      <pageSetup orientation="portrait" r:id="rId35"/>
    </customSheetView>
    <customSheetView guid="{644A6A80-0D34-48F6-A071-17016DCD2D6E}" scale="120" showGridLines="0" topLeftCell="A73">
      <selection activeCell="H78" sqref="H78:I79"/>
      <pageMargins left="0" right="0" top="0" bottom="0" header="0" footer="0"/>
      <pageSetup orientation="portrait" r:id="rId36"/>
    </customSheetView>
    <customSheetView guid="{C65059E8-30E8-488B-A0E9-1B7961920C81}" scale="120" showGridLines="0" topLeftCell="A73">
      <selection activeCell="H78" sqref="H78:I79"/>
      <pageMargins left="0" right="0" top="0" bottom="0" header="0" footer="0"/>
      <pageSetup orientation="portrait" r:id="rId37"/>
    </customSheetView>
    <customSheetView guid="{95D39BA8-2B16-4954-ABAC-09AD33A86339}" scale="120" showGridLines="0" topLeftCell="A73">
      <selection activeCell="H78" sqref="H78:I79"/>
      <pageMargins left="0" right="0" top="0" bottom="0" header="0" footer="0"/>
      <pageSetup orientation="portrait" r:id="rId38"/>
    </customSheetView>
    <customSheetView guid="{25A4A7C0-9593-456C-861C-76D101D3FE93}" scale="120" showGridLines="0" topLeftCell="A73">
      <selection activeCell="H78" sqref="H78:I79"/>
      <pageMargins left="0" right="0" top="0" bottom="0" header="0" footer="0"/>
      <pageSetup orientation="portrait" r:id="rId39"/>
    </customSheetView>
    <customSheetView guid="{51BA8A3D-4711-49ED-89E2-EBC09DF2AEDC}" scale="120" showGridLines="0" topLeftCell="A73">
      <selection activeCell="H78" sqref="H78:I79"/>
      <pageMargins left="0" right="0" top="0" bottom="0" header="0" footer="0"/>
      <pageSetup orientation="portrait" r:id="rId40"/>
    </customSheetView>
    <customSheetView guid="{629A478C-29B1-4F25-A016-63CE32A1627F}" scale="120" showGridLines="0" topLeftCell="A73">
      <selection activeCell="H78" sqref="H78:I79"/>
      <pageMargins left="0" right="0" top="0" bottom="0" header="0" footer="0"/>
      <pageSetup orientation="portrait" r:id="rId41"/>
    </customSheetView>
    <customSheetView guid="{F789A6E6-3D06-4D93-BF02-46FA1A2548B2}" scale="120" showGridLines="0" topLeftCell="A73">
      <selection activeCell="H78" sqref="H78:I79"/>
      <pageMargins left="0" right="0" top="0" bottom="0" header="0" footer="0"/>
      <pageSetup orientation="portrait" r:id="rId42"/>
    </customSheetView>
    <customSheetView guid="{15D7A002-B247-4A6B-A16B-61BDD9B0066A}" scale="120" showGridLines="0" topLeftCell="A73">
      <selection activeCell="H78" sqref="H78:I79"/>
      <pageMargins left="0" right="0" top="0" bottom="0" header="0" footer="0"/>
      <pageSetup orientation="portrait" r:id="rId43"/>
    </customSheetView>
    <customSheetView guid="{9AFCAA87-4888-4976-A7C9-C06A34CB6C97}" scale="120" showGridLines="0" topLeftCell="A73">
      <selection activeCell="H78" sqref="H78:I79"/>
      <pageMargins left="0" right="0" top="0" bottom="0" header="0" footer="0"/>
      <pageSetup orientation="portrait" r:id="rId44"/>
    </customSheetView>
    <customSheetView guid="{E4FF7DB9-14DF-49DB-9F59-1898DDED4DCE}" scale="120" showGridLines="0" topLeftCell="A73">
      <selection activeCell="H78" sqref="H78:I79"/>
      <pageMargins left="0" right="0" top="0" bottom="0" header="0" footer="0"/>
      <pageSetup orientation="portrait" r:id="rId45"/>
    </customSheetView>
    <customSheetView guid="{EC7537C6-1678-41C1-B788-EF4AFFECF769}" scale="120" showGridLines="0" topLeftCell="A73">
      <selection activeCell="H78" sqref="H78:I79"/>
      <pageMargins left="0" right="0" top="0" bottom="0" header="0" footer="0"/>
      <pageSetup orientation="portrait" r:id="rId46"/>
    </customSheetView>
    <customSheetView guid="{1920E7A3-1C9F-4320-81BB-D11544051025}" scale="120" showGridLines="0" topLeftCell="A73">
      <selection activeCell="H78" sqref="H78:I79"/>
      <pageMargins left="0" right="0" top="0" bottom="0" header="0" footer="0"/>
      <pageSetup orientation="portrait" r:id="rId47"/>
    </customSheetView>
    <customSheetView guid="{02D27969-4CD1-473E-A0E8-856AB0664DE8}" scale="120" showGridLines="0" topLeftCell="A73">
      <selection activeCell="H78" sqref="H78:I79"/>
      <pageMargins left="0" right="0" top="0" bottom="0" header="0" footer="0"/>
      <pageSetup orientation="portrait" r:id="rId48"/>
    </customSheetView>
    <customSheetView guid="{422703F6-63C4-435C-AFE7-1030286678F6}" scale="120" showGridLines="0" topLeftCell="A73">
      <selection activeCell="H78" sqref="H78:I79"/>
      <pageMargins left="0" right="0" top="0" bottom="0" header="0" footer="0"/>
      <pageSetup orientation="portrait" r:id="rId49"/>
    </customSheetView>
    <customSheetView guid="{F3CB97AD-592C-4B6E-8AE3-1CD47479060C}" scale="120" showGridLines="0" topLeftCell="A73">
      <selection activeCell="H78" sqref="H78:I79"/>
      <pageMargins left="0" right="0" top="0" bottom="0" header="0" footer="0"/>
      <pageSetup orientation="portrait" r:id="rId50"/>
    </customSheetView>
    <customSheetView guid="{19DA6E7F-8950-4769-9BBE-2798EFA465A3}" scale="120" showGridLines="0" topLeftCell="A73">
      <selection activeCell="H78" sqref="H78:I79"/>
      <pageMargins left="0" right="0" top="0" bottom="0" header="0" footer="0"/>
      <pageSetup orientation="portrait" r:id="rId51"/>
    </customSheetView>
    <customSheetView guid="{47C01131-7443-4080-A2BB-6B6AA35C6913}" scale="120" showGridLines="0" topLeftCell="A73">
      <selection activeCell="H78" sqref="H78:I79"/>
      <pageMargins left="0" right="0" top="0" bottom="0" header="0" footer="0"/>
      <pageSetup orientation="portrait" r:id="rId52"/>
    </customSheetView>
    <customSheetView guid="{C7330417-67A9-44CF-917F-5F5E2F191AD4}" scale="120" showGridLines="0" topLeftCell="A73">
      <selection activeCell="H78" sqref="H78:I79"/>
      <pageMargins left="0" right="0" top="0" bottom="0" header="0" footer="0"/>
      <pageSetup orientation="portrait" r:id="rId53"/>
    </customSheetView>
    <customSheetView guid="{EBA5E9C4-A2DB-4DF0-BF75-1243E968318E}" scale="120" showGridLines="0" topLeftCell="A73">
      <selection activeCell="H78" sqref="H78:I79"/>
      <pageMargins left="0" right="0" top="0" bottom="0" header="0" footer="0"/>
      <pageSetup orientation="portrait" r:id="rId54"/>
    </customSheetView>
    <customSheetView guid="{7A7FC9A5-F2B5-4894-82BC-4528575F10D4}" scale="120" showGridLines="0" topLeftCell="A73">
      <selection activeCell="H78" sqref="H78:I79"/>
      <pageMargins left="0" right="0" top="0" bottom="0" header="0" footer="0"/>
      <pageSetup orientation="portrait" r:id="rId55"/>
    </customSheetView>
    <customSheetView guid="{6194C141-D0A1-4D58-BA55-90A184525AC3}" scale="120" showGridLines="0" topLeftCell="A73">
      <selection activeCell="H78" sqref="H78:I79"/>
      <pageMargins left="0" right="0" top="0" bottom="0" header="0" footer="0"/>
      <pageSetup orientation="portrait" r:id="rId56"/>
    </customSheetView>
    <customSheetView guid="{A5292A6B-6F92-4AB3-B051-EF87F39FC489}" scale="120" showGridLines="0" topLeftCell="A73">
      <selection activeCell="H78" sqref="H78:I79"/>
      <pageMargins left="0" right="0" top="0" bottom="0" header="0" footer="0"/>
      <pageSetup orientation="portrait" r:id="rId57"/>
    </customSheetView>
    <customSheetView guid="{C090DFAD-A23A-4678-87F2-095D84EBDDE8}" scale="120" showGridLines="0" topLeftCell="A3">
      <selection activeCell="A2" sqref="A2"/>
      <pageMargins left="0" right="0" top="0" bottom="0" header="0" footer="0"/>
      <pageSetup orientation="portrait" r:id="rId58"/>
    </customSheetView>
    <customSheetView guid="{4F11E31F-E14C-416D-BB97-C8CE74658FBE}" scale="120" showGridLines="0" topLeftCell="A19">
      <selection activeCell="I21" sqref="I21"/>
      <pageMargins left="0" right="0" top="0" bottom="0" header="0" footer="0"/>
      <pageSetup orientation="portrait" r:id="rId59"/>
    </customSheetView>
    <customSheetView guid="{F2A17A28-A3DF-492D-BAE9-AAEF2A13397B}" scale="120" showGridLines="0" topLeftCell="A36">
      <selection activeCell="C38" sqref="C38"/>
      <pageMargins left="0" right="0" top="0" bottom="0" header="0" footer="0"/>
      <pageSetup orientation="portrait" r:id="rId60"/>
    </customSheetView>
    <customSheetView guid="{8F332A92-7271-4FEC-B085-C15AA232FE21}" scale="120" showGridLines="0" topLeftCell="A73">
      <selection activeCell="B74" sqref="B74"/>
      <pageMargins left="0" right="0" top="0" bottom="0" header="0" footer="0"/>
      <pageSetup orientation="portrait" r:id="rId61"/>
    </customSheetView>
    <customSheetView guid="{6B1EB7F4-EF59-450E-A531-475C3A6E6150}" scale="120" showGridLines="0" topLeftCell="A89">
      <selection activeCell="H83" sqref="H83"/>
      <pageMargins left="0" right="0" top="0" bottom="0" header="0" footer="0"/>
      <pageSetup orientation="portrait" r:id="rId62"/>
    </customSheetView>
    <customSheetView guid="{8EBF087E-11C5-42EE-B564-FAEE72C86C17}" scale="120" showGridLines="0" topLeftCell="A105">
      <selection activeCell="B91" sqref="B91"/>
      <pageMargins left="0" right="0" top="0" bottom="0" header="0" footer="0"/>
      <pageSetup orientation="portrait" r:id="rId63"/>
    </customSheetView>
    <customSheetView guid="{F716839F-5448-40FC-95BC-286199FD6764}" scale="120" showGridLines="0" topLeftCell="A73">
      <selection activeCell="H78" sqref="H78:I79"/>
      <pageMargins left="0" right="0" top="0" bottom="0" header="0" footer="0"/>
      <pageSetup orientation="portrait" r:id="rId64"/>
    </customSheetView>
    <customSheetView guid="{E712F22D-DF79-4936-B86B-186E637372BF}" scale="120" showGridLines="0" topLeftCell="A73">
      <selection activeCell="H78" sqref="H78:I79"/>
      <pageMargins left="0" right="0" top="0" bottom="0" header="0" footer="0"/>
      <pageSetup orientation="portrait" r:id="rId65"/>
    </customSheetView>
    <customSheetView guid="{672B3D91-11D6-418C-A856-9FF74CE5E6FB}" scale="120" showGridLines="0" topLeftCell="A73">
      <selection activeCell="H78" sqref="H78:I79"/>
      <pageMargins left="0" right="0" top="0" bottom="0" header="0" footer="0"/>
      <pageSetup orientation="portrait" r:id="rId66"/>
    </customSheetView>
    <customSheetView guid="{5B4753E1-B7DC-40C2-A28F-B07A6CB075FE}" scale="120" showGridLines="0" topLeftCell="A73">
      <selection activeCell="H78" sqref="H78:I79"/>
      <pageMargins left="0" right="0" top="0" bottom="0" header="0" footer="0"/>
      <pageSetup orientation="portrait" r:id="rId67"/>
    </customSheetView>
    <customSheetView guid="{EF2006E2-DE9B-4938-AD6F-8255BE7D529F}" scale="120" showGridLines="0" topLeftCell="A73">
      <selection activeCell="H78" sqref="H78:I79"/>
      <pageMargins left="0" right="0" top="0" bottom="0" header="0" footer="0"/>
      <pageSetup orientation="portrait" r:id="rId68"/>
    </customSheetView>
    <customSheetView guid="{0BFB30CE-F6D9-44B3-99BA-62858BF46600}" scale="120" showGridLines="0" topLeftCell="A73">
      <selection activeCell="H78" sqref="H78:I79"/>
      <pageMargins left="0" right="0" top="0" bottom="0" header="0" footer="0"/>
      <pageSetup orientation="portrait" r:id="rId69"/>
    </customSheetView>
    <customSheetView guid="{E3977DAC-58A9-43A5-A2CD-037AE84A3934}" scale="120" showGridLines="0" topLeftCell="A73">
      <selection activeCell="H78" sqref="H78:I79"/>
      <pageMargins left="0" right="0" top="0" bottom="0" header="0" footer="0"/>
      <pageSetup orientation="portrait" r:id="rId70"/>
    </customSheetView>
    <customSheetView guid="{E18774DE-EF27-4708-91D7-FE2A7EE4C992}" scale="120" showGridLines="0" topLeftCell="A73">
      <selection activeCell="H78" sqref="H78:I79"/>
      <pageMargins left="0" right="0" top="0" bottom="0" header="0" footer="0"/>
      <pageSetup orientation="portrait" r:id="rId71"/>
    </customSheetView>
    <customSheetView guid="{F102CDDA-1DB7-4BD5-8A8F-CD5640485596}" scale="120" showGridLines="0" topLeftCell="A73">
      <selection activeCell="H78" sqref="H78:I79"/>
      <pageMargins left="0" right="0" top="0" bottom="0" header="0" footer="0"/>
      <pageSetup orientation="portrait" r:id="rId72"/>
    </customSheetView>
    <customSheetView guid="{A3C7F73E-8288-4122-801A-9A426BB0DFB8}" scale="120" showGridLines="0" topLeftCell="A73">
      <selection activeCell="H78" sqref="H78:I79"/>
      <pageMargins left="0" right="0" top="0" bottom="0" header="0" footer="0"/>
      <pageSetup orientation="portrait" r:id="rId73"/>
    </customSheetView>
    <customSheetView guid="{C1FEC2CE-0AE0-4F12-8438-BD3D230D3830}" scale="120" showGridLines="0" topLeftCell="A73">
      <selection activeCell="H78" sqref="H78:I79"/>
      <pageMargins left="0" right="0" top="0" bottom="0" header="0" footer="0"/>
      <pageSetup orientation="portrait" r:id="rId74"/>
    </customSheetView>
    <customSheetView guid="{576A445C-3D9A-438D-AC68-B679E3D65634}" scale="120" showGridLines="0" topLeftCell="A73">
      <selection activeCell="H78" sqref="H78:I79"/>
      <pageMargins left="0" right="0" top="0" bottom="0" header="0" footer="0"/>
      <pageSetup orientation="portrait" r:id="rId75"/>
    </customSheetView>
  </customSheetViews>
  <mergeCells count="2">
    <mergeCell ref="H7:J8"/>
    <mergeCell ref="H23:J24"/>
  </mergeCells>
  <pageMargins left="0.7" right="0.7" top="0.75" bottom="0.75" header="0.3" footer="0.3"/>
  <pageSetup orientation="portrait" r:id="rId76"/>
  <drawing r:id="rId7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F3C5F-D796-443A-9AB2-82FCC2F879D3}">
  <sheetPr codeName="Sheet20"/>
  <dimension ref="C4:P28"/>
  <sheetViews>
    <sheetView showGridLines="0" topLeftCell="A11" zoomScale="120" zoomScaleNormal="110" workbookViewId="0">
      <selection activeCell="G20" sqref="G20:G28"/>
    </sheetView>
  </sheetViews>
  <sheetFormatPr defaultRowHeight="15"/>
  <cols>
    <col min="2" max="2" width="5.140625" customWidth="1"/>
    <col min="3" max="3" width="13.5703125" bestFit="1" customWidth="1"/>
    <col min="4" max="4" width="12.42578125" bestFit="1" customWidth="1"/>
    <col min="5" max="5" width="14.28515625" bestFit="1" customWidth="1"/>
    <col min="6" max="6" width="28.140625" bestFit="1" customWidth="1"/>
    <col min="7" max="7" width="18.5703125" customWidth="1"/>
    <col min="8" max="8" width="7" customWidth="1"/>
    <col min="10" max="10" width="7.42578125" customWidth="1"/>
    <col min="11" max="11" width="7.140625" customWidth="1"/>
    <col min="12" max="12" width="7.85546875" customWidth="1"/>
    <col min="13" max="13" width="8" customWidth="1"/>
  </cols>
  <sheetData>
    <row r="4" spans="3:16" ht="18.75">
      <c r="C4" s="9" t="s">
        <v>24</v>
      </c>
      <c r="D4" s="9" t="s">
        <v>25</v>
      </c>
      <c r="E4" s="9" t="s">
        <v>26</v>
      </c>
      <c r="F4" s="9" t="s">
        <v>27</v>
      </c>
      <c r="G4" t="s">
        <v>28</v>
      </c>
      <c r="O4">
        <v>-2</v>
      </c>
      <c r="P4">
        <v>-3</v>
      </c>
    </row>
    <row r="5" spans="3:16" ht="18.75">
      <c r="C5" s="8" t="s">
        <v>29</v>
      </c>
      <c r="D5" s="8" t="s">
        <v>30</v>
      </c>
      <c r="E5" s="8">
        <v>787.8569</v>
      </c>
      <c r="F5" s="8">
        <f>ROUNDUP(E5,0)</f>
        <v>788</v>
      </c>
      <c r="G5">
        <f>ROUNDUP(E5,-1)</f>
        <v>790</v>
      </c>
      <c r="O5">
        <f>ROUNDUP(E5,-2)</f>
        <v>800</v>
      </c>
      <c r="P5">
        <f>ROUNDUP(E5,-3)</f>
        <v>1000</v>
      </c>
    </row>
    <row r="6" spans="3:16" ht="18.75">
      <c r="C6" s="8" t="s">
        <v>31</v>
      </c>
      <c r="D6" s="8" t="s">
        <v>30</v>
      </c>
      <c r="E6" s="8">
        <v>457.23439999999999</v>
      </c>
      <c r="F6" s="8">
        <f t="shared" ref="F6:F13" si="0">ROUNDUP(E6,0)</f>
        <v>458</v>
      </c>
      <c r="G6">
        <f t="shared" ref="G6:G13" si="1">ROUNDUP(E6,-1)</f>
        <v>460</v>
      </c>
      <c r="O6">
        <f t="shared" ref="O6:O13" si="2">ROUNDUP(E6,-2)</f>
        <v>500</v>
      </c>
      <c r="P6">
        <f t="shared" ref="P6:P13" si="3">ROUNDUP(E6,-3)</f>
        <v>1000</v>
      </c>
    </row>
    <row r="7" spans="3:16" ht="18.75" customHeight="1">
      <c r="C7" s="8" t="s">
        <v>29</v>
      </c>
      <c r="D7" s="8" t="s">
        <v>32</v>
      </c>
      <c r="E7" s="8">
        <v>411.34449999999998</v>
      </c>
      <c r="F7" s="8">
        <f t="shared" si="0"/>
        <v>412</v>
      </c>
      <c r="G7">
        <f t="shared" si="1"/>
        <v>420</v>
      </c>
      <c r="I7" s="14" t="s">
        <v>33</v>
      </c>
      <c r="J7" s="14"/>
      <c r="K7" s="14"/>
      <c r="L7" s="14"/>
      <c r="M7" s="14"/>
      <c r="O7">
        <f t="shared" si="2"/>
        <v>500</v>
      </c>
      <c r="P7">
        <f t="shared" si="3"/>
        <v>1000</v>
      </c>
    </row>
    <row r="8" spans="3:16" ht="18.75">
      <c r="C8" s="8" t="s">
        <v>31</v>
      </c>
      <c r="D8" s="8" t="s">
        <v>32</v>
      </c>
      <c r="E8" s="8">
        <v>506.12200000000001</v>
      </c>
      <c r="F8" s="8">
        <f t="shared" si="0"/>
        <v>507</v>
      </c>
      <c r="G8">
        <f t="shared" si="1"/>
        <v>510</v>
      </c>
      <c r="I8" s="14"/>
      <c r="J8" s="14"/>
      <c r="K8" s="14"/>
      <c r="L8" s="14"/>
      <c r="M8" s="14"/>
      <c r="O8">
        <f t="shared" si="2"/>
        <v>600</v>
      </c>
      <c r="P8">
        <f t="shared" si="3"/>
        <v>1000</v>
      </c>
    </row>
    <row r="9" spans="3:16" ht="18.75">
      <c r="C9" s="8" t="s">
        <v>29</v>
      </c>
      <c r="D9" s="8" t="s">
        <v>34</v>
      </c>
      <c r="E9" s="8">
        <v>370.33210000000003</v>
      </c>
      <c r="F9" s="8">
        <f t="shared" si="0"/>
        <v>371</v>
      </c>
      <c r="G9">
        <f t="shared" si="1"/>
        <v>380</v>
      </c>
      <c r="I9" s="14"/>
      <c r="J9" s="14"/>
      <c r="K9" s="14"/>
      <c r="L9" s="14"/>
      <c r="M9" s="14"/>
      <c r="O9">
        <f t="shared" si="2"/>
        <v>400</v>
      </c>
      <c r="P9">
        <f t="shared" si="3"/>
        <v>1000</v>
      </c>
    </row>
    <row r="10" spans="3:16" ht="18.75">
      <c r="C10" s="8" t="s">
        <v>31</v>
      </c>
      <c r="D10" s="8" t="s">
        <v>34</v>
      </c>
      <c r="E10" s="8">
        <v>713.89890000000003</v>
      </c>
      <c r="F10" s="8">
        <f t="shared" si="0"/>
        <v>714</v>
      </c>
      <c r="G10">
        <f t="shared" si="1"/>
        <v>720</v>
      </c>
      <c r="O10">
        <f t="shared" si="2"/>
        <v>800</v>
      </c>
      <c r="P10">
        <f t="shared" si="3"/>
        <v>1000</v>
      </c>
    </row>
    <row r="11" spans="3:16" ht="18.75">
      <c r="C11" s="8" t="s">
        <v>29</v>
      </c>
      <c r="D11" s="8" t="s">
        <v>30</v>
      </c>
      <c r="E11" s="8">
        <v>346.45760000000001</v>
      </c>
      <c r="F11" s="8">
        <f t="shared" si="0"/>
        <v>347</v>
      </c>
      <c r="G11">
        <f t="shared" si="1"/>
        <v>350</v>
      </c>
      <c r="O11">
        <f t="shared" si="2"/>
        <v>400</v>
      </c>
      <c r="P11">
        <f t="shared" si="3"/>
        <v>1000</v>
      </c>
    </row>
    <row r="12" spans="3:16" ht="18.75">
      <c r="C12" s="8" t="s">
        <v>31</v>
      </c>
      <c r="D12" s="8" t="s">
        <v>32</v>
      </c>
      <c r="E12" s="8">
        <v>691.64986999999996</v>
      </c>
      <c r="F12" s="8">
        <f t="shared" si="0"/>
        <v>692</v>
      </c>
      <c r="G12">
        <f t="shared" si="1"/>
        <v>700</v>
      </c>
      <c r="O12">
        <f t="shared" si="2"/>
        <v>700</v>
      </c>
      <c r="P12">
        <f t="shared" si="3"/>
        <v>1000</v>
      </c>
    </row>
    <row r="13" spans="3:16" ht="18.75">
      <c r="C13" s="8" t="s">
        <v>31</v>
      </c>
      <c r="D13" s="8" t="s">
        <v>34</v>
      </c>
      <c r="E13" s="8">
        <v>461.55466899999999</v>
      </c>
      <c r="F13" s="8">
        <f t="shared" si="0"/>
        <v>462</v>
      </c>
      <c r="G13">
        <f t="shared" si="1"/>
        <v>470</v>
      </c>
      <c r="O13">
        <f t="shared" si="2"/>
        <v>500</v>
      </c>
      <c r="P13">
        <f t="shared" si="3"/>
        <v>1000</v>
      </c>
    </row>
    <row r="15" spans="3:16" ht="18.75">
      <c r="E15" s="11"/>
      <c r="G15" t="s">
        <v>35</v>
      </c>
    </row>
    <row r="19" spans="3:13" ht="18.75">
      <c r="C19" s="9" t="s">
        <v>24</v>
      </c>
      <c r="D19" s="9" t="s">
        <v>25</v>
      </c>
      <c r="E19" s="9" t="s">
        <v>26</v>
      </c>
      <c r="F19" s="9" t="s">
        <v>36</v>
      </c>
    </row>
    <row r="20" spans="3:13" ht="18.75">
      <c r="C20" s="8" t="s">
        <v>29</v>
      </c>
      <c r="D20" s="8" t="s">
        <v>30</v>
      </c>
      <c r="E20" s="8">
        <v>787.8569</v>
      </c>
      <c r="F20" s="8">
        <f>ROUNDDOWN(E20,0)</f>
        <v>787</v>
      </c>
      <c r="G20">
        <f>ROUNDDOWN(E20,-1)</f>
        <v>780</v>
      </c>
      <c r="H20" s="11"/>
    </row>
    <row r="21" spans="3:13" ht="18.75">
      <c r="C21" s="8" t="s">
        <v>31</v>
      </c>
      <c r="D21" s="8" t="s">
        <v>30</v>
      </c>
      <c r="E21" s="8">
        <v>457.23439999999999</v>
      </c>
      <c r="F21" s="8">
        <f t="shared" ref="F21:F28" si="4">ROUNDDOWN(E21,0)</f>
        <v>457</v>
      </c>
      <c r="G21">
        <f t="shared" ref="G21:G28" si="5">ROUNDDOWN(E21,-1)</f>
        <v>450</v>
      </c>
      <c r="H21" s="11"/>
    </row>
    <row r="22" spans="3:13" ht="18.75" customHeight="1">
      <c r="C22" s="8" t="s">
        <v>29</v>
      </c>
      <c r="D22" s="8" t="s">
        <v>32</v>
      </c>
      <c r="E22" s="8">
        <v>411.34449999999998</v>
      </c>
      <c r="F22" s="8">
        <f t="shared" si="4"/>
        <v>411</v>
      </c>
      <c r="G22">
        <f t="shared" si="5"/>
        <v>410</v>
      </c>
      <c r="H22" s="11"/>
      <c r="I22" s="14" t="s">
        <v>37</v>
      </c>
      <c r="J22" s="14"/>
      <c r="K22" s="14"/>
      <c r="L22" s="14"/>
      <c r="M22" s="14"/>
    </row>
    <row r="23" spans="3:13" ht="18.75">
      <c r="C23" s="8" t="s">
        <v>31</v>
      </c>
      <c r="D23" s="8" t="s">
        <v>32</v>
      </c>
      <c r="E23" s="8">
        <v>506.12200000000001</v>
      </c>
      <c r="F23" s="8">
        <f t="shared" si="4"/>
        <v>506</v>
      </c>
      <c r="G23">
        <f t="shared" si="5"/>
        <v>500</v>
      </c>
      <c r="H23" s="11"/>
      <c r="I23" s="14"/>
      <c r="J23" s="14"/>
      <c r="K23" s="14"/>
      <c r="L23" s="14"/>
      <c r="M23" s="14"/>
    </row>
    <row r="24" spans="3:13" ht="18.75">
      <c r="C24" s="8" t="s">
        <v>29</v>
      </c>
      <c r="D24" s="8" t="s">
        <v>34</v>
      </c>
      <c r="E24" s="8">
        <v>370.33210000000003</v>
      </c>
      <c r="F24" s="8">
        <f t="shared" si="4"/>
        <v>370</v>
      </c>
      <c r="G24">
        <f t="shared" si="5"/>
        <v>370</v>
      </c>
      <c r="H24" s="11"/>
      <c r="I24" s="14"/>
      <c r="J24" s="14"/>
      <c r="K24" s="14"/>
      <c r="L24" s="14"/>
      <c r="M24" s="14"/>
    </row>
    <row r="25" spans="3:13" ht="18.75">
      <c r="C25" s="8" t="s">
        <v>31</v>
      </c>
      <c r="D25" s="8" t="s">
        <v>34</v>
      </c>
      <c r="E25" s="8">
        <v>713.89890000000003</v>
      </c>
      <c r="F25" s="8">
        <f t="shared" si="4"/>
        <v>713</v>
      </c>
      <c r="G25">
        <f t="shared" si="5"/>
        <v>710</v>
      </c>
      <c r="H25" s="11"/>
    </row>
    <row r="26" spans="3:13" ht="18.75">
      <c r="C26" s="8" t="s">
        <v>29</v>
      </c>
      <c r="D26" s="8" t="s">
        <v>30</v>
      </c>
      <c r="E26" s="8">
        <v>346.45760000000001</v>
      </c>
      <c r="F26" s="8">
        <f t="shared" si="4"/>
        <v>346</v>
      </c>
      <c r="G26">
        <f t="shared" si="5"/>
        <v>340</v>
      </c>
      <c r="H26" s="11"/>
    </row>
    <row r="27" spans="3:13" ht="18.75">
      <c r="C27" s="8" t="s">
        <v>31</v>
      </c>
      <c r="D27" s="8" t="s">
        <v>32</v>
      </c>
      <c r="E27" s="8">
        <v>691.64986999999996</v>
      </c>
      <c r="F27" s="8">
        <f t="shared" si="4"/>
        <v>691</v>
      </c>
      <c r="G27">
        <f t="shared" si="5"/>
        <v>690</v>
      </c>
      <c r="H27" s="11"/>
    </row>
    <row r="28" spans="3:13" ht="18.75">
      <c r="C28" s="8" t="s">
        <v>31</v>
      </c>
      <c r="D28" s="8" t="s">
        <v>34</v>
      </c>
      <c r="E28" s="8">
        <v>461.55466899999999</v>
      </c>
      <c r="F28" s="8">
        <f t="shared" si="4"/>
        <v>461</v>
      </c>
      <c r="G28">
        <f t="shared" si="5"/>
        <v>460</v>
      </c>
      <c r="H28" s="11"/>
    </row>
  </sheetData>
  <customSheetViews>
    <customSheetView guid="{86D36E03-787A-41EB-85FF-8BB8A222055B}" scale="120" showGridLines="0" topLeftCell="A30">
      <selection activeCell="H41" sqref="H41"/>
      <pageMargins left="0" right="0" top="0" bottom="0" header="0" footer="0"/>
      <pageSetup orientation="portrait" r:id="rId1"/>
    </customSheetView>
    <customSheetView guid="{08E755F8-82E9-4D95-862B-81F55FBDDDF6}" scale="120" showGridLines="0" topLeftCell="A30">
      <selection activeCell="H41" sqref="H41"/>
      <pageMargins left="0" right="0" top="0" bottom="0" header="0" footer="0"/>
      <pageSetup orientation="portrait" r:id="rId2"/>
    </customSheetView>
    <customSheetView guid="{C453A932-6110-4A84-A9C2-26C809391387}" scale="120" showGridLines="0" topLeftCell="A30">
      <selection activeCell="H41" sqref="H41"/>
      <pageMargins left="0" right="0" top="0" bottom="0" header="0" footer="0"/>
      <pageSetup orientation="portrait" r:id="rId3"/>
    </customSheetView>
    <customSheetView guid="{0BF42E77-7016-4BE4-A5AB-A49974630D91}" scale="120" showGridLines="0">
      <selection activeCell="F18" sqref="F18"/>
      <pageMargins left="0" right="0" top="0" bottom="0" header="0" footer="0"/>
      <pageSetup orientation="portrait" r:id="rId4"/>
    </customSheetView>
    <customSheetView guid="{B19B24CB-B859-49E3-8AE0-2D671510EE4F}" scale="120" showGridLines="0">
      <selection activeCell="F18" sqref="F18"/>
      <pageMargins left="0" right="0" top="0" bottom="0" header="0" footer="0"/>
      <pageSetup orientation="portrait" r:id="rId5"/>
    </customSheetView>
    <customSheetView guid="{D9413B31-FDB2-4AE8-80A8-7F09954E703C}" scale="120" showGridLines="0">
      <selection activeCell="F18" sqref="F18"/>
      <pageMargins left="0" right="0" top="0" bottom="0" header="0" footer="0"/>
      <pageSetup orientation="portrait" r:id="rId6"/>
    </customSheetView>
    <customSheetView guid="{FF03E81F-A9A8-4546-A9C3-77A6EEA02ED9}" scale="120" showGridLines="0">
      <selection activeCell="F18" sqref="F18"/>
      <pageMargins left="0" right="0" top="0" bottom="0" header="0" footer="0"/>
      <pageSetup orientation="portrait" r:id="rId7"/>
    </customSheetView>
    <customSheetView guid="{EE811897-5BF5-4321-9879-5B7EDF90A350}" scale="120" showGridLines="0">
      <selection activeCell="F18" sqref="F18"/>
      <pageMargins left="0" right="0" top="0" bottom="0" header="0" footer="0"/>
      <pageSetup orientation="portrait" r:id="rId8"/>
    </customSheetView>
    <customSheetView guid="{0E02FCC8-6440-4859-9F6B-C77617EF5D89}" scale="120" showGridLines="0">
      <selection activeCell="F18" sqref="F18"/>
      <pageMargins left="0" right="0" top="0" bottom="0" header="0" footer="0"/>
      <pageSetup orientation="portrait" r:id="rId9"/>
    </customSheetView>
    <customSheetView guid="{0458C18D-9EF5-4516-9145-CA54D8EB1865}" scale="120" showGridLines="0">
      <selection activeCell="F18" sqref="F18"/>
      <pageMargins left="0" right="0" top="0" bottom="0" header="0" footer="0"/>
      <pageSetup orientation="portrait" r:id="rId10"/>
    </customSheetView>
    <customSheetView guid="{DFE0B66A-2DCB-4802-A91B-F836707AD43C}" scale="120" showGridLines="0">
      <selection activeCell="F18" sqref="F18"/>
      <pageMargins left="0" right="0" top="0" bottom="0" header="0" footer="0"/>
      <pageSetup orientation="portrait" r:id="rId11"/>
    </customSheetView>
    <customSheetView guid="{3511E245-32F9-4CFF-8540-6B03C6FAE218}" scale="120" showGridLines="0">
      <selection activeCell="F18" sqref="F18"/>
      <pageMargins left="0" right="0" top="0" bottom="0" header="0" footer="0"/>
      <pageSetup orientation="portrait" r:id="rId12"/>
    </customSheetView>
    <customSheetView guid="{CE50DC7E-3038-4337-BAC8-5B16EE1D95B0}" scale="120" showGridLines="0">
      <selection activeCell="F18" sqref="F18"/>
      <pageMargins left="0" right="0" top="0" bottom="0" header="0" footer="0"/>
      <pageSetup orientation="portrait" r:id="rId13"/>
    </customSheetView>
    <customSheetView guid="{C908A6D6-4C77-416B-BC46-6F501B5F842F}" scale="120" showGridLines="0">
      <selection activeCell="F18" sqref="F18"/>
      <pageMargins left="0" right="0" top="0" bottom="0" header="0" footer="0"/>
      <pageSetup orientation="portrait" r:id="rId14"/>
    </customSheetView>
    <customSheetView guid="{C575B46A-1D4C-489C-97AE-5DAB6560E171}" scale="120" showGridLines="0">
      <selection activeCell="F20" sqref="F20"/>
      <pageMargins left="0" right="0" top="0" bottom="0" header="0" footer="0"/>
      <pageSetup orientation="portrait" r:id="rId15"/>
    </customSheetView>
    <customSheetView guid="{81DEBAD0-6E86-4DFB-8642-C52E8C976BDA}" scale="120" showGridLines="0">
      <selection activeCell="F20" sqref="F20"/>
      <pageMargins left="0" right="0" top="0" bottom="0" header="0" footer="0"/>
      <pageSetup orientation="portrait" r:id="rId16"/>
    </customSheetView>
    <customSheetView guid="{58306194-C83B-413E-AC5F-AD717216CB21}" scale="120" showGridLines="0">
      <selection activeCell="F20" sqref="F20"/>
      <pageMargins left="0" right="0" top="0" bottom="0" header="0" footer="0"/>
      <pageSetup orientation="portrait" r:id="rId17"/>
    </customSheetView>
    <customSheetView guid="{E4375DB4-4B74-46BC-A9F2-C5C5055B366F}" scale="120" showGridLines="0">
      <selection activeCell="F20" sqref="F20"/>
      <pageMargins left="0" right="0" top="0" bottom="0" header="0" footer="0"/>
      <pageSetup orientation="portrait" r:id="rId18"/>
    </customSheetView>
    <customSheetView guid="{2CEDB1FB-2942-4B51-BF30-285DCDB05292}" scale="120" showGridLines="0">
      <selection activeCell="F20" sqref="F20"/>
      <pageMargins left="0" right="0" top="0" bottom="0" header="0" footer="0"/>
      <pageSetup orientation="portrait" r:id="rId19"/>
    </customSheetView>
    <customSheetView guid="{DF16608F-40E8-490E-B08D-ED6EEAB8B9EC}" scale="120" showGridLines="0">
      <selection activeCell="F20" sqref="F20"/>
      <pageMargins left="0" right="0" top="0" bottom="0" header="0" footer="0"/>
      <pageSetup orientation="portrait" r:id="rId20"/>
    </customSheetView>
    <customSheetView guid="{2032DE14-E33D-44B5-9022-A2B48F059704}" scale="120" showGridLines="0" topLeftCell="A30">
      <selection activeCell="F20" sqref="F20"/>
      <pageMargins left="0" right="0" top="0" bottom="0" header="0" footer="0"/>
      <pageSetup orientation="portrait" r:id="rId21"/>
    </customSheetView>
    <customSheetView guid="{EE4A95A5-BF42-4BAA-B9EB-84A9230A28F9}" scale="120" showGridLines="0" topLeftCell="A16">
      <selection activeCell="F20" sqref="F20"/>
      <pageMargins left="0" right="0" top="0" bottom="0" header="0" footer="0"/>
      <pageSetup orientation="portrait" r:id="rId22"/>
    </customSheetView>
    <customSheetView guid="{8BEA0E04-8B9A-4A2D-9B80-4E7685E22D5E}" scale="120" showGridLines="0">
      <selection activeCell="F5" sqref="F5"/>
      <pageMargins left="0" right="0" top="0" bottom="0" header="0" footer="0"/>
      <pageSetup orientation="portrait" r:id="rId23"/>
    </customSheetView>
  </customSheetViews>
  <mergeCells count="2">
    <mergeCell ref="I7:M9"/>
    <mergeCell ref="I22:M24"/>
  </mergeCells>
  <pageMargins left="0.7" right="0.7" top="0.75" bottom="0.75" header="0.3" footer="0.3"/>
  <pageSetup orientation="portrait" r:id="rId24"/>
  <drawing r:id="rId2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930D0-1095-45F4-81AC-8CD1D369125F}">
  <dimension ref="C5:P35"/>
  <sheetViews>
    <sheetView showGridLines="0" topLeftCell="A12" zoomScale="120" zoomScaleNormal="110" workbookViewId="0">
      <selection activeCell="F27" sqref="F27"/>
    </sheetView>
  </sheetViews>
  <sheetFormatPr defaultRowHeight="15"/>
  <cols>
    <col min="2" max="2" width="5.140625" customWidth="1"/>
    <col min="3" max="3" width="13.5703125" bestFit="1" customWidth="1"/>
    <col min="4" max="4" width="12.42578125" bestFit="1" customWidth="1"/>
    <col min="5" max="5" width="14.28515625" bestFit="1" customWidth="1"/>
    <col min="6" max="6" width="28.140625" bestFit="1" customWidth="1"/>
    <col min="7" max="7" width="15" customWidth="1"/>
    <col min="8" max="8" width="7" customWidth="1"/>
    <col min="10" max="10" width="7.42578125" customWidth="1"/>
    <col min="11" max="11" width="7.140625" customWidth="1"/>
    <col min="12" max="12" width="7.85546875" customWidth="1"/>
    <col min="13" max="13" width="8" customWidth="1"/>
  </cols>
  <sheetData>
    <row r="5" spans="3:16" ht="18.75">
      <c r="C5" s="9" t="s">
        <v>24</v>
      </c>
      <c r="D5" s="9" t="s">
        <v>25</v>
      </c>
      <c r="E5" s="9" t="s">
        <v>26</v>
      </c>
      <c r="F5" s="9" t="s">
        <v>38</v>
      </c>
    </row>
    <row r="6" spans="3:16" ht="18.75">
      <c r="C6" s="8" t="s">
        <v>29</v>
      </c>
      <c r="D6" s="8" t="s">
        <v>30</v>
      </c>
      <c r="E6" s="8">
        <v>787.8569</v>
      </c>
      <c r="F6" s="8">
        <f>MROUND(E6,1)</f>
        <v>788</v>
      </c>
      <c r="G6">
        <f>MROUND(E6,50)</f>
        <v>800</v>
      </c>
      <c r="N6">
        <f>MROUND(E6,120)</f>
        <v>840</v>
      </c>
      <c r="P6" s="12" t="s">
        <v>39</v>
      </c>
    </row>
    <row r="7" spans="3:16" ht="18.75">
      <c r="C7" s="8" t="s">
        <v>31</v>
      </c>
      <c r="D7" s="8" t="s">
        <v>30</v>
      </c>
      <c r="E7" s="8">
        <v>457.23439999999999</v>
      </c>
      <c r="F7" s="8">
        <f t="shared" ref="F7:F14" si="0">MROUND(E7,1)</f>
        <v>457</v>
      </c>
      <c r="G7">
        <f t="shared" ref="G7:G14" si="1">MROUND(E7,50)</f>
        <v>450</v>
      </c>
      <c r="N7">
        <f t="shared" ref="N7:N14" si="2">MROUND(E7,120)</f>
        <v>480</v>
      </c>
    </row>
    <row r="8" spans="3:16" ht="18.75">
      <c r="C8" s="8" t="s">
        <v>29</v>
      </c>
      <c r="D8" s="8" t="s">
        <v>32</v>
      </c>
      <c r="E8" s="8">
        <v>411.34449999999998</v>
      </c>
      <c r="F8" s="8">
        <f t="shared" si="0"/>
        <v>411</v>
      </c>
      <c r="G8">
        <f t="shared" si="1"/>
        <v>400</v>
      </c>
      <c r="I8" s="14" t="s">
        <v>40</v>
      </c>
      <c r="J8" s="14"/>
      <c r="K8" s="14"/>
      <c r="L8" s="14"/>
      <c r="M8" s="14"/>
      <c r="N8">
        <f t="shared" si="2"/>
        <v>360</v>
      </c>
    </row>
    <row r="9" spans="3:16" ht="18.75">
      <c r="C9" s="8" t="s">
        <v>31</v>
      </c>
      <c r="D9" s="8" t="s">
        <v>32</v>
      </c>
      <c r="E9" s="8">
        <v>506.12200000000001</v>
      </c>
      <c r="F9" s="8">
        <f t="shared" si="0"/>
        <v>506</v>
      </c>
      <c r="G9">
        <f t="shared" si="1"/>
        <v>500</v>
      </c>
      <c r="I9" s="14"/>
      <c r="J9" s="14"/>
      <c r="K9" s="14"/>
      <c r="L9" s="14"/>
      <c r="M9" s="14"/>
      <c r="N9">
        <f t="shared" si="2"/>
        <v>480</v>
      </c>
    </row>
    <row r="10" spans="3:16" ht="18.75">
      <c r="C10" s="8" t="s">
        <v>29</v>
      </c>
      <c r="D10" s="8" t="s">
        <v>34</v>
      </c>
      <c r="E10" s="8">
        <v>370.33210000000003</v>
      </c>
      <c r="F10" s="8">
        <f t="shared" si="0"/>
        <v>370</v>
      </c>
      <c r="G10">
        <f t="shared" si="1"/>
        <v>350</v>
      </c>
      <c r="N10">
        <f t="shared" si="2"/>
        <v>360</v>
      </c>
    </row>
    <row r="11" spans="3:16" ht="18.75">
      <c r="C11" s="8" t="s">
        <v>31</v>
      </c>
      <c r="D11" s="8" t="s">
        <v>34</v>
      </c>
      <c r="E11" s="8">
        <v>713.89890000000003</v>
      </c>
      <c r="F11" s="8">
        <f t="shared" si="0"/>
        <v>714</v>
      </c>
      <c r="G11">
        <f t="shared" si="1"/>
        <v>700</v>
      </c>
      <c r="N11">
        <f t="shared" si="2"/>
        <v>720</v>
      </c>
    </row>
    <row r="12" spans="3:16" ht="18.75">
      <c r="C12" s="8" t="s">
        <v>29</v>
      </c>
      <c r="D12" s="8" t="s">
        <v>30</v>
      </c>
      <c r="E12" s="8">
        <v>346.45760000000001</v>
      </c>
      <c r="F12" s="8">
        <f t="shared" si="0"/>
        <v>346</v>
      </c>
      <c r="G12">
        <f t="shared" si="1"/>
        <v>350</v>
      </c>
      <c r="N12">
        <f t="shared" si="2"/>
        <v>360</v>
      </c>
    </row>
    <row r="13" spans="3:16" ht="18.75">
      <c r="C13" s="8" t="s">
        <v>31</v>
      </c>
      <c r="D13" s="8" t="s">
        <v>32</v>
      </c>
      <c r="E13" s="8">
        <v>691.64986999999996</v>
      </c>
      <c r="F13" s="8">
        <f t="shared" si="0"/>
        <v>692</v>
      </c>
      <c r="G13">
        <f t="shared" si="1"/>
        <v>700</v>
      </c>
      <c r="N13">
        <f t="shared" si="2"/>
        <v>720</v>
      </c>
    </row>
    <row r="14" spans="3:16" ht="18.75">
      <c r="C14" s="8" t="s">
        <v>31</v>
      </c>
      <c r="D14" s="8" t="s">
        <v>34</v>
      </c>
      <c r="E14" s="8">
        <v>461.55466899999999</v>
      </c>
      <c r="F14" s="8">
        <f t="shared" si="0"/>
        <v>462</v>
      </c>
      <c r="G14">
        <f t="shared" si="1"/>
        <v>450</v>
      </c>
      <c r="N14">
        <f t="shared" si="2"/>
        <v>480</v>
      </c>
    </row>
    <row r="26" spans="3:13" ht="18.75">
      <c r="C26" s="9" t="s">
        <v>24</v>
      </c>
      <c r="D26" s="9" t="s">
        <v>25</v>
      </c>
      <c r="E26" s="9" t="s">
        <v>26</v>
      </c>
      <c r="F26" s="9" t="s">
        <v>41</v>
      </c>
    </row>
    <row r="27" spans="3:13" ht="18.75">
      <c r="C27" s="8" t="s">
        <v>29</v>
      </c>
      <c r="D27" s="8" t="s">
        <v>30</v>
      </c>
      <c r="E27" s="8">
        <v>787.8569</v>
      </c>
      <c r="F27" s="8">
        <f>MROUND(E27,5)</f>
        <v>790</v>
      </c>
    </row>
    <row r="28" spans="3:13" ht="18.75">
      <c r="C28" s="8" t="s">
        <v>31</v>
      </c>
      <c r="D28" s="8" t="s">
        <v>30</v>
      </c>
      <c r="E28" s="8">
        <v>457.23439999999999</v>
      </c>
      <c r="F28" s="8">
        <f t="shared" ref="F28:F35" si="3">MROUND(E28,5)</f>
        <v>455</v>
      </c>
    </row>
    <row r="29" spans="3:13" ht="18.75">
      <c r="C29" s="8" t="s">
        <v>29</v>
      </c>
      <c r="D29" s="8" t="s">
        <v>32</v>
      </c>
      <c r="E29" s="8">
        <v>411.34449999999998</v>
      </c>
      <c r="F29" s="8">
        <f t="shared" si="3"/>
        <v>410</v>
      </c>
      <c r="I29" s="14" t="s">
        <v>42</v>
      </c>
      <c r="J29" s="14"/>
      <c r="K29" s="14"/>
      <c r="L29" s="14"/>
      <c r="M29" s="14"/>
    </row>
    <row r="30" spans="3:13" ht="18.75">
      <c r="C30" s="8" t="s">
        <v>31</v>
      </c>
      <c r="D30" s="8" t="s">
        <v>32</v>
      </c>
      <c r="E30" s="8">
        <v>506.12200000000001</v>
      </c>
      <c r="F30" s="8">
        <f t="shared" si="3"/>
        <v>505</v>
      </c>
      <c r="I30" s="14"/>
      <c r="J30" s="14"/>
      <c r="K30" s="14"/>
      <c r="L30" s="14"/>
      <c r="M30" s="14"/>
    </row>
    <row r="31" spans="3:13" ht="18.75">
      <c r="C31" s="8" t="s">
        <v>29</v>
      </c>
      <c r="D31" s="8" t="s">
        <v>34</v>
      </c>
      <c r="E31" s="8">
        <v>370.33210000000003</v>
      </c>
      <c r="F31" s="8">
        <f t="shared" si="3"/>
        <v>370</v>
      </c>
    </row>
    <row r="32" spans="3:13" ht="18.75">
      <c r="C32" s="8" t="s">
        <v>31</v>
      </c>
      <c r="D32" s="8" t="s">
        <v>34</v>
      </c>
      <c r="E32" s="8">
        <v>713.89890000000003</v>
      </c>
      <c r="F32" s="8">
        <f t="shared" si="3"/>
        <v>715</v>
      </c>
    </row>
    <row r="33" spans="3:6" ht="18.75">
      <c r="C33" s="8" t="s">
        <v>29</v>
      </c>
      <c r="D33" s="8" t="s">
        <v>30</v>
      </c>
      <c r="E33" s="8">
        <v>346.45760000000001</v>
      </c>
      <c r="F33" s="8">
        <f t="shared" si="3"/>
        <v>345</v>
      </c>
    </row>
    <row r="34" spans="3:6" ht="18.75">
      <c r="C34" s="8" t="s">
        <v>31</v>
      </c>
      <c r="D34" s="8" t="s">
        <v>32</v>
      </c>
      <c r="E34" s="8">
        <v>691.64986999999996</v>
      </c>
      <c r="F34" s="8">
        <f t="shared" si="3"/>
        <v>690</v>
      </c>
    </row>
    <row r="35" spans="3:6" ht="18.75">
      <c r="C35" s="8" t="s">
        <v>31</v>
      </c>
      <c r="D35" s="8" t="s">
        <v>34</v>
      </c>
      <c r="E35" s="8">
        <v>461.55466899999999</v>
      </c>
      <c r="F35" s="8">
        <f t="shared" si="3"/>
        <v>460</v>
      </c>
    </row>
  </sheetData>
  <mergeCells count="2">
    <mergeCell ref="I8:M9"/>
    <mergeCell ref="I29:M30"/>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FE080-ABAA-4240-849E-6FD3E7B865DE}">
  <sheetPr codeName="Sheet11"/>
  <dimension ref="C4:L28"/>
  <sheetViews>
    <sheetView showGridLines="0" tabSelected="1" topLeftCell="A9" zoomScale="120" zoomScaleNormal="120" workbookViewId="0">
      <selection activeCell="G20" sqref="G20"/>
    </sheetView>
  </sheetViews>
  <sheetFormatPr defaultRowHeight="15"/>
  <cols>
    <col min="3" max="3" width="13.5703125" bestFit="1" customWidth="1"/>
    <col min="4" max="4" width="12.42578125" bestFit="1" customWidth="1"/>
    <col min="5" max="5" width="14.28515625" bestFit="1" customWidth="1"/>
    <col min="6" max="6" width="28.140625" bestFit="1" customWidth="1"/>
  </cols>
  <sheetData>
    <row r="4" spans="3:12" ht="18.75">
      <c r="C4" s="9" t="s">
        <v>24</v>
      </c>
      <c r="D4" s="9" t="s">
        <v>25</v>
      </c>
      <c r="E4" s="9" t="s">
        <v>26</v>
      </c>
      <c r="F4" s="9" t="s">
        <v>43</v>
      </c>
    </row>
    <row r="5" spans="3:12" ht="18.75">
      <c r="C5" s="8" t="s">
        <v>29</v>
      </c>
      <c r="D5" s="8" t="s">
        <v>30</v>
      </c>
      <c r="E5" s="8">
        <v>787</v>
      </c>
      <c r="F5" s="8">
        <f>_xlfn.CEILING.MATH(E5,50)</f>
        <v>800</v>
      </c>
      <c r="H5" t="s">
        <v>44</v>
      </c>
    </row>
    <row r="6" spans="3:12" ht="18.75">
      <c r="C6" s="8" t="s">
        <v>31</v>
      </c>
      <c r="D6" s="8" t="s">
        <v>30</v>
      </c>
      <c r="E6" s="8">
        <v>457</v>
      </c>
      <c r="F6" s="8">
        <f t="shared" ref="F6:F13" si="0">_xlfn.CEILING.MATH(E6,50)</f>
        <v>500</v>
      </c>
      <c r="H6" t="s">
        <v>45</v>
      </c>
    </row>
    <row r="7" spans="3:12" ht="18.75" customHeight="1">
      <c r="C7" s="8" t="s">
        <v>29</v>
      </c>
      <c r="D7" s="8" t="s">
        <v>32</v>
      </c>
      <c r="E7" s="8">
        <v>411</v>
      </c>
      <c r="F7" s="8">
        <f t="shared" si="0"/>
        <v>450</v>
      </c>
      <c r="H7" s="15" t="s">
        <v>46</v>
      </c>
      <c r="I7" s="15"/>
      <c r="J7" s="15"/>
      <c r="K7" s="15"/>
      <c r="L7" s="15"/>
    </row>
    <row r="8" spans="3:12" ht="18.75">
      <c r="C8" s="8" t="s">
        <v>31</v>
      </c>
      <c r="D8" s="8" t="s">
        <v>32</v>
      </c>
      <c r="E8" s="8">
        <v>506</v>
      </c>
      <c r="F8" s="8">
        <f t="shared" si="0"/>
        <v>550</v>
      </c>
      <c r="H8" s="15"/>
      <c r="I8" s="15"/>
      <c r="J8" s="15"/>
      <c r="K8" s="15"/>
      <c r="L8" s="15"/>
    </row>
    <row r="9" spans="3:12" ht="18.75">
      <c r="C9" s="8" t="s">
        <v>29</v>
      </c>
      <c r="D9" s="8" t="s">
        <v>34</v>
      </c>
      <c r="E9" s="8">
        <v>370</v>
      </c>
      <c r="F9" s="8">
        <f t="shared" si="0"/>
        <v>400</v>
      </c>
    </row>
    <row r="10" spans="3:12" ht="18.75">
      <c r="C10" s="8" t="s">
        <v>31</v>
      </c>
      <c r="D10" s="8" t="s">
        <v>34</v>
      </c>
      <c r="E10" s="8">
        <v>713</v>
      </c>
      <c r="F10" s="8">
        <f t="shared" si="0"/>
        <v>750</v>
      </c>
      <c r="H10" s="12" t="s">
        <v>47</v>
      </c>
    </row>
    <row r="11" spans="3:12" ht="18.75">
      <c r="C11" s="8" t="s">
        <v>29</v>
      </c>
      <c r="D11" s="8" t="s">
        <v>30</v>
      </c>
      <c r="E11" s="8">
        <v>346</v>
      </c>
      <c r="F11" s="8">
        <f t="shared" si="0"/>
        <v>350</v>
      </c>
    </row>
    <row r="12" spans="3:12" ht="18.75">
      <c r="C12" s="8" t="s">
        <v>31</v>
      </c>
      <c r="D12" s="8" t="s">
        <v>32</v>
      </c>
      <c r="E12" s="8">
        <v>691</v>
      </c>
      <c r="F12" s="8">
        <f t="shared" si="0"/>
        <v>700</v>
      </c>
    </row>
    <row r="13" spans="3:12" ht="18.75">
      <c r="C13" s="8" t="s">
        <v>31</v>
      </c>
      <c r="D13" s="8" t="s">
        <v>34</v>
      </c>
      <c r="E13" s="8">
        <v>461</v>
      </c>
      <c r="F13" s="8">
        <f t="shared" si="0"/>
        <v>500</v>
      </c>
    </row>
    <row r="19" spans="3:12" ht="18.75">
      <c r="C19" s="9" t="s">
        <v>24</v>
      </c>
      <c r="D19" s="9" t="s">
        <v>25</v>
      </c>
      <c r="E19" s="9" t="s">
        <v>26</v>
      </c>
      <c r="F19" s="9" t="s">
        <v>48</v>
      </c>
    </row>
    <row r="20" spans="3:12" ht="18.75">
      <c r="C20" s="8" t="s">
        <v>29</v>
      </c>
      <c r="D20" s="8" t="s">
        <v>30</v>
      </c>
      <c r="E20" s="8">
        <v>787</v>
      </c>
      <c r="F20" s="8">
        <f>_xlfn.FLOOR.MATH(E20,50)</f>
        <v>750</v>
      </c>
      <c r="H20" s="12" t="s">
        <v>49</v>
      </c>
    </row>
    <row r="21" spans="3:12" ht="18.75">
      <c r="C21" s="8" t="s">
        <v>31</v>
      </c>
      <c r="D21" s="8" t="s">
        <v>30</v>
      </c>
      <c r="E21" s="8">
        <v>457</v>
      </c>
      <c r="F21" s="8">
        <f t="shared" ref="F21:F28" si="1">_xlfn.FLOOR.MATH(E21,50)</f>
        <v>450</v>
      </c>
    </row>
    <row r="22" spans="3:12" ht="18.75" customHeight="1">
      <c r="C22" s="8" t="s">
        <v>29</v>
      </c>
      <c r="D22" s="8" t="s">
        <v>32</v>
      </c>
      <c r="E22" s="8">
        <v>411</v>
      </c>
      <c r="F22" s="8">
        <f t="shared" si="1"/>
        <v>400</v>
      </c>
      <c r="H22" s="13" t="s">
        <v>50</v>
      </c>
      <c r="I22" s="13"/>
      <c r="J22" s="13"/>
      <c r="K22" s="13"/>
      <c r="L22" s="13"/>
    </row>
    <row r="23" spans="3:12" ht="18.75">
      <c r="C23" s="8" t="s">
        <v>31</v>
      </c>
      <c r="D23" s="8" t="s">
        <v>32</v>
      </c>
      <c r="E23" s="8">
        <v>506</v>
      </c>
      <c r="F23" s="8">
        <f t="shared" si="1"/>
        <v>500</v>
      </c>
      <c r="H23" s="13"/>
      <c r="I23" s="13"/>
      <c r="J23" s="13"/>
      <c r="K23" s="13"/>
      <c r="L23" s="13"/>
    </row>
    <row r="24" spans="3:12" ht="18.75">
      <c r="C24" s="8" t="s">
        <v>29</v>
      </c>
      <c r="D24" s="8" t="s">
        <v>34</v>
      </c>
      <c r="E24" s="8">
        <v>370</v>
      </c>
      <c r="F24" s="8">
        <f t="shared" si="1"/>
        <v>350</v>
      </c>
    </row>
    <row r="25" spans="3:12" ht="18.75">
      <c r="C25" s="8" t="s">
        <v>31</v>
      </c>
      <c r="D25" s="8" t="s">
        <v>34</v>
      </c>
      <c r="E25" s="8">
        <v>713</v>
      </c>
      <c r="F25" s="8">
        <f t="shared" si="1"/>
        <v>700</v>
      </c>
    </row>
    <row r="26" spans="3:12" ht="18.75">
      <c r="C26" s="8" t="s">
        <v>29</v>
      </c>
      <c r="D26" s="8" t="s">
        <v>30</v>
      </c>
      <c r="E26" s="8">
        <v>346</v>
      </c>
      <c r="F26" s="8">
        <f t="shared" si="1"/>
        <v>300</v>
      </c>
    </row>
    <row r="27" spans="3:12" ht="18.75">
      <c r="C27" s="8" t="s">
        <v>31</v>
      </c>
      <c r="D27" s="8" t="s">
        <v>32</v>
      </c>
      <c r="E27" s="8">
        <v>691</v>
      </c>
      <c r="F27" s="8">
        <f t="shared" si="1"/>
        <v>650</v>
      </c>
    </row>
    <row r="28" spans="3:12" ht="18.75">
      <c r="C28" s="8" t="s">
        <v>31</v>
      </c>
      <c r="D28" s="8" t="s">
        <v>34</v>
      </c>
      <c r="E28" s="8">
        <v>461</v>
      </c>
      <c r="F28" s="8">
        <f t="shared" si="1"/>
        <v>450</v>
      </c>
    </row>
  </sheetData>
  <customSheetViews>
    <customSheetView guid="{86D36E03-787A-41EB-85FF-8BB8A222055B}" scale="120" showGridLines="0" topLeftCell="A15">
      <selection activeCell="F20" sqref="F20"/>
      <pageMargins left="0" right="0" top="0" bottom="0" header="0" footer="0"/>
    </customSheetView>
    <customSheetView guid="{08E755F8-82E9-4D95-862B-81F55FBDDDF6}" scale="120" showGridLines="0" topLeftCell="A15">
      <selection activeCell="F20" sqref="F20"/>
      <pageMargins left="0" right="0" top="0" bottom="0" header="0" footer="0"/>
    </customSheetView>
    <customSheetView guid="{C453A932-6110-4A84-A9C2-26C809391387}" scale="120" showGridLines="0" topLeftCell="A15">
      <selection activeCell="F20" sqref="F20"/>
      <pageMargins left="0" right="0" top="0" bottom="0" header="0" footer="0"/>
    </customSheetView>
    <customSheetView guid="{0BF42E77-7016-4BE4-A5AB-A49974630D91}" scale="120">
      <selection activeCell="F4" sqref="F4"/>
      <pageMargins left="0" right="0" top="0" bottom="0" header="0" footer="0"/>
    </customSheetView>
    <customSheetView guid="{B19B24CB-B859-49E3-8AE0-2D671510EE4F}" scale="120">
      <selection activeCell="F4" sqref="F4"/>
      <pageMargins left="0" right="0" top="0" bottom="0" header="0" footer="0"/>
    </customSheetView>
    <customSheetView guid="{D9413B31-FDB2-4AE8-80A8-7F09954E703C}" scale="120">
      <selection activeCell="F4" sqref="F4"/>
      <pageMargins left="0" right="0" top="0" bottom="0" header="0" footer="0"/>
    </customSheetView>
    <customSheetView guid="{FF03E81F-A9A8-4546-A9C3-77A6EEA02ED9}" scale="120">
      <selection activeCell="F4" sqref="F4"/>
      <pageMargins left="0" right="0" top="0" bottom="0" header="0" footer="0"/>
    </customSheetView>
    <customSheetView guid="{EE811897-5BF5-4321-9879-5B7EDF90A350}" scale="120">
      <selection activeCell="F4" sqref="F4"/>
      <pageMargins left="0" right="0" top="0" bottom="0" header="0" footer="0"/>
    </customSheetView>
    <customSheetView guid="{0E02FCC8-6440-4859-9F6B-C77617EF5D89}" scale="120">
      <selection activeCell="F4" sqref="F4"/>
      <pageMargins left="0" right="0" top="0" bottom="0" header="0" footer="0"/>
    </customSheetView>
    <customSheetView guid="{0458C18D-9EF5-4516-9145-CA54D8EB1865}" scale="120">
      <selection activeCell="F4" sqref="F4"/>
      <pageMargins left="0" right="0" top="0" bottom="0" header="0" footer="0"/>
    </customSheetView>
    <customSheetView guid="{DFE0B66A-2DCB-4802-A91B-F836707AD43C}" scale="120">
      <selection activeCell="F4" sqref="F4"/>
      <pageMargins left="0" right="0" top="0" bottom="0" header="0" footer="0"/>
    </customSheetView>
    <customSheetView guid="{3511E245-32F9-4CFF-8540-6B03C6FAE218}" scale="120" showGridLines="0">
      <selection activeCell="F4" sqref="F4"/>
      <pageMargins left="0" right="0" top="0" bottom="0" header="0" footer="0"/>
    </customSheetView>
    <customSheetView guid="{CE50DC7E-3038-4337-BAC8-5B16EE1D95B0}" scale="120" showGridLines="0">
      <selection activeCell="F4" sqref="F4"/>
      <pageMargins left="0" right="0" top="0" bottom="0" header="0" footer="0"/>
    </customSheetView>
    <customSheetView guid="{C908A6D6-4C77-416B-BC46-6F501B5F842F}" scale="120" showGridLines="0">
      <selection activeCell="F4" sqref="F4"/>
      <pageMargins left="0" right="0" top="0" bottom="0" header="0" footer="0"/>
    </customSheetView>
    <customSheetView guid="{C575B46A-1D4C-489C-97AE-5DAB6560E171}" scale="120" showGridLines="0">
      <selection activeCell="F4" sqref="F4"/>
      <pageMargins left="0" right="0" top="0" bottom="0" header="0" footer="0"/>
    </customSheetView>
    <customSheetView guid="{81DEBAD0-6E86-4DFB-8642-C52E8C976BDA}" scale="120" showGridLines="0">
      <selection activeCell="F4" sqref="F4"/>
      <pageMargins left="0" right="0" top="0" bottom="0" header="0" footer="0"/>
    </customSheetView>
    <customSheetView guid="{58306194-C83B-413E-AC5F-AD717216CB21}" scale="120" showGridLines="0">
      <selection activeCell="F4" sqref="F4"/>
      <pageMargins left="0" right="0" top="0" bottom="0" header="0" footer="0"/>
    </customSheetView>
    <customSheetView guid="{E4375DB4-4B74-46BC-A9F2-C5C5055B366F}" scale="120" showGridLines="0">
      <selection activeCell="F4" sqref="F4"/>
      <pageMargins left="0" right="0" top="0" bottom="0" header="0" footer="0"/>
    </customSheetView>
    <customSheetView guid="{2CEDB1FB-2942-4B51-BF30-285DCDB05292}" scale="120" showGridLines="0">
      <selection activeCell="F4" sqref="F4"/>
      <pageMargins left="0" right="0" top="0" bottom="0" header="0" footer="0"/>
    </customSheetView>
    <customSheetView guid="{DF16608F-40E8-490E-B08D-ED6EEAB8B9EC}" scale="120" showGridLines="0">
      <selection activeCell="F4" sqref="F4"/>
      <pageMargins left="0" right="0" top="0" bottom="0" header="0" footer="0"/>
    </customSheetView>
    <customSheetView guid="{2032DE14-E33D-44B5-9022-A2B48F059704}" scale="120">
      <selection activeCell="F4" sqref="F4"/>
      <pageMargins left="0" right="0" top="0" bottom="0" header="0" footer="0"/>
    </customSheetView>
    <customSheetView guid="{EE4A95A5-BF42-4BAA-B9EB-84A9230A28F9}" scale="120">
      <selection activeCell="F4" sqref="F4"/>
      <pageMargins left="0" right="0" top="0" bottom="0" header="0" footer="0"/>
    </customSheetView>
    <customSheetView guid="{8BEA0E04-8B9A-4A2D-9B80-4E7685E22D5E}" scale="120">
      <selection activeCell="F4" sqref="F4"/>
      <pageMargins left="0" right="0" top="0" bottom="0" header="0" footer="0"/>
    </customSheetView>
    <customSheetView guid="{0125BE01-BBC8-4E5A-9A9A-3D1257916B8C}" scale="120" showGridLines="0">
      <selection activeCell="F20" sqref="F20"/>
      <pageMargins left="0" right="0" top="0" bottom="0" header="0" footer="0"/>
    </customSheetView>
    <customSheetView guid="{7A9AB605-DB82-470C-B86B-95E2AB3523F6}" scale="120" showGridLines="0" topLeftCell="A15">
      <selection activeCell="F20" sqref="F20"/>
      <pageMargins left="0" right="0" top="0" bottom="0" header="0" footer="0"/>
    </customSheetView>
    <customSheetView guid="{FC8D231F-57F9-45EE-9DEF-D7ED111600EB}" scale="120">
      <selection activeCell="F4" sqref="F4"/>
      <pageMargins left="0" right="0" top="0" bottom="0" header="0" footer="0"/>
    </customSheetView>
    <customSheetView guid="{395DC3D6-3299-4A43-88E2-62703FCC0349}" scale="120">
      <selection activeCell="F4" sqref="F4"/>
      <pageMargins left="0" right="0" top="0" bottom="0" header="0" footer="0"/>
    </customSheetView>
    <customSheetView guid="{5C8F4C13-387F-42D2-8CB5-92C4886D7919}" scale="120">
      <selection activeCell="F4" sqref="F4"/>
      <pageMargins left="0" right="0" top="0" bottom="0" header="0" footer="0"/>
    </customSheetView>
    <customSheetView guid="{8A25BF65-C908-4B2F-9805-3CD39BD4330E}" scale="120">
      <selection activeCell="F4" sqref="F4"/>
      <pageMargins left="0" right="0" top="0" bottom="0" header="0" footer="0"/>
    </customSheetView>
    <customSheetView guid="{F9A03991-7A83-41AE-B603-3D22265CDA22}" scale="120">
      <selection activeCell="F4" sqref="F4"/>
      <pageMargins left="0" right="0" top="0" bottom="0" header="0" footer="0"/>
    </customSheetView>
    <customSheetView guid="{FEB5A49F-F7F7-412A-BE72-F90F7A4799C8}" scale="120">
      <selection activeCell="F4" sqref="F4"/>
      <pageMargins left="0" right="0" top="0" bottom="0" header="0" footer="0"/>
    </customSheetView>
    <customSheetView guid="{F518ECB9-5D92-41E0-BFD2-C5175A02444D}" scale="120">
      <selection activeCell="F4" sqref="F4"/>
      <pageMargins left="0" right="0" top="0" bottom="0" header="0" footer="0"/>
    </customSheetView>
    <customSheetView guid="{BCAB4838-A37A-4BCF-A9C9-CC50C95F58C7}" scale="120">
      <selection activeCell="F4" sqref="F4"/>
      <pageMargins left="0" right="0" top="0" bottom="0" header="0" footer="0"/>
    </customSheetView>
    <customSheetView guid="{E1A67331-473F-4161-806C-BE35870C93B5}" scale="120">
      <selection activeCell="F4" sqref="F4"/>
      <pageMargins left="0" right="0" top="0" bottom="0" header="0" footer="0"/>
    </customSheetView>
    <customSheetView guid="{CC562453-1E6B-4010-9E1B-775397A26EFA}" scale="120">
      <selection activeCell="F4" sqref="F4"/>
      <pageMargins left="0" right="0" top="0" bottom="0" header="0" footer="0"/>
    </customSheetView>
    <customSheetView guid="{644A6A80-0D34-48F6-A071-17016DCD2D6E}" scale="120">
      <selection activeCell="F4" sqref="F4"/>
      <pageMargins left="0" right="0" top="0" bottom="0" header="0" footer="0"/>
    </customSheetView>
    <customSheetView guid="{C65059E8-30E8-488B-A0E9-1B7961920C81}" scale="120">
      <selection activeCell="F4" sqref="F4"/>
      <pageMargins left="0" right="0" top="0" bottom="0" header="0" footer="0"/>
    </customSheetView>
    <customSheetView guid="{95D39BA8-2B16-4954-ABAC-09AD33A86339}" scale="120">
      <selection activeCell="F4" sqref="F4"/>
      <pageMargins left="0" right="0" top="0" bottom="0" header="0" footer="0"/>
    </customSheetView>
    <customSheetView guid="{25A4A7C0-9593-456C-861C-76D101D3FE93}" scale="120">
      <selection activeCell="F4" sqref="F4"/>
      <pageMargins left="0" right="0" top="0" bottom="0" header="0" footer="0"/>
    </customSheetView>
    <customSheetView guid="{51BA8A3D-4711-49ED-89E2-EBC09DF2AEDC}" scale="120">
      <selection activeCell="F4" sqref="F4"/>
      <pageMargins left="0" right="0" top="0" bottom="0" header="0" footer="0"/>
    </customSheetView>
    <customSheetView guid="{629A478C-29B1-4F25-A016-63CE32A1627F}" scale="120">
      <selection activeCell="F4" sqref="F4"/>
      <pageMargins left="0" right="0" top="0" bottom="0" header="0" footer="0"/>
    </customSheetView>
    <customSheetView guid="{F789A6E6-3D06-4D93-BF02-46FA1A2548B2}" scale="120">
      <selection activeCell="F4" sqref="F4"/>
      <pageMargins left="0" right="0" top="0" bottom="0" header="0" footer="0"/>
    </customSheetView>
    <customSheetView guid="{15D7A002-B247-4A6B-A16B-61BDD9B0066A}" scale="120">
      <selection activeCell="F4" sqref="F4"/>
      <pageMargins left="0" right="0" top="0" bottom="0" header="0" footer="0"/>
    </customSheetView>
    <customSheetView guid="{9AFCAA87-4888-4976-A7C9-C06A34CB6C97}" scale="120">
      <selection activeCell="F4" sqref="F4"/>
      <pageMargins left="0" right="0" top="0" bottom="0" header="0" footer="0"/>
    </customSheetView>
    <customSheetView guid="{E4FF7DB9-14DF-49DB-9F59-1898DDED4DCE}" scale="120">
      <selection activeCell="F4" sqref="F4"/>
      <pageMargins left="0" right="0" top="0" bottom="0" header="0" footer="0"/>
    </customSheetView>
    <customSheetView guid="{EC7537C6-1678-41C1-B788-EF4AFFECF769}" scale="120">
      <selection activeCell="F4" sqref="F4"/>
      <pageMargins left="0" right="0" top="0" bottom="0" header="0" footer="0"/>
    </customSheetView>
    <customSheetView guid="{1920E7A3-1C9F-4320-81BB-D11544051025}" scale="120">
      <selection activeCell="F4" sqref="F4"/>
      <pageMargins left="0" right="0" top="0" bottom="0" header="0" footer="0"/>
    </customSheetView>
    <customSheetView guid="{02D27969-4CD1-473E-A0E8-856AB0664DE8}" scale="120">
      <selection activeCell="F4" sqref="F4"/>
      <pageMargins left="0" right="0" top="0" bottom="0" header="0" footer="0"/>
    </customSheetView>
    <customSheetView guid="{422703F6-63C4-435C-AFE7-1030286678F6}" scale="120">
      <selection activeCell="F4" sqref="F4"/>
      <pageMargins left="0" right="0" top="0" bottom="0" header="0" footer="0"/>
    </customSheetView>
    <customSheetView guid="{F3CB97AD-592C-4B6E-8AE3-1CD47479060C}" scale="120">
      <selection activeCell="F4" sqref="F4"/>
      <pageMargins left="0" right="0" top="0" bottom="0" header="0" footer="0"/>
    </customSheetView>
    <customSheetView guid="{19DA6E7F-8950-4769-9BBE-2798EFA465A3}" scale="120">
      <selection activeCell="F4" sqref="F4"/>
      <pageMargins left="0" right="0" top="0" bottom="0" header="0" footer="0"/>
    </customSheetView>
    <customSheetView guid="{47C01131-7443-4080-A2BB-6B6AA35C6913}" scale="120">
      <selection activeCell="F4" sqref="F4"/>
      <pageMargins left="0" right="0" top="0" bottom="0" header="0" footer="0"/>
    </customSheetView>
    <customSheetView guid="{C7330417-67A9-44CF-917F-5F5E2F191AD4}" scale="120">
      <selection activeCell="F4" sqref="F4"/>
      <pageMargins left="0" right="0" top="0" bottom="0" header="0" footer="0"/>
    </customSheetView>
    <customSheetView guid="{EBA5E9C4-A2DB-4DF0-BF75-1243E968318E}" scale="120">
      <selection activeCell="F4" sqref="F4"/>
      <pageMargins left="0" right="0" top="0" bottom="0" header="0" footer="0"/>
    </customSheetView>
    <customSheetView guid="{7A7FC9A5-F2B5-4894-82BC-4528575F10D4}" scale="120">
      <selection activeCell="F4" sqref="F4"/>
      <pageMargins left="0" right="0" top="0" bottom="0" header="0" footer="0"/>
    </customSheetView>
    <customSheetView guid="{6194C141-D0A1-4D58-BA55-90A184525AC3}" scale="120">
      <selection activeCell="F4" sqref="F4"/>
      <pageMargins left="0" right="0" top="0" bottom="0" header="0" footer="0"/>
    </customSheetView>
    <customSheetView guid="{A5292A6B-6F92-4AB3-B051-EF87F39FC489}" scale="120">
      <selection activeCell="F4" sqref="F4"/>
      <pageMargins left="0" right="0" top="0" bottom="0" header="0" footer="0"/>
    </customSheetView>
  </customSheetViews>
  <mergeCells count="2">
    <mergeCell ref="H7:L8"/>
    <mergeCell ref="H22:L2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78E45-EEA8-439C-B106-E2CE8A41D29F}">
  <sheetPr codeName="Sheet12"/>
  <dimension ref="A1:M16"/>
  <sheetViews>
    <sheetView showGridLines="0" zoomScale="130" zoomScaleNormal="120" workbookViewId="0">
      <selection activeCell="D7" sqref="D7"/>
    </sheetView>
  </sheetViews>
  <sheetFormatPr defaultColWidth="8.85546875" defaultRowHeight="15.75"/>
  <cols>
    <col min="1" max="1" width="6.28515625" style="6" bestFit="1" customWidth="1"/>
    <col min="2" max="2" width="24.7109375" style="6" bestFit="1" customWidth="1"/>
    <col min="3" max="3" width="15.85546875" style="6" bestFit="1" customWidth="1"/>
    <col min="4" max="4" width="13.28515625" style="6" bestFit="1" customWidth="1"/>
    <col min="5" max="5" width="13.140625" style="6" bestFit="1" customWidth="1"/>
    <col min="6" max="6" width="14.7109375" style="6" bestFit="1" customWidth="1"/>
    <col min="7" max="7" width="18.42578125" style="6" bestFit="1" customWidth="1"/>
    <col min="8" max="9" width="6.28515625" style="1" customWidth="1"/>
    <col min="10" max="10" width="9.7109375" style="1" bestFit="1" customWidth="1"/>
    <col min="11" max="16384" width="8.85546875" style="1"/>
  </cols>
  <sheetData>
    <row r="1" spans="1:13">
      <c r="A1" s="3" t="s">
        <v>51</v>
      </c>
      <c r="B1" s="3" t="s">
        <v>52</v>
      </c>
      <c r="C1" s="3" t="s">
        <v>53</v>
      </c>
      <c r="D1" s="3" t="s">
        <v>54</v>
      </c>
      <c r="E1" s="3" t="s">
        <v>55</v>
      </c>
      <c r="F1" s="3" t="s">
        <v>56</v>
      </c>
      <c r="G1" s="4" t="s">
        <v>57</v>
      </c>
    </row>
    <row r="2" spans="1:13">
      <c r="A2" s="5">
        <v>1</v>
      </c>
      <c r="B2" s="5" t="s">
        <v>58</v>
      </c>
      <c r="C2" s="5">
        <v>311</v>
      </c>
      <c r="D2" s="5">
        <v>9.32</v>
      </c>
      <c r="E2" s="5">
        <v>141</v>
      </c>
      <c r="F2" s="5" t="s">
        <v>59</v>
      </c>
      <c r="G2" s="6" t="str" cm="1">
        <f t="array" ref="G2">_xlfn.IFS(C2&gt;100,"Centi Billionaire",C2&lt;100,"Multi Billionaire",C2=100,"Centi Billionaire")</f>
        <v>Centi Billionaire</v>
      </c>
      <c r="H2" s="2" t="str">
        <f>_xlfn.IFS(C2&lt;100,"Multi Billionaire",C2&gt;100,"Centi Billionaire")</f>
        <v>Centi Billionaire</v>
      </c>
      <c r="I2" s="2"/>
    </row>
    <row r="3" spans="1:13">
      <c r="A3" s="5">
        <v>2</v>
      </c>
      <c r="B3" s="5" t="s">
        <v>60</v>
      </c>
      <c r="C3" s="5">
        <v>195</v>
      </c>
      <c r="D3" s="5">
        <v>3.79</v>
      </c>
      <c r="E3" s="5">
        <v>5.0599999999999996</v>
      </c>
      <c r="F3" s="5" t="s">
        <v>59</v>
      </c>
      <c r="G3" s="6" t="str" cm="1">
        <f t="array" ref="G3">_xlfn.IFS(C3&gt;100,"Centi Billionaire",C3&lt;100,"Multi Billionaire",C3=100,"Centi Billionaire")</f>
        <v>Centi Billionaire</v>
      </c>
      <c r="H3" s="2" t="str">
        <f t="shared" ref="H3:H16" si="0">_xlfn.IFS(C3&lt;100,"Multi Billionaire",C3&gt;100,"Centi Billionaire")</f>
        <v>Centi Billionaire</v>
      </c>
      <c r="I3" s="2"/>
    </row>
    <row r="4" spans="1:13">
      <c r="A4" s="5">
        <v>3</v>
      </c>
      <c r="B4" s="5" t="s">
        <v>61</v>
      </c>
      <c r="C4" s="5">
        <v>167</v>
      </c>
      <c r="D4" s="5">
        <v>544</v>
      </c>
      <c r="E4" s="5">
        <v>52.7</v>
      </c>
      <c r="F4" s="5" t="s">
        <v>62</v>
      </c>
      <c r="G4" s="6" t="str" cm="1">
        <f t="array" ref="G4">_xlfn.IFS(C4&gt;100,"Centi Billionaire",C4&lt;100,"Multi Billionaire",C4=100,"Centi Billionaire")</f>
        <v>Centi Billionaire</v>
      </c>
      <c r="H4" s="2" t="str">
        <f t="shared" si="0"/>
        <v>Centi Billionaire</v>
      </c>
      <c r="I4" s="2"/>
    </row>
    <row r="5" spans="1:13">
      <c r="A5" s="5">
        <v>4</v>
      </c>
      <c r="B5" s="5" t="s">
        <v>63</v>
      </c>
      <c r="C5" s="5">
        <v>136</v>
      </c>
      <c r="D5" s="5">
        <v>906</v>
      </c>
      <c r="E5" s="5">
        <v>4.4000000000000004</v>
      </c>
      <c r="F5" s="5" t="s">
        <v>59</v>
      </c>
      <c r="G5" s="6" t="str" cm="1">
        <f t="array" ref="G5">_xlfn.IFS(C5&gt;100,"Centi Billionaire",C5&lt;100,"Multi Billionaire",C5=100,"Centi Billionaire")</f>
        <v>Centi Billionaire</v>
      </c>
      <c r="H5" s="2" t="str">
        <f t="shared" si="0"/>
        <v>Centi Billionaire</v>
      </c>
      <c r="I5" s="2"/>
    </row>
    <row r="6" spans="1:13">
      <c r="A6" s="5">
        <v>5</v>
      </c>
      <c r="B6" s="5" t="s">
        <v>64</v>
      </c>
      <c r="C6" s="5">
        <v>131</v>
      </c>
      <c r="D6" s="5">
        <v>1.71</v>
      </c>
      <c r="E6" s="5">
        <v>48.7</v>
      </c>
      <c r="F6" s="5" t="s">
        <v>59</v>
      </c>
      <c r="G6" s="6" t="str" cm="1">
        <f t="array" ref="G6">_xlfn.IFS(C6&gt;100,"Centi Billionaire",C6&lt;100,"Multi Billionaire",C6=100,"Centi Billionaire")</f>
        <v>Centi Billionaire</v>
      </c>
      <c r="H6" s="2" t="str">
        <f t="shared" si="0"/>
        <v>Centi Billionaire</v>
      </c>
      <c r="I6" s="2"/>
    </row>
    <row r="7" spans="1:13" ht="14.45" customHeight="1">
      <c r="A7" s="5">
        <v>6</v>
      </c>
      <c r="B7" s="5" t="s">
        <v>65</v>
      </c>
      <c r="C7" s="5">
        <v>126</v>
      </c>
      <c r="D7" s="5">
        <v>1.64</v>
      </c>
      <c r="E7" s="5">
        <v>46.7</v>
      </c>
      <c r="F7" s="5" t="s">
        <v>59</v>
      </c>
      <c r="G7" s="6" t="str" cm="1">
        <f t="array" ref="G7">_xlfn.IFS(C7&gt;100,"Centi Billionaire",C7&lt;100,"Multi Billionaire",C7=100,"Centi Billionaire")</f>
        <v>Centi Billionaire</v>
      </c>
      <c r="H7" s="2" t="str">
        <f t="shared" si="0"/>
        <v>Centi Billionaire</v>
      </c>
      <c r="I7" s="2"/>
      <c r="J7" s="16" t="s">
        <v>66</v>
      </c>
      <c r="K7" s="16"/>
      <c r="L7" s="16"/>
      <c r="M7" s="16"/>
    </row>
    <row r="8" spans="1:13">
      <c r="A8" s="5">
        <v>7</v>
      </c>
      <c r="B8" s="5" t="s">
        <v>67</v>
      </c>
      <c r="C8" s="5">
        <v>100</v>
      </c>
      <c r="D8" s="5">
        <v>2.4</v>
      </c>
      <c r="E8" s="5">
        <v>17.3</v>
      </c>
      <c r="F8" s="5" t="s">
        <v>59</v>
      </c>
      <c r="G8" s="6" t="e" cm="1">
        <f t="array" ref="G8">_xlfn.IFS(C8&gt;100,"Centi Billionaire",C8&lt;100,"Multi Billionaire")</f>
        <v>#N/A</v>
      </c>
      <c r="H8" s="2" t="e">
        <f t="shared" si="0"/>
        <v>#N/A</v>
      </c>
      <c r="I8" s="2"/>
      <c r="J8" s="16"/>
      <c r="K8" s="16"/>
      <c r="L8" s="16"/>
      <c r="M8" s="16"/>
    </row>
    <row r="9" spans="1:13">
      <c r="A9" s="5">
        <v>8</v>
      </c>
      <c r="B9" s="5" t="s">
        <v>68</v>
      </c>
      <c r="C9" s="5">
        <v>118</v>
      </c>
      <c r="D9" s="5">
        <v>2.42</v>
      </c>
      <c r="E9" s="5">
        <v>37.6</v>
      </c>
      <c r="F9" s="5" t="s">
        <v>59</v>
      </c>
      <c r="G9" s="6" t="str" cm="1">
        <f t="array" ref="G9">_xlfn.IFS(C9&gt;100,"Centi Billionaire",C9&lt;100,"Multi Billionaire",C9=100,"Centi Billionaire")</f>
        <v>Centi Billionaire</v>
      </c>
      <c r="H9" s="2" t="str">
        <f t="shared" si="0"/>
        <v>Centi Billionaire</v>
      </c>
      <c r="I9" s="2"/>
      <c r="J9" s="16"/>
      <c r="K9" s="16"/>
      <c r="L9" s="16"/>
      <c r="M9" s="16"/>
    </row>
    <row r="10" spans="1:13">
      <c r="A10" s="5">
        <v>9</v>
      </c>
      <c r="B10" s="5" t="s">
        <v>69</v>
      </c>
      <c r="C10" s="5">
        <v>115</v>
      </c>
      <c r="D10" s="5">
        <v>331</v>
      </c>
      <c r="E10" s="5">
        <v>35.4</v>
      </c>
      <c r="F10" s="5" t="s">
        <v>59</v>
      </c>
      <c r="G10" s="6" t="str" cm="1">
        <f t="array" ref="G10">_xlfn.IFS(C10&gt;100,"Centi Billionaire",C10&lt;100,"Multi Billionaire",C10=100,"Centi Billionaire")</f>
        <v>Centi Billionaire</v>
      </c>
      <c r="H10" s="2" t="str">
        <f t="shared" si="0"/>
        <v>Centi Billionaire</v>
      </c>
      <c r="I10" s="2"/>
      <c r="J10" s="16"/>
      <c r="K10" s="16"/>
      <c r="L10" s="16"/>
      <c r="M10" s="16"/>
    </row>
    <row r="11" spans="1:13">
      <c r="A11" s="5">
        <v>10</v>
      </c>
      <c r="B11" s="5" t="s">
        <v>70</v>
      </c>
      <c r="C11" s="5">
        <v>105</v>
      </c>
      <c r="D11" s="5">
        <v>800</v>
      </c>
      <c r="E11" s="5">
        <v>17</v>
      </c>
      <c r="F11" s="5" t="s">
        <v>59</v>
      </c>
      <c r="G11" s="6" t="str" cm="1">
        <f t="array" ref="G11">_xlfn.IFS(C11&gt;100,"Centi Billionaire",C11&lt;100,"Multi Billionaire",C11=100,"Centi Billionaire")</f>
        <v>Centi Billionaire</v>
      </c>
      <c r="H11" s="2" t="str">
        <f t="shared" si="0"/>
        <v>Centi Billionaire</v>
      </c>
      <c r="I11" s="2"/>
      <c r="J11" s="16"/>
      <c r="K11" s="16"/>
      <c r="L11" s="16"/>
      <c r="M11" s="16"/>
    </row>
    <row r="12" spans="1:13">
      <c r="A12" s="5">
        <v>11</v>
      </c>
      <c r="B12" s="5" t="s">
        <v>71</v>
      </c>
      <c r="C12" s="5">
        <v>95.8</v>
      </c>
      <c r="D12" s="5">
        <v>2.56</v>
      </c>
      <c r="E12" s="5">
        <v>19.100000000000001</v>
      </c>
      <c r="F12" s="5" t="s">
        <v>72</v>
      </c>
      <c r="G12" s="6" t="str" cm="1">
        <f t="array" ref="G12">_xlfn.IFS(C12&gt;100,"Centi Billionaire",C12&lt;100,"Multi Billionaire",C12=100,"Centi Billionaire")</f>
        <v>Multi Billionaire</v>
      </c>
      <c r="H12" s="2" t="str">
        <f t="shared" si="0"/>
        <v>Multi Billionaire</v>
      </c>
      <c r="I12" s="2"/>
      <c r="J12" s="16"/>
      <c r="K12" s="16"/>
      <c r="L12" s="16"/>
      <c r="M12" s="16"/>
    </row>
    <row r="13" spans="1:13">
      <c r="A13" s="5">
        <v>12</v>
      </c>
      <c r="B13" s="5" t="s">
        <v>73</v>
      </c>
      <c r="C13" s="5">
        <v>90.4</v>
      </c>
      <c r="D13" s="5">
        <v>597</v>
      </c>
      <c r="E13" s="5">
        <v>14.6</v>
      </c>
      <c r="F13" s="5" t="s">
        <v>62</v>
      </c>
      <c r="G13" s="6" t="str" cm="1">
        <f t="array" ref="G13">_xlfn.IFS(C13&gt;100,"Centi Billionaire",C13&lt;100,"Multi Billionaire",C13=100,"Centi Billionaire")</f>
        <v>Multi Billionaire</v>
      </c>
      <c r="H13" s="2" t="str">
        <f t="shared" si="0"/>
        <v>Multi Billionaire</v>
      </c>
      <c r="I13" s="2"/>
      <c r="J13" s="16"/>
      <c r="K13" s="16"/>
      <c r="L13" s="16"/>
      <c r="M13" s="16"/>
    </row>
    <row r="14" spans="1:13">
      <c r="A14" s="5">
        <v>13</v>
      </c>
      <c r="B14" s="5" t="s">
        <v>74</v>
      </c>
      <c r="C14" s="5">
        <v>99.65</v>
      </c>
      <c r="D14" s="5">
        <v>2.52</v>
      </c>
      <c r="E14" s="5">
        <v>43.3</v>
      </c>
      <c r="F14" s="5" t="s">
        <v>72</v>
      </c>
      <c r="G14" s="6" t="str" cm="1">
        <f t="array" ref="G14">_xlfn.IFS(C14&gt;100,"Centi Billionaire",C14&lt;100,"Multi Billionaire",C14=100,"Centi Billionaire")</f>
        <v>Multi Billionaire</v>
      </c>
      <c r="H14" s="2" t="str">
        <f t="shared" si="0"/>
        <v>Multi Billionaire</v>
      </c>
      <c r="I14" s="2"/>
      <c r="J14" s="16"/>
      <c r="K14" s="16"/>
      <c r="L14" s="16"/>
      <c r="M14" s="16"/>
    </row>
    <row r="15" spans="1:13">
      <c r="A15" s="5">
        <v>14</v>
      </c>
      <c r="B15" s="5" t="s">
        <v>75</v>
      </c>
      <c r="C15" s="5">
        <v>77</v>
      </c>
      <c r="D15" s="5">
        <v>532</v>
      </c>
      <c r="E15" s="5">
        <v>10.5</v>
      </c>
      <c r="F15" s="5" t="s">
        <v>76</v>
      </c>
      <c r="G15" s="6" t="str" cm="1">
        <f t="array" ref="G15">_xlfn.IFS(C15&gt;100,"Centi Billionaire",C15&lt;100,"Multi Billionaire",C15=100,"Centi Billionaire")</f>
        <v>Multi Billionaire</v>
      </c>
      <c r="H15" s="2" t="str">
        <f t="shared" si="0"/>
        <v>Multi Billionaire</v>
      </c>
      <c r="I15" s="2"/>
      <c r="J15" s="16"/>
      <c r="K15" s="16"/>
      <c r="L15" s="16"/>
      <c r="M15" s="16"/>
    </row>
    <row r="16" spans="1:13">
      <c r="A16" s="5">
        <v>15</v>
      </c>
      <c r="B16" s="5" t="s">
        <v>77</v>
      </c>
      <c r="C16" s="5">
        <v>66.5</v>
      </c>
      <c r="D16" s="5">
        <v>315</v>
      </c>
      <c r="E16" s="5">
        <v>4.0199999999999996</v>
      </c>
      <c r="F16" s="5" t="s">
        <v>59</v>
      </c>
      <c r="G16" s="6" t="str" cm="1">
        <f t="array" ref="G16">_xlfn.IFS(C16&gt;100,"Centi Billionaire",C16&lt;100,"Multi Billionaire",C16=100,"Centi Billionaire")</f>
        <v>Multi Billionaire</v>
      </c>
      <c r="H16" s="2" t="str">
        <f t="shared" si="0"/>
        <v>Multi Billionaire</v>
      </c>
      <c r="I16" s="2"/>
    </row>
  </sheetData>
  <customSheetViews>
    <customSheetView guid="{86D36E03-787A-41EB-85FF-8BB8A222055B}" scale="130" showGridLines="0" state="hidden">
      <selection activeCell="D7" sqref="D7"/>
      <pageMargins left="0" right="0" top="0" bottom="0" header="0" footer="0"/>
      <pageSetup orientation="portrait" r:id="rId1"/>
    </customSheetView>
    <customSheetView guid="{08E755F8-82E9-4D95-862B-81F55FBDDDF6}" scale="130" showGridLines="0" state="hidden">
      <selection activeCell="D7" sqref="D7"/>
      <pageMargins left="0" right="0" top="0" bottom="0" header="0" footer="0"/>
      <pageSetup orientation="portrait" r:id="rId2"/>
    </customSheetView>
    <customSheetView guid="{C453A932-6110-4A84-A9C2-26C809391387}" scale="130" showGridLines="0" state="hidden">
      <selection activeCell="D7" sqref="D7"/>
      <pageMargins left="0" right="0" top="0" bottom="0" header="0" footer="0"/>
      <pageSetup orientation="portrait" r:id="rId3"/>
    </customSheetView>
    <customSheetView guid="{0BF42E77-7016-4BE4-A5AB-A49974630D91}" scale="130" showGridLines="0" state="hidden">
      <selection activeCell="D7" sqref="D7"/>
      <pageMargins left="0" right="0" top="0" bottom="0" header="0" footer="0"/>
      <pageSetup orientation="portrait" r:id="rId4"/>
    </customSheetView>
    <customSheetView guid="{B19B24CB-B859-49E3-8AE0-2D671510EE4F}" scale="130" showGridLines="0" state="hidden">
      <selection activeCell="D7" sqref="D7"/>
      <pageMargins left="0" right="0" top="0" bottom="0" header="0" footer="0"/>
      <pageSetup orientation="portrait" r:id="rId5"/>
    </customSheetView>
    <customSheetView guid="{D9413B31-FDB2-4AE8-80A8-7F09954E703C}" scale="130" showGridLines="0" state="hidden">
      <selection activeCell="D7" sqref="D7"/>
      <pageMargins left="0" right="0" top="0" bottom="0" header="0" footer="0"/>
      <pageSetup orientation="portrait" r:id="rId6"/>
    </customSheetView>
    <customSheetView guid="{FF03E81F-A9A8-4546-A9C3-77A6EEA02ED9}" scale="130" showGridLines="0" state="hidden">
      <selection activeCell="D7" sqref="D7"/>
      <pageMargins left="0" right="0" top="0" bottom="0" header="0" footer="0"/>
      <pageSetup orientation="portrait" r:id="rId7"/>
    </customSheetView>
    <customSheetView guid="{EE811897-5BF5-4321-9879-5B7EDF90A350}" scale="130" showGridLines="0" state="hidden">
      <selection activeCell="D7" sqref="D7"/>
      <pageMargins left="0" right="0" top="0" bottom="0" header="0" footer="0"/>
      <pageSetup orientation="portrait" r:id="rId8"/>
    </customSheetView>
    <customSheetView guid="{0E02FCC8-6440-4859-9F6B-C77617EF5D89}" scale="130" showGridLines="0" state="hidden">
      <selection activeCell="D7" sqref="D7"/>
      <pageMargins left="0" right="0" top="0" bottom="0" header="0" footer="0"/>
      <pageSetup orientation="portrait" r:id="rId9"/>
    </customSheetView>
    <customSheetView guid="{0458C18D-9EF5-4516-9145-CA54D8EB1865}" scale="130" showGridLines="0" state="hidden">
      <selection activeCell="D7" sqref="D7"/>
      <pageMargins left="0" right="0" top="0" bottom="0" header="0" footer="0"/>
      <pageSetup orientation="portrait" r:id="rId10"/>
    </customSheetView>
    <customSheetView guid="{DFE0B66A-2DCB-4802-A91B-F836707AD43C}" scale="130" showGridLines="0" state="hidden">
      <selection activeCell="D7" sqref="D7"/>
      <pageMargins left="0" right="0" top="0" bottom="0" header="0" footer="0"/>
      <pageSetup orientation="portrait" r:id="rId11"/>
    </customSheetView>
    <customSheetView guid="{3511E245-32F9-4CFF-8540-6B03C6FAE218}" scale="130" showGridLines="0" state="hidden">
      <selection activeCell="D7" sqref="D7"/>
      <pageMargins left="0" right="0" top="0" bottom="0" header="0" footer="0"/>
      <pageSetup orientation="portrait" r:id="rId12"/>
    </customSheetView>
    <customSheetView guid="{CE50DC7E-3038-4337-BAC8-5B16EE1D95B0}" scale="130" showGridLines="0" state="hidden">
      <selection activeCell="D7" sqref="D7"/>
      <pageMargins left="0" right="0" top="0" bottom="0" header="0" footer="0"/>
      <pageSetup orientation="portrait" r:id="rId13"/>
    </customSheetView>
    <customSheetView guid="{C908A6D6-4C77-416B-BC46-6F501B5F842F}" scale="130" showGridLines="0" state="hidden">
      <selection activeCell="D7" sqref="D7"/>
      <pageMargins left="0" right="0" top="0" bottom="0" header="0" footer="0"/>
      <pageSetup orientation="portrait" r:id="rId14"/>
    </customSheetView>
    <customSheetView guid="{C575B46A-1D4C-489C-97AE-5DAB6560E171}" scale="130" showGridLines="0" state="hidden">
      <selection activeCell="D7" sqref="D7"/>
      <pageMargins left="0" right="0" top="0" bottom="0" header="0" footer="0"/>
      <pageSetup orientation="portrait" r:id="rId15"/>
    </customSheetView>
    <customSheetView guid="{81DEBAD0-6E86-4DFB-8642-C52E8C976BDA}" scale="130" showGridLines="0" state="hidden">
      <selection activeCell="D7" sqref="D7"/>
      <pageMargins left="0" right="0" top="0" bottom="0" header="0" footer="0"/>
      <pageSetup orientation="portrait" r:id="rId16"/>
    </customSheetView>
    <customSheetView guid="{58306194-C83B-413E-AC5F-AD717216CB21}" scale="130" showGridLines="0" state="hidden">
      <selection activeCell="D7" sqref="D7"/>
      <pageMargins left="0" right="0" top="0" bottom="0" header="0" footer="0"/>
      <pageSetup orientation="portrait" r:id="rId17"/>
    </customSheetView>
    <customSheetView guid="{E4375DB4-4B74-46BC-A9F2-C5C5055B366F}" scale="130" showGridLines="0" state="hidden">
      <selection activeCell="D7" sqref="D7"/>
      <pageMargins left="0" right="0" top="0" bottom="0" header="0" footer="0"/>
      <pageSetup orientation="portrait" r:id="rId18"/>
    </customSheetView>
    <customSheetView guid="{2CEDB1FB-2942-4B51-BF30-285DCDB05292}" scale="130" showGridLines="0" state="hidden">
      <selection activeCell="D7" sqref="D7"/>
      <pageMargins left="0" right="0" top="0" bottom="0" header="0" footer="0"/>
      <pageSetup orientation="portrait" r:id="rId19"/>
    </customSheetView>
    <customSheetView guid="{DF16608F-40E8-490E-B08D-ED6EEAB8B9EC}" scale="130" showGridLines="0" state="hidden">
      <selection activeCell="D7" sqref="D7"/>
      <pageMargins left="0" right="0" top="0" bottom="0" header="0" footer="0"/>
      <pageSetup orientation="portrait" r:id="rId20"/>
    </customSheetView>
    <customSheetView guid="{2032DE14-E33D-44B5-9022-A2B48F059704}" scale="130" showGridLines="0" state="hidden">
      <selection activeCell="D7" sqref="D7"/>
      <pageMargins left="0" right="0" top="0" bottom="0" header="0" footer="0"/>
      <pageSetup orientation="portrait" r:id="rId21"/>
    </customSheetView>
    <customSheetView guid="{EE4A95A5-BF42-4BAA-B9EB-84A9230A28F9}" scale="130" showGridLines="0" state="hidden">
      <selection activeCell="D7" sqref="D7"/>
      <pageMargins left="0" right="0" top="0" bottom="0" header="0" footer="0"/>
      <pageSetup orientation="portrait" r:id="rId22"/>
    </customSheetView>
    <customSheetView guid="{8BEA0E04-8B9A-4A2D-9B80-4E7685E22D5E}" scale="130" showGridLines="0" state="hidden">
      <selection activeCell="D7" sqref="D7"/>
      <pageMargins left="0" right="0" top="0" bottom="0" header="0" footer="0"/>
      <pageSetup orientation="portrait" r:id="rId23"/>
    </customSheetView>
    <customSheetView guid="{0125BE01-BBC8-4E5A-9A9A-3D1257916B8C}" scale="130" showGridLines="0" state="hidden">
      <selection activeCell="D7" sqref="D7"/>
      <pageMargins left="0" right="0" top="0" bottom="0" header="0" footer="0"/>
      <pageSetup orientation="portrait" r:id="rId24"/>
    </customSheetView>
    <customSheetView guid="{7A9AB605-DB82-470C-B86B-95E2AB3523F6}" scale="130" showGridLines="0" state="hidden">
      <selection activeCell="D7" sqref="D7"/>
      <pageMargins left="0" right="0" top="0" bottom="0" header="0" footer="0"/>
      <pageSetup orientation="portrait" r:id="rId25"/>
    </customSheetView>
    <customSheetView guid="{FC8D231F-57F9-45EE-9DEF-D7ED111600EB}" scale="130" showGridLines="0" state="hidden">
      <selection activeCell="D7" sqref="D7"/>
      <pageMargins left="0" right="0" top="0" bottom="0" header="0" footer="0"/>
      <pageSetup orientation="portrait" r:id="rId26"/>
    </customSheetView>
    <customSheetView guid="{395DC3D6-3299-4A43-88E2-62703FCC0349}" scale="130" showGridLines="0" state="hidden">
      <selection activeCell="D7" sqref="D7"/>
      <pageMargins left="0" right="0" top="0" bottom="0" header="0" footer="0"/>
      <pageSetup orientation="portrait" r:id="rId27"/>
    </customSheetView>
    <customSheetView guid="{5C8F4C13-387F-42D2-8CB5-92C4886D7919}" scale="130" showGridLines="0" state="hidden">
      <selection activeCell="D7" sqref="D7"/>
      <pageMargins left="0" right="0" top="0" bottom="0" header="0" footer="0"/>
      <pageSetup orientation="portrait" r:id="rId28"/>
    </customSheetView>
    <customSheetView guid="{8A25BF65-C908-4B2F-9805-3CD39BD4330E}" scale="130" showGridLines="0" state="hidden">
      <selection activeCell="D7" sqref="D7"/>
      <pageMargins left="0" right="0" top="0" bottom="0" header="0" footer="0"/>
      <pageSetup orientation="portrait" r:id="rId29"/>
    </customSheetView>
    <customSheetView guid="{F9A03991-7A83-41AE-B603-3D22265CDA22}" scale="130" showGridLines="0" state="hidden">
      <selection activeCell="D7" sqref="D7"/>
      <pageMargins left="0" right="0" top="0" bottom="0" header="0" footer="0"/>
      <pageSetup orientation="portrait" r:id="rId30"/>
    </customSheetView>
    <customSheetView guid="{FEB5A49F-F7F7-412A-BE72-F90F7A4799C8}" scale="130" showGridLines="0" state="hidden">
      <selection activeCell="D7" sqref="D7"/>
      <pageMargins left="0" right="0" top="0" bottom="0" header="0" footer="0"/>
      <pageSetup orientation="portrait" r:id="rId31"/>
    </customSheetView>
    <customSheetView guid="{F518ECB9-5D92-41E0-BFD2-C5175A02444D}" scale="130" showGridLines="0" state="hidden">
      <selection activeCell="D7" sqref="D7"/>
      <pageMargins left="0" right="0" top="0" bottom="0" header="0" footer="0"/>
      <pageSetup orientation="portrait" r:id="rId32"/>
    </customSheetView>
    <customSheetView guid="{BCAB4838-A37A-4BCF-A9C9-CC50C95F58C7}" scale="130" showGridLines="0" state="hidden">
      <selection activeCell="D7" sqref="D7"/>
      <pageMargins left="0" right="0" top="0" bottom="0" header="0" footer="0"/>
      <pageSetup orientation="portrait" r:id="rId33"/>
    </customSheetView>
    <customSheetView guid="{E1A67331-473F-4161-806C-BE35870C93B5}" scale="130" showGridLines="0" state="hidden">
      <selection activeCell="D7" sqref="D7"/>
      <pageMargins left="0" right="0" top="0" bottom="0" header="0" footer="0"/>
      <pageSetup orientation="portrait" r:id="rId34"/>
    </customSheetView>
    <customSheetView guid="{CC562453-1E6B-4010-9E1B-775397A26EFA}" scale="130" showGridLines="0" state="hidden">
      <selection activeCell="D7" sqref="D7"/>
      <pageMargins left="0" right="0" top="0" bottom="0" header="0" footer="0"/>
      <pageSetup orientation="portrait" r:id="rId35"/>
    </customSheetView>
    <customSheetView guid="{644A6A80-0D34-48F6-A071-17016DCD2D6E}" scale="130" showGridLines="0" state="hidden">
      <selection activeCell="D7" sqref="D7"/>
      <pageMargins left="0" right="0" top="0" bottom="0" header="0" footer="0"/>
      <pageSetup orientation="portrait" r:id="rId36"/>
    </customSheetView>
    <customSheetView guid="{C65059E8-30E8-488B-A0E9-1B7961920C81}" scale="130" showGridLines="0" state="hidden">
      <selection activeCell="D7" sqref="D7"/>
      <pageMargins left="0" right="0" top="0" bottom="0" header="0" footer="0"/>
      <pageSetup orientation="portrait" r:id="rId37"/>
    </customSheetView>
    <customSheetView guid="{95D39BA8-2B16-4954-ABAC-09AD33A86339}" scale="130" showGridLines="0" state="hidden">
      <selection activeCell="D7" sqref="D7"/>
      <pageMargins left="0" right="0" top="0" bottom="0" header="0" footer="0"/>
      <pageSetup orientation="portrait" r:id="rId38"/>
    </customSheetView>
    <customSheetView guid="{25A4A7C0-9593-456C-861C-76D101D3FE93}" scale="130" showGridLines="0" state="hidden">
      <selection activeCell="D7" sqref="D7"/>
      <pageMargins left="0" right="0" top="0" bottom="0" header="0" footer="0"/>
      <pageSetup orientation="portrait" r:id="rId39"/>
    </customSheetView>
    <customSheetView guid="{51BA8A3D-4711-49ED-89E2-EBC09DF2AEDC}" scale="130" showGridLines="0" state="hidden">
      <selection activeCell="D7" sqref="D7"/>
      <pageMargins left="0" right="0" top="0" bottom="0" header="0" footer="0"/>
      <pageSetup orientation="portrait" r:id="rId40"/>
    </customSheetView>
    <customSheetView guid="{629A478C-29B1-4F25-A016-63CE32A1627F}" scale="130" showGridLines="0" state="hidden">
      <selection activeCell="D7" sqref="D7"/>
      <pageMargins left="0" right="0" top="0" bottom="0" header="0" footer="0"/>
      <pageSetup orientation="portrait" r:id="rId41"/>
    </customSheetView>
    <customSheetView guid="{F789A6E6-3D06-4D93-BF02-46FA1A2548B2}" scale="130" showGridLines="0" state="hidden">
      <selection activeCell="D7" sqref="D7"/>
      <pageMargins left="0" right="0" top="0" bottom="0" header="0" footer="0"/>
      <pageSetup orientation="portrait" r:id="rId42"/>
    </customSheetView>
    <customSheetView guid="{15D7A002-B247-4A6B-A16B-61BDD9B0066A}" scale="130" showGridLines="0" state="hidden">
      <selection activeCell="D7" sqref="D7"/>
      <pageMargins left="0" right="0" top="0" bottom="0" header="0" footer="0"/>
      <pageSetup orientation="portrait" r:id="rId43"/>
    </customSheetView>
    <customSheetView guid="{9AFCAA87-4888-4976-A7C9-C06A34CB6C97}" scale="130" showGridLines="0" state="hidden">
      <selection activeCell="D7" sqref="D7"/>
      <pageMargins left="0" right="0" top="0" bottom="0" header="0" footer="0"/>
      <pageSetup orientation="portrait" r:id="rId44"/>
    </customSheetView>
    <customSheetView guid="{E4FF7DB9-14DF-49DB-9F59-1898DDED4DCE}" scale="130" showGridLines="0" state="hidden">
      <selection activeCell="D7" sqref="D7"/>
      <pageMargins left="0" right="0" top="0" bottom="0" header="0" footer="0"/>
      <pageSetup orientation="portrait" r:id="rId45"/>
    </customSheetView>
    <customSheetView guid="{EC7537C6-1678-41C1-B788-EF4AFFECF769}" scale="130" showGridLines="0" state="hidden">
      <selection activeCell="D7" sqref="D7"/>
      <pageMargins left="0" right="0" top="0" bottom="0" header="0" footer="0"/>
      <pageSetup orientation="portrait" r:id="rId46"/>
    </customSheetView>
    <customSheetView guid="{1920E7A3-1C9F-4320-81BB-D11544051025}" scale="130" showGridLines="0" state="hidden">
      <selection activeCell="D7" sqref="D7"/>
      <pageMargins left="0" right="0" top="0" bottom="0" header="0" footer="0"/>
      <pageSetup orientation="portrait" r:id="rId47"/>
    </customSheetView>
    <customSheetView guid="{02D27969-4CD1-473E-A0E8-856AB0664DE8}" scale="130" showGridLines="0" state="hidden">
      <selection activeCell="D7" sqref="D7"/>
      <pageMargins left="0" right="0" top="0" bottom="0" header="0" footer="0"/>
      <pageSetup orientation="portrait" r:id="rId48"/>
    </customSheetView>
    <customSheetView guid="{422703F6-63C4-435C-AFE7-1030286678F6}" scale="130" showGridLines="0" state="hidden">
      <selection activeCell="D7" sqref="D7"/>
      <pageMargins left="0" right="0" top="0" bottom="0" header="0" footer="0"/>
      <pageSetup orientation="portrait" r:id="rId49"/>
    </customSheetView>
    <customSheetView guid="{F3CB97AD-592C-4B6E-8AE3-1CD47479060C}" scale="130" showGridLines="0" state="hidden">
      <selection activeCell="D7" sqref="D7"/>
      <pageMargins left="0" right="0" top="0" bottom="0" header="0" footer="0"/>
      <pageSetup orientation="portrait" r:id="rId50"/>
    </customSheetView>
    <customSheetView guid="{19DA6E7F-8950-4769-9BBE-2798EFA465A3}" scale="130" showGridLines="0" state="hidden">
      <selection activeCell="D7" sqref="D7"/>
      <pageMargins left="0" right="0" top="0" bottom="0" header="0" footer="0"/>
      <pageSetup orientation="portrait" r:id="rId51"/>
    </customSheetView>
    <customSheetView guid="{47C01131-7443-4080-A2BB-6B6AA35C6913}" scale="130" showGridLines="0" state="hidden">
      <selection activeCell="D7" sqref="D7"/>
      <pageMargins left="0" right="0" top="0" bottom="0" header="0" footer="0"/>
      <pageSetup orientation="portrait" r:id="rId52"/>
    </customSheetView>
    <customSheetView guid="{C7330417-67A9-44CF-917F-5F5E2F191AD4}" scale="130" showGridLines="0" state="hidden">
      <selection activeCell="D7" sqref="D7"/>
      <pageMargins left="0" right="0" top="0" bottom="0" header="0" footer="0"/>
      <pageSetup orientation="portrait" r:id="rId53"/>
    </customSheetView>
    <customSheetView guid="{EBA5E9C4-A2DB-4DF0-BF75-1243E968318E}" scale="130" showGridLines="0" state="hidden">
      <selection activeCell="D7" sqref="D7"/>
      <pageMargins left="0" right="0" top="0" bottom="0" header="0" footer="0"/>
      <pageSetup orientation="portrait" r:id="rId54"/>
    </customSheetView>
    <customSheetView guid="{7A7FC9A5-F2B5-4894-82BC-4528575F10D4}" scale="130" showGridLines="0" state="hidden">
      <selection activeCell="D7" sqref="D7"/>
      <pageMargins left="0" right="0" top="0" bottom="0" header="0" footer="0"/>
      <pageSetup orientation="portrait" r:id="rId55"/>
    </customSheetView>
    <customSheetView guid="{6194C141-D0A1-4D58-BA55-90A184525AC3}" scale="130" showGridLines="0" state="hidden">
      <selection activeCell="D7" sqref="D7"/>
      <pageMargins left="0" right="0" top="0" bottom="0" header="0" footer="0"/>
      <pageSetup orientation="portrait" r:id="rId56"/>
    </customSheetView>
    <customSheetView guid="{A5292A6B-6F92-4AB3-B051-EF87F39FC489}" scale="130" showGridLines="0" state="hidden">
      <selection activeCell="D7" sqref="D7"/>
      <pageMargins left="0" right="0" top="0" bottom="0" header="0" footer="0"/>
      <pageSetup orientation="portrait" r:id="rId57"/>
    </customSheetView>
    <customSheetView guid="{C090DFAD-A23A-4678-87F2-095D84EBDDE8}" scale="130" showGridLines="0" state="hidden">
      <selection activeCell="D7" sqref="D7"/>
      <pageMargins left="0" right="0" top="0" bottom="0" header="0" footer="0"/>
      <pageSetup orientation="portrait" r:id="rId58"/>
    </customSheetView>
    <customSheetView guid="{4F11E31F-E14C-416D-BB97-C8CE74658FBE}" scale="130" showGridLines="0" state="hidden">
      <selection activeCell="D7" sqref="D7"/>
      <pageMargins left="0" right="0" top="0" bottom="0" header="0" footer="0"/>
      <pageSetup orientation="portrait" r:id="rId59"/>
    </customSheetView>
    <customSheetView guid="{F2A17A28-A3DF-492D-BAE9-AAEF2A13397B}" scale="130" showGridLines="0" state="hidden">
      <selection activeCell="D7" sqref="D7"/>
      <pageMargins left="0" right="0" top="0" bottom="0" header="0" footer="0"/>
      <pageSetup orientation="portrait" r:id="rId60"/>
    </customSheetView>
    <customSheetView guid="{8F332A92-7271-4FEC-B085-C15AA232FE21}" scale="130" showGridLines="0" state="hidden">
      <selection activeCell="D7" sqref="D7"/>
      <pageMargins left="0" right="0" top="0" bottom="0" header="0" footer="0"/>
      <pageSetup orientation="portrait" r:id="rId61"/>
    </customSheetView>
    <customSheetView guid="{6B1EB7F4-EF59-450E-A531-475C3A6E6150}" scale="130" showGridLines="0" state="hidden">
      <selection activeCell="D7" sqref="D7"/>
      <pageMargins left="0" right="0" top="0" bottom="0" header="0" footer="0"/>
      <pageSetup orientation="portrait" r:id="rId62"/>
    </customSheetView>
    <customSheetView guid="{8EBF087E-11C5-42EE-B564-FAEE72C86C17}" scale="130" showGridLines="0" state="hidden">
      <selection activeCell="D7" sqref="D7"/>
      <pageMargins left="0" right="0" top="0" bottom="0" header="0" footer="0"/>
      <pageSetup orientation="portrait" r:id="rId63"/>
    </customSheetView>
    <customSheetView guid="{F716839F-5448-40FC-95BC-286199FD6764}" scale="130" showGridLines="0" state="hidden">
      <selection activeCell="D7" sqref="D7"/>
      <pageMargins left="0" right="0" top="0" bottom="0" header="0" footer="0"/>
      <pageSetup orientation="portrait" r:id="rId64"/>
    </customSheetView>
    <customSheetView guid="{E712F22D-DF79-4936-B86B-186E637372BF}" scale="130" showGridLines="0" state="hidden">
      <selection activeCell="D7" sqref="D7"/>
      <pageMargins left="0" right="0" top="0" bottom="0" header="0" footer="0"/>
      <pageSetup orientation="portrait" r:id="rId65"/>
    </customSheetView>
    <customSheetView guid="{672B3D91-11D6-418C-A856-9FF74CE5E6FB}" scale="130" showGridLines="0" state="hidden">
      <selection activeCell="D7" sqref="D7"/>
      <pageMargins left="0" right="0" top="0" bottom="0" header="0" footer="0"/>
      <pageSetup orientation="portrait" r:id="rId66"/>
    </customSheetView>
    <customSheetView guid="{5B4753E1-B7DC-40C2-A28F-B07A6CB075FE}" scale="130" showGridLines="0" state="hidden">
      <selection activeCell="D7" sqref="D7"/>
      <pageMargins left="0" right="0" top="0" bottom="0" header="0" footer="0"/>
      <pageSetup orientation="portrait" r:id="rId67"/>
    </customSheetView>
    <customSheetView guid="{EF2006E2-DE9B-4938-AD6F-8255BE7D529F}" scale="130" showGridLines="0" state="hidden">
      <selection activeCell="D7" sqref="D7"/>
      <pageMargins left="0" right="0" top="0" bottom="0" header="0" footer="0"/>
      <pageSetup orientation="portrait" r:id="rId68"/>
    </customSheetView>
    <customSheetView guid="{0BFB30CE-F6D9-44B3-99BA-62858BF46600}" scale="130" showGridLines="0" state="hidden">
      <selection activeCell="D7" sqref="D7"/>
      <pageMargins left="0" right="0" top="0" bottom="0" header="0" footer="0"/>
      <pageSetup orientation="portrait" r:id="rId69"/>
    </customSheetView>
    <customSheetView guid="{E3977DAC-58A9-43A5-A2CD-037AE84A3934}" scale="130" showGridLines="0" state="hidden">
      <selection activeCell="D7" sqref="D7"/>
      <pageMargins left="0" right="0" top="0" bottom="0" header="0" footer="0"/>
      <pageSetup orientation="portrait" r:id="rId70"/>
    </customSheetView>
    <customSheetView guid="{E18774DE-EF27-4708-91D7-FE2A7EE4C992}" scale="130" showGridLines="0" state="hidden">
      <selection activeCell="D7" sqref="D7"/>
      <pageMargins left="0" right="0" top="0" bottom="0" header="0" footer="0"/>
      <pageSetup orientation="portrait" r:id="rId71"/>
    </customSheetView>
    <customSheetView guid="{F102CDDA-1DB7-4BD5-8A8F-CD5640485596}" scale="130" showGridLines="0" state="hidden">
      <selection activeCell="D7" sqref="D7"/>
      <pageMargins left="0" right="0" top="0" bottom="0" header="0" footer="0"/>
      <pageSetup orientation="portrait" r:id="rId72"/>
    </customSheetView>
    <customSheetView guid="{A3C7F73E-8288-4122-801A-9A426BB0DFB8}" scale="130" showGridLines="0" state="hidden">
      <selection activeCell="D7" sqref="D7"/>
      <pageMargins left="0" right="0" top="0" bottom="0" header="0" footer="0"/>
      <pageSetup orientation="portrait" r:id="rId73"/>
    </customSheetView>
    <customSheetView guid="{C1FEC2CE-0AE0-4F12-8438-BD3D230D3830}" scale="130" showGridLines="0" state="hidden">
      <selection activeCell="D7" sqref="D7"/>
      <pageMargins left="0" right="0" top="0" bottom="0" header="0" footer="0"/>
      <pageSetup orientation="portrait" r:id="rId74"/>
    </customSheetView>
    <customSheetView guid="{576A445C-3D9A-438D-AC68-B679E3D65634}" scale="130" showGridLines="0" state="hidden">
      <selection activeCell="D7" sqref="D7"/>
      <pageMargins left="0" right="0" top="0" bottom="0" header="0" footer="0"/>
      <pageSetup orientation="portrait" r:id="rId75"/>
    </customSheetView>
  </customSheetViews>
  <mergeCells count="1">
    <mergeCell ref="J7:M15"/>
  </mergeCells>
  <conditionalFormatting sqref="G2:G16">
    <cfRule type="expression" dxfId="0" priority="1">
      <formula>$G2=$H2</formula>
    </cfRule>
  </conditionalFormatting>
  <pageMargins left="0.7" right="0.7" top="0.75" bottom="0.75" header="0.3" footer="0.3"/>
  <pageSetup orientation="portrait" r:id="rId76"/>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TAMIZH</dc:creator>
  <cp:keywords/>
  <dc:description/>
  <cp:lastModifiedBy/>
  <cp:revision/>
  <dcterms:created xsi:type="dcterms:W3CDTF">2022-03-05T05:03:48Z</dcterms:created>
  <dcterms:modified xsi:type="dcterms:W3CDTF">2024-10-17T15:13:56Z</dcterms:modified>
  <cp:category/>
  <cp:contentStatus/>
</cp:coreProperties>
</file>