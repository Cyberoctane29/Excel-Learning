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2"/>
  <workbookPr defaultThemeVersion="166925"/>
  <mc:AlternateContent xmlns:mc="http://schemas.openxmlformats.org/markup-compatibility/2006">
    <mc:Choice Requires="x15">
      <x15ac:absPath xmlns:x15ac="http://schemas.microsoft.com/office/spreadsheetml/2010/11/ac" url="E:\Your Excel Guy\Collaborations\Udemy\Vlookup Course\Practice Files\"/>
    </mc:Choice>
  </mc:AlternateContent>
  <xr:revisionPtr revIDLastSave="0" documentId="8_{8476EBDB-3F75-4F91-8BF2-1BB030F461FB}" xr6:coauthVersionLast="47" xr6:coauthVersionMax="47" xr10:uidLastSave="{00000000-0000-0000-0000-000000000000}"/>
  <bookViews>
    <workbookView xWindow="-120" yWindow="-120" windowWidth="20730" windowHeight="11760" firstSheet="1" activeTab="1" xr2:uid="{275F1ADD-2E24-4F9A-A50F-DEEE17A443DF}"/>
  </bookViews>
  <sheets>
    <sheet name="Intro" sheetId="1" r:id="rId1"/>
    <sheet name="Data" sheetId="2" r:id="rId2"/>
    <sheet name="Solv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 i="2" l="1"/>
  <c r="H16" i="2"/>
  <c r="H17" i="2"/>
  <c r="H18" i="2"/>
  <c r="H9" i="2"/>
  <c r="H10" i="2"/>
  <c r="H11" i="2"/>
  <c r="H12" i="2"/>
  <c r="H13" i="2"/>
  <c r="H15" i="2"/>
  <c r="I10" i="3"/>
  <c r="I11" i="3"/>
  <c r="I12" i="3"/>
  <c r="I13" i="3"/>
  <c r="I14" i="3"/>
  <c r="I15" i="3"/>
  <c r="I16" i="3"/>
  <c r="I17" i="3"/>
  <c r="I18" i="3"/>
  <c r="I9" i="3"/>
  <c r="D9" i="3"/>
  <c r="D10" i="3" s="1"/>
  <c r="D11" i="3" s="1"/>
  <c r="D12" i="3" s="1"/>
  <c r="D13" i="3" s="1"/>
  <c r="D14" i="3" s="1"/>
  <c r="D15" i="3" s="1"/>
  <c r="D16" i="3" s="1"/>
  <c r="D17" i="3" s="1"/>
  <c r="D18" i="3" s="1"/>
  <c r="D9" i="2"/>
  <c r="D10" i="2" s="1"/>
  <c r="D11" i="2" s="1"/>
  <c r="D12" i="2" s="1"/>
  <c r="D13" i="2" s="1"/>
  <c r="D14" i="2" s="1"/>
  <c r="D15" i="2" s="1"/>
  <c r="D16" i="2" s="1"/>
  <c r="D17" i="2" s="1"/>
  <c r="D18" i="2" s="1"/>
</calcChain>
</file>

<file path=xl/sharedStrings.xml><?xml version="1.0" encoding="utf-8"?>
<sst xmlns="http://schemas.openxmlformats.org/spreadsheetml/2006/main" count="77" uniqueCount="30">
  <si>
    <t xml:space="preserve">
Xlookup - Same File</t>
  </si>
  <si>
    <t>Find the "Days in Transit" from "M8" Dataset</t>
  </si>
  <si>
    <t>Purchase Data</t>
  </si>
  <si>
    <t>for second argument we only chose the lookup array in the table we want the data from instead of how we selected the whole table in vlookup and hlookup</t>
  </si>
  <si>
    <t>Transit Data</t>
  </si>
  <si>
    <t>S.No</t>
  </si>
  <si>
    <t>fruits</t>
  </si>
  <si>
    <t>Store Purchased</t>
  </si>
  <si>
    <t>Amount</t>
  </si>
  <si>
    <t>No of Days in Transit</t>
  </si>
  <si>
    <t>Merchant</t>
  </si>
  <si>
    <t>Profit %</t>
  </si>
  <si>
    <t>apple</t>
  </si>
  <si>
    <t>Amazon</t>
  </si>
  <si>
    <t>even with three arguments which are mandatory it works, notice how the sepration of return array to lookup array allows us to not select the columns in between the lookup array and return array</t>
  </si>
  <si>
    <t>orange</t>
  </si>
  <si>
    <t>Walmart</t>
  </si>
  <si>
    <t xml:space="preserve"> </t>
  </si>
  <si>
    <t>kiwifruit</t>
  </si>
  <si>
    <t>Digifresh</t>
  </si>
  <si>
    <t>pineapple</t>
  </si>
  <si>
    <t>BigBasket</t>
  </si>
  <si>
    <t>pomogranete</t>
  </si>
  <si>
    <t>Farmer</t>
  </si>
  <si>
    <t>grape</t>
  </si>
  <si>
    <t>Fruit Wholeseller</t>
  </si>
  <si>
    <t>banana</t>
  </si>
  <si>
    <t>Pear</t>
  </si>
  <si>
    <t>Mango</t>
  </si>
  <si>
    <t>watermelon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</si>
</sst>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0"/>
      <name val="Calibri"/>
      <family val="2"/>
      <scheme val="minor"/>
    </font>
    <font>
      <sz val="11"/>
      <color theme="0"/>
      <name val="Calibri"/>
      <family val="2"/>
      <scheme val="minor"/>
    </font>
    <font>
      <sz val="85"/>
      <color theme="0"/>
      <name val="Calibri"/>
      <family val="2"/>
      <scheme val="minor"/>
    </font>
    <font>
      <sz val="10"/>
      <color theme="1"/>
      <name val="Calibri"/>
      <family val="2"/>
      <scheme val="minor"/>
    </font>
    <font>
      <sz val="14"/>
      <color theme="1"/>
      <name val="Calibri"/>
      <family val="2"/>
      <scheme val="minor"/>
    </font>
  </fonts>
  <fills count="6">
    <fill>
      <patternFill patternType="none"/>
    </fill>
    <fill>
      <patternFill patternType="gray125"/>
    </fill>
    <fill>
      <patternFill patternType="solid">
        <fgColor rgb="FF278D3A"/>
        <bgColor indexed="64"/>
      </patternFill>
    </fill>
    <fill>
      <patternFill patternType="solid">
        <fgColor theme="4" tint="0.39997558519241921"/>
        <bgColor indexed="64"/>
      </patternFill>
    </fill>
    <fill>
      <patternFill patternType="solid">
        <fgColor rgb="FFFFC000"/>
        <bgColor indexed="64"/>
      </patternFill>
    </fill>
    <fill>
      <patternFill patternType="solid">
        <fgColor theme="7" tint="0.39997558519241921"/>
        <bgColor indexed="64"/>
      </patternFill>
    </fill>
  </fills>
  <borders count="2">
    <border>
      <left/>
      <right/>
      <top/>
      <bottom/>
      <diagonal/>
    </border>
    <border>
      <left style="thin">
        <color theme="4" tint="0.79998168889431442"/>
      </left>
      <right style="thin">
        <color theme="4" tint="0.79998168889431442"/>
      </right>
      <top style="thin">
        <color theme="4" tint="0.79998168889431442"/>
      </top>
      <bottom style="thin">
        <color theme="4" tint="0.79998168889431442"/>
      </bottom>
      <diagonal/>
    </border>
  </borders>
  <cellStyleXfs count="1">
    <xf numFmtId="0" fontId="0" fillId="0" borderId="0"/>
  </cellStyleXfs>
  <cellXfs count="13">
    <xf numFmtId="0" fontId="0" fillId="0" borderId="0" xfId="0"/>
    <xf numFmtId="0" fontId="2" fillId="0" borderId="0" xfId="0" applyFont="1" applyAlignment="1">
      <alignment horizontal="center"/>
    </xf>
    <xf numFmtId="0" fontId="1" fillId="3" borderId="1" xfId="0" applyFont="1" applyFill="1" applyBorder="1"/>
    <xf numFmtId="0" fontId="1" fillId="4" borderId="1" xfId="0" applyFont="1" applyFill="1" applyBorder="1"/>
    <xf numFmtId="0" fontId="0" fillId="0" borderId="1" xfId="0" applyBorder="1" applyAlignment="1">
      <alignment horizontal="center"/>
    </xf>
    <xf numFmtId="0" fontId="4" fillId="0" borderId="1" xfId="0" applyFont="1" applyBorder="1"/>
    <xf numFmtId="9" fontId="4" fillId="0" borderId="1" xfId="0" applyNumberFormat="1" applyFont="1" applyBorder="1"/>
    <xf numFmtId="0" fontId="4" fillId="0" borderId="1" xfId="0" applyFont="1" applyBorder="1" applyAlignment="1">
      <alignment horizontal="center"/>
    </xf>
    <xf numFmtId="0" fontId="3" fillId="2" borderId="0" xfId="0" applyFont="1" applyFill="1" applyAlignment="1">
      <alignment horizontal="center" vertical="top" wrapText="1"/>
    </xf>
    <xf numFmtId="0" fontId="3" fillId="2" borderId="0" xfId="0" applyFont="1" applyFill="1" applyAlignment="1">
      <alignment horizontal="center" vertical="top"/>
    </xf>
    <xf numFmtId="0" fontId="4" fillId="0" borderId="0" xfId="0" applyFont="1" applyAlignment="1">
      <alignment horizontal="center"/>
    </xf>
    <xf numFmtId="0" fontId="5" fillId="5" borderId="0" xfId="0" applyFont="1" applyFill="1" applyAlignment="1">
      <alignment horizontal="center"/>
    </xf>
    <xf numFmtId="0" fontId="0" fillId="0" borderId="0" xfId="0" applyFont="1" applyAlignment="1">
      <alignment horizontal="center"/>
    </xf>
  </cellXfs>
  <cellStyles count="1">
    <cellStyle name="Normal" xfId="0" builtinId="0"/>
  </cellStyles>
  <dxfs count="3">
    <dxf>
      <font>
        <b/>
        <i val="0"/>
        <color theme="0"/>
      </font>
      <fill>
        <patternFill>
          <bgColor rgb="FF00B050"/>
        </patternFill>
      </fill>
    </dxf>
    <dxf>
      <font>
        <b/>
        <i val="0"/>
        <color theme="0"/>
      </font>
      <fill>
        <patternFill>
          <bgColor rgb="FF00B050"/>
        </patternFill>
      </fill>
    </dxf>
    <dxf>
      <font>
        <b/>
        <i val="0"/>
        <color theme="0"/>
      </font>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41972-4543-4FF5-B13E-D0B85F71CA2F}">
  <dimension ref="A1:Z58"/>
  <sheetViews>
    <sheetView topLeftCell="A33" zoomScale="120" zoomScaleNormal="120" workbookViewId="0">
      <selection activeCell="A56" sqref="A56"/>
    </sheetView>
  </sheetViews>
  <sheetFormatPr defaultColWidth="0" defaultRowHeight="15" zeroHeight="1"/>
  <cols>
    <col min="1" max="26" width="9.140625" customWidth="1"/>
    <col min="27" max="16384" width="9.140625" hidden="1"/>
  </cols>
  <sheetData>
    <row r="1" spans="1:26">
      <c r="A1" s="8" t="s">
        <v>0</v>
      </c>
      <c r="B1" s="9"/>
      <c r="C1" s="9"/>
      <c r="D1" s="9"/>
      <c r="E1" s="9"/>
      <c r="F1" s="9"/>
      <c r="G1" s="9"/>
      <c r="H1" s="9"/>
      <c r="I1" s="9"/>
      <c r="J1" s="9"/>
      <c r="K1" s="9"/>
      <c r="L1" s="9"/>
      <c r="M1" s="9"/>
      <c r="N1" s="9"/>
      <c r="O1" s="9"/>
      <c r="P1" s="9"/>
      <c r="Q1" s="9"/>
      <c r="R1" s="9"/>
      <c r="S1" s="9"/>
      <c r="T1" s="9"/>
      <c r="U1" s="9"/>
      <c r="V1" s="9"/>
      <c r="W1" s="9"/>
      <c r="X1" s="9"/>
      <c r="Y1" s="9"/>
      <c r="Z1" s="9"/>
    </row>
    <row r="2" spans="1:26">
      <c r="A2" s="9"/>
      <c r="B2" s="9"/>
      <c r="C2" s="9"/>
      <c r="D2" s="9"/>
      <c r="E2" s="9"/>
      <c r="F2" s="9"/>
      <c r="G2" s="9"/>
      <c r="H2" s="9"/>
      <c r="I2" s="9"/>
      <c r="J2" s="9"/>
      <c r="K2" s="9"/>
      <c r="L2" s="9"/>
      <c r="M2" s="9"/>
      <c r="N2" s="9"/>
      <c r="O2" s="9"/>
      <c r="P2" s="9"/>
      <c r="Q2" s="9"/>
      <c r="R2" s="9"/>
      <c r="S2" s="9"/>
      <c r="T2" s="9"/>
      <c r="U2" s="9"/>
      <c r="V2" s="9"/>
      <c r="W2" s="9"/>
      <c r="X2" s="9"/>
      <c r="Y2" s="9"/>
      <c r="Z2" s="9"/>
    </row>
    <row r="3" spans="1:26">
      <c r="A3" s="9"/>
      <c r="B3" s="9"/>
      <c r="C3" s="9"/>
      <c r="D3" s="9"/>
      <c r="E3" s="9"/>
      <c r="F3" s="9"/>
      <c r="G3" s="9"/>
      <c r="H3" s="9"/>
      <c r="I3" s="9"/>
      <c r="J3" s="9"/>
      <c r="K3" s="9"/>
      <c r="L3" s="9"/>
      <c r="M3" s="9"/>
      <c r="N3" s="9"/>
      <c r="O3" s="9"/>
      <c r="P3" s="9"/>
      <c r="Q3" s="9"/>
      <c r="R3" s="9"/>
      <c r="S3" s="9"/>
      <c r="T3" s="9"/>
      <c r="U3" s="9"/>
      <c r="V3" s="9"/>
      <c r="W3" s="9"/>
      <c r="X3" s="9"/>
      <c r="Y3" s="9"/>
      <c r="Z3" s="9"/>
    </row>
    <row r="4" spans="1:26">
      <c r="A4" s="9"/>
      <c r="B4" s="9"/>
      <c r="C4" s="9"/>
      <c r="D4" s="9"/>
      <c r="E4" s="9"/>
      <c r="F4" s="9"/>
      <c r="G4" s="9"/>
      <c r="H4" s="9"/>
      <c r="I4" s="9"/>
      <c r="J4" s="9"/>
      <c r="K4" s="9"/>
      <c r="L4" s="9"/>
      <c r="M4" s="9"/>
      <c r="N4" s="9"/>
      <c r="O4" s="9"/>
      <c r="P4" s="9"/>
      <c r="Q4" s="9"/>
      <c r="R4" s="9"/>
      <c r="S4" s="9"/>
      <c r="T4" s="9"/>
      <c r="U4" s="9"/>
      <c r="V4" s="9"/>
      <c r="W4" s="9"/>
      <c r="X4" s="9"/>
      <c r="Y4" s="9"/>
      <c r="Z4" s="9"/>
    </row>
    <row r="5" spans="1:26">
      <c r="A5" s="9"/>
      <c r="B5" s="9"/>
      <c r="C5" s="9"/>
      <c r="D5" s="9"/>
      <c r="E5" s="9"/>
      <c r="F5" s="9"/>
      <c r="G5" s="9"/>
      <c r="H5" s="9"/>
      <c r="I5" s="9"/>
      <c r="J5" s="9"/>
      <c r="K5" s="9"/>
      <c r="L5" s="9"/>
      <c r="M5" s="9"/>
      <c r="N5" s="9"/>
      <c r="O5" s="9"/>
      <c r="P5" s="9"/>
      <c r="Q5" s="9"/>
      <c r="R5" s="9"/>
      <c r="S5" s="9"/>
      <c r="T5" s="9"/>
      <c r="U5" s="9"/>
      <c r="V5" s="9"/>
      <c r="W5" s="9"/>
      <c r="X5" s="9"/>
      <c r="Y5" s="9"/>
      <c r="Z5" s="9"/>
    </row>
    <row r="6" spans="1:26">
      <c r="A6" s="9"/>
      <c r="B6" s="9"/>
      <c r="C6" s="9"/>
      <c r="D6" s="9"/>
      <c r="E6" s="9"/>
      <c r="F6" s="9"/>
      <c r="G6" s="9"/>
      <c r="H6" s="9"/>
      <c r="I6" s="9"/>
      <c r="J6" s="9"/>
      <c r="K6" s="9"/>
      <c r="L6" s="9"/>
      <c r="M6" s="9"/>
      <c r="N6" s="9"/>
      <c r="O6" s="9"/>
      <c r="P6" s="9"/>
      <c r="Q6" s="9"/>
      <c r="R6" s="9"/>
      <c r="S6" s="9"/>
      <c r="T6" s="9"/>
      <c r="U6" s="9"/>
      <c r="V6" s="9"/>
      <c r="W6" s="9"/>
      <c r="X6" s="9"/>
      <c r="Y6" s="9"/>
      <c r="Z6" s="9"/>
    </row>
    <row r="7" spans="1:26">
      <c r="A7" s="9"/>
      <c r="B7" s="9"/>
      <c r="C7" s="9"/>
      <c r="D7" s="9"/>
      <c r="E7" s="9"/>
      <c r="F7" s="9"/>
      <c r="G7" s="9"/>
      <c r="H7" s="9"/>
      <c r="I7" s="9"/>
      <c r="J7" s="9"/>
      <c r="K7" s="9"/>
      <c r="L7" s="9"/>
      <c r="M7" s="9"/>
      <c r="N7" s="9"/>
      <c r="O7" s="9"/>
      <c r="P7" s="9"/>
      <c r="Q7" s="9"/>
      <c r="R7" s="9"/>
      <c r="S7" s="9"/>
      <c r="T7" s="9"/>
      <c r="U7" s="9"/>
      <c r="V7" s="9"/>
      <c r="W7" s="9"/>
      <c r="X7" s="9"/>
      <c r="Y7" s="9"/>
      <c r="Z7" s="9"/>
    </row>
    <row r="8" spans="1:26">
      <c r="A8" s="9"/>
      <c r="B8" s="9"/>
      <c r="C8" s="9"/>
      <c r="D8" s="9"/>
      <c r="E8" s="9"/>
      <c r="F8" s="9"/>
      <c r="G8" s="9"/>
      <c r="H8" s="9"/>
      <c r="I8" s="9"/>
      <c r="J8" s="9"/>
      <c r="K8" s="9"/>
      <c r="L8" s="9"/>
      <c r="M8" s="9"/>
      <c r="N8" s="9"/>
      <c r="O8" s="9"/>
      <c r="P8" s="9"/>
      <c r="Q8" s="9"/>
      <c r="R8" s="9"/>
      <c r="S8" s="9"/>
      <c r="T8" s="9"/>
      <c r="U8" s="9"/>
      <c r="V8" s="9"/>
      <c r="W8" s="9"/>
      <c r="X8" s="9"/>
      <c r="Y8" s="9"/>
      <c r="Z8" s="9"/>
    </row>
    <row r="9" spans="1:26">
      <c r="A9" s="9"/>
      <c r="B9" s="9"/>
      <c r="C9" s="9"/>
      <c r="D9" s="9"/>
      <c r="E9" s="9"/>
      <c r="F9" s="9"/>
      <c r="G9" s="9"/>
      <c r="H9" s="9"/>
      <c r="I9" s="9"/>
      <c r="J9" s="9"/>
      <c r="K9" s="9"/>
      <c r="L9" s="9"/>
      <c r="M9" s="9"/>
      <c r="N9" s="9"/>
      <c r="O9" s="9"/>
      <c r="P9" s="9"/>
      <c r="Q9" s="9"/>
      <c r="R9" s="9"/>
      <c r="S9" s="9"/>
      <c r="T9" s="9"/>
      <c r="U9" s="9"/>
      <c r="V9" s="9"/>
      <c r="W9" s="9"/>
      <c r="X9" s="9"/>
      <c r="Y9" s="9"/>
      <c r="Z9" s="9"/>
    </row>
    <row r="10" spans="1:26">
      <c r="A10" s="9"/>
      <c r="B10" s="9"/>
      <c r="C10" s="9"/>
      <c r="D10" s="9"/>
      <c r="E10" s="9"/>
      <c r="F10" s="9"/>
      <c r="G10" s="9"/>
      <c r="H10" s="9"/>
      <c r="I10" s="9"/>
      <c r="J10" s="9"/>
      <c r="K10" s="9"/>
      <c r="L10" s="9"/>
      <c r="M10" s="9"/>
      <c r="N10" s="9"/>
      <c r="O10" s="9"/>
      <c r="P10" s="9"/>
      <c r="Q10" s="9"/>
      <c r="R10" s="9"/>
      <c r="S10" s="9"/>
      <c r="T10" s="9"/>
      <c r="U10" s="9"/>
      <c r="V10" s="9"/>
      <c r="W10" s="9"/>
      <c r="X10" s="9"/>
      <c r="Y10" s="9"/>
      <c r="Z10" s="9"/>
    </row>
    <row r="11" spans="1:26">
      <c r="A11" s="9"/>
      <c r="B11" s="9"/>
      <c r="C11" s="9"/>
      <c r="D11" s="9"/>
      <c r="E11" s="9"/>
      <c r="F11" s="9"/>
      <c r="G11" s="9"/>
      <c r="H11" s="9"/>
      <c r="I11" s="9"/>
      <c r="J11" s="9"/>
      <c r="K11" s="9"/>
      <c r="L11" s="9"/>
      <c r="M11" s="9"/>
      <c r="N11" s="9"/>
      <c r="O11" s="9"/>
      <c r="P11" s="9"/>
      <c r="Q11" s="9"/>
      <c r="R11" s="9"/>
      <c r="S11" s="9"/>
      <c r="T11" s="9"/>
      <c r="U11" s="9"/>
      <c r="V11" s="9"/>
      <c r="W11" s="9"/>
      <c r="X11" s="9"/>
      <c r="Y11" s="9"/>
      <c r="Z11" s="9"/>
    </row>
    <row r="12" spans="1:26">
      <c r="A12" s="9"/>
      <c r="B12" s="9"/>
      <c r="C12" s="9"/>
      <c r="D12" s="9"/>
      <c r="E12" s="9"/>
      <c r="F12" s="9"/>
      <c r="G12" s="9"/>
      <c r="H12" s="9"/>
      <c r="I12" s="9"/>
      <c r="J12" s="9"/>
      <c r="K12" s="9"/>
      <c r="L12" s="9"/>
      <c r="M12" s="9"/>
      <c r="N12" s="9"/>
      <c r="O12" s="9"/>
      <c r="P12" s="9"/>
      <c r="Q12" s="9"/>
      <c r="R12" s="9"/>
      <c r="S12" s="9"/>
      <c r="T12" s="9"/>
      <c r="U12" s="9"/>
      <c r="V12" s="9"/>
      <c r="W12" s="9"/>
      <c r="X12" s="9"/>
      <c r="Y12" s="9"/>
      <c r="Z12" s="9"/>
    </row>
    <row r="13" spans="1:26">
      <c r="A13" s="9"/>
      <c r="B13" s="9"/>
      <c r="C13" s="9"/>
      <c r="D13" s="9"/>
      <c r="E13" s="9"/>
      <c r="F13" s="9"/>
      <c r="G13" s="9"/>
      <c r="H13" s="9"/>
      <c r="I13" s="9"/>
      <c r="J13" s="9"/>
      <c r="K13" s="9"/>
      <c r="L13" s="9"/>
      <c r="M13" s="9"/>
      <c r="N13" s="9"/>
      <c r="O13" s="9"/>
      <c r="P13" s="9"/>
      <c r="Q13" s="9"/>
      <c r="R13" s="9"/>
      <c r="S13" s="9"/>
      <c r="T13" s="9"/>
      <c r="U13" s="9"/>
      <c r="V13" s="9"/>
      <c r="W13" s="9"/>
      <c r="X13" s="9"/>
      <c r="Y13" s="9"/>
      <c r="Z13" s="9"/>
    </row>
    <row r="14" spans="1:26">
      <c r="A14" s="9"/>
      <c r="B14" s="9"/>
      <c r="C14" s="9"/>
      <c r="D14" s="9"/>
      <c r="E14" s="9"/>
      <c r="F14" s="9"/>
      <c r="G14" s="9"/>
      <c r="H14" s="9"/>
      <c r="I14" s="9"/>
      <c r="J14" s="9"/>
      <c r="K14" s="9"/>
      <c r="L14" s="9"/>
      <c r="M14" s="9"/>
      <c r="N14" s="9"/>
      <c r="O14" s="9"/>
      <c r="P14" s="9"/>
      <c r="Q14" s="9"/>
      <c r="R14" s="9"/>
      <c r="S14" s="9"/>
      <c r="T14" s="9"/>
      <c r="U14" s="9"/>
      <c r="V14" s="9"/>
      <c r="W14" s="9"/>
      <c r="X14" s="9"/>
      <c r="Y14" s="9"/>
      <c r="Z14" s="9"/>
    </row>
    <row r="15" spans="1:26">
      <c r="A15" s="9"/>
      <c r="B15" s="9"/>
      <c r="C15" s="9"/>
      <c r="D15" s="9"/>
      <c r="E15" s="9"/>
      <c r="F15" s="9"/>
      <c r="G15" s="9"/>
      <c r="H15" s="9"/>
      <c r="I15" s="9"/>
      <c r="J15" s="9"/>
      <c r="K15" s="9"/>
      <c r="L15" s="9"/>
      <c r="M15" s="9"/>
      <c r="N15" s="9"/>
      <c r="O15" s="9"/>
      <c r="P15" s="9"/>
      <c r="Q15" s="9"/>
      <c r="R15" s="9"/>
      <c r="S15" s="9"/>
      <c r="T15" s="9"/>
      <c r="U15" s="9"/>
      <c r="V15" s="9"/>
      <c r="W15" s="9"/>
      <c r="X15" s="9"/>
      <c r="Y15" s="9"/>
      <c r="Z15" s="9"/>
    </row>
    <row r="16" spans="1:26">
      <c r="A16" s="9"/>
      <c r="B16" s="9"/>
      <c r="C16" s="9"/>
      <c r="D16" s="9"/>
      <c r="E16" s="9"/>
      <c r="F16" s="9"/>
      <c r="G16" s="9"/>
      <c r="H16" s="9"/>
      <c r="I16" s="9"/>
      <c r="J16" s="9"/>
      <c r="K16" s="9"/>
      <c r="L16" s="9"/>
      <c r="M16" s="9"/>
      <c r="N16" s="9"/>
      <c r="O16" s="9"/>
      <c r="P16" s="9"/>
      <c r="Q16" s="9"/>
      <c r="R16" s="9"/>
      <c r="S16" s="9"/>
      <c r="T16" s="9"/>
      <c r="U16" s="9"/>
      <c r="V16" s="9"/>
      <c r="W16" s="9"/>
      <c r="X16" s="9"/>
      <c r="Y16" s="9"/>
      <c r="Z16" s="9"/>
    </row>
    <row r="17" spans="1:26">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row r="57" spans="1:26"/>
    <row r="58" spans="1:26"/>
  </sheetData>
  <mergeCells count="1">
    <mergeCell ref="A1:Z5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22BDF-E57C-4B52-8451-22D6E1B3C358}">
  <dimension ref="D4:O18"/>
  <sheetViews>
    <sheetView showGridLines="0" tabSelected="1" topLeftCell="B6" zoomScale="148" zoomScaleNormal="148" workbookViewId="0">
      <selection activeCell="H12" sqref="H12"/>
    </sheetView>
  </sheetViews>
  <sheetFormatPr defaultRowHeight="15"/>
  <cols>
    <col min="5" max="5" width="13.140625" bestFit="1" customWidth="1"/>
    <col min="6" max="6" width="16.5703125" bestFit="1" customWidth="1"/>
    <col min="8" max="8" width="20.7109375" customWidth="1"/>
    <col min="9" max="10" width="15.140625" customWidth="1"/>
    <col min="11" max="11" width="16.5703125" bestFit="1" customWidth="1"/>
    <col min="13" max="13" width="14.85546875" bestFit="1" customWidth="1"/>
    <col min="14" max="14" width="8" bestFit="1" customWidth="1"/>
    <col min="15" max="15" width="19.42578125" bestFit="1" customWidth="1"/>
  </cols>
  <sheetData>
    <row r="4" spans="4:15" ht="18.75">
      <c r="D4" s="11" t="s">
        <v>1</v>
      </c>
      <c r="E4" s="11"/>
      <c r="F4" s="11"/>
      <c r="G4" s="11"/>
      <c r="H4" s="11"/>
    </row>
    <row r="7" spans="4:15">
      <c r="D7" s="10" t="s">
        <v>2</v>
      </c>
      <c r="E7" s="10"/>
      <c r="F7" s="10"/>
      <c r="G7" s="10"/>
      <c r="H7" s="10"/>
      <c r="I7" t="s">
        <v>3</v>
      </c>
      <c r="M7" s="10" t="s">
        <v>4</v>
      </c>
      <c r="N7" s="10"/>
      <c r="O7" s="10"/>
    </row>
    <row r="8" spans="4:15">
      <c r="D8" s="2" t="s">
        <v>5</v>
      </c>
      <c r="E8" s="2" t="s">
        <v>6</v>
      </c>
      <c r="F8" s="2" t="s">
        <v>7</v>
      </c>
      <c r="G8" s="2" t="s">
        <v>8</v>
      </c>
      <c r="H8" s="3" t="s">
        <v>9</v>
      </c>
      <c r="M8" s="2" t="s">
        <v>10</v>
      </c>
      <c r="N8" s="2" t="s">
        <v>11</v>
      </c>
      <c r="O8" s="2" t="s">
        <v>9</v>
      </c>
    </row>
    <row r="9" spans="4:15">
      <c r="D9" s="4">
        <f>1</f>
        <v>1</v>
      </c>
      <c r="E9" s="5" t="s">
        <v>12</v>
      </c>
      <c r="F9" s="5" t="s">
        <v>13</v>
      </c>
      <c r="G9" s="5">
        <v>311</v>
      </c>
      <c r="H9" s="4">
        <f t="shared" ref="H9:H18" si="0">_xlfn.XLOOKUP(F9,$M$9:$M$14,$O$9:$O$14,"not found",0,1)</f>
        <v>7</v>
      </c>
      <c r="I9" s="12" t="s">
        <v>14</v>
      </c>
      <c r="M9" s="5" t="s">
        <v>13</v>
      </c>
      <c r="N9" s="6">
        <v>0.2</v>
      </c>
      <c r="O9" s="7">
        <v>7</v>
      </c>
    </row>
    <row r="10" spans="4:15">
      <c r="D10" s="4">
        <f t="shared" ref="D10:D18" si="1">D9+1</f>
        <v>2</v>
      </c>
      <c r="E10" s="5" t="s">
        <v>15</v>
      </c>
      <c r="F10" s="5" t="s">
        <v>16</v>
      </c>
      <c r="G10" s="5">
        <v>543</v>
      </c>
      <c r="H10" s="4">
        <f t="shared" si="0"/>
        <v>6</v>
      </c>
      <c r="I10" s="12" t="s">
        <v>17</v>
      </c>
      <c r="M10" s="5" t="s">
        <v>16</v>
      </c>
      <c r="N10" s="6">
        <v>0.18</v>
      </c>
      <c r="O10" s="7">
        <v>6</v>
      </c>
    </row>
    <row r="11" spans="4:15">
      <c r="D11" s="4">
        <f t="shared" si="1"/>
        <v>3</v>
      </c>
      <c r="E11" s="5" t="s">
        <v>18</v>
      </c>
      <c r="F11" s="5" t="s">
        <v>19</v>
      </c>
      <c r="G11" s="5">
        <v>338</v>
      </c>
      <c r="H11" s="4">
        <f t="shared" si="0"/>
        <v>7</v>
      </c>
      <c r="I11" s="1"/>
      <c r="M11" s="5" t="s">
        <v>19</v>
      </c>
      <c r="N11" s="6">
        <v>0.23</v>
      </c>
      <c r="O11" s="7">
        <v>7</v>
      </c>
    </row>
    <row r="12" spans="4:15">
      <c r="D12" s="4">
        <f t="shared" si="1"/>
        <v>4</v>
      </c>
      <c r="E12" s="5" t="s">
        <v>20</v>
      </c>
      <c r="F12" s="5" t="s">
        <v>21</v>
      </c>
      <c r="G12" s="5">
        <v>308</v>
      </c>
      <c r="H12" s="4">
        <f t="shared" si="0"/>
        <v>3</v>
      </c>
      <c r="I12" s="1"/>
      <c r="M12" s="5" t="s">
        <v>21</v>
      </c>
      <c r="N12" s="6">
        <v>7.0000000000000007E-2</v>
      </c>
      <c r="O12" s="7">
        <v>3</v>
      </c>
    </row>
    <row r="13" spans="4:15">
      <c r="D13" s="4">
        <f t="shared" si="1"/>
        <v>5</v>
      </c>
      <c r="E13" s="5" t="s">
        <v>22</v>
      </c>
      <c r="F13" s="5" t="s">
        <v>23</v>
      </c>
      <c r="G13" s="5">
        <v>499</v>
      </c>
      <c r="H13" s="4">
        <f t="shared" si="0"/>
        <v>1</v>
      </c>
      <c r="I13" s="1"/>
      <c r="M13" s="5" t="s">
        <v>23</v>
      </c>
      <c r="N13" s="6">
        <v>0.05</v>
      </c>
      <c r="O13" s="7">
        <v>1</v>
      </c>
    </row>
    <row r="14" spans="4:15">
      <c r="D14" s="4">
        <f t="shared" si="1"/>
        <v>6</v>
      </c>
      <c r="E14" s="5" t="s">
        <v>24</v>
      </c>
      <c r="F14" s="5" t="s">
        <v>25</v>
      </c>
      <c r="G14" s="5">
        <v>366</v>
      </c>
      <c r="H14" s="4">
        <f>_xlfn.XLOOKUP(F14,$M$9:$M$14,$O$9:$O$14,"not found",0,1)</f>
        <v>5</v>
      </c>
      <c r="I14" s="1"/>
      <c r="M14" s="5" t="s">
        <v>25</v>
      </c>
      <c r="N14" s="6">
        <v>0.4</v>
      </c>
      <c r="O14" s="7">
        <v>5</v>
      </c>
    </row>
    <row r="15" spans="4:15">
      <c r="D15" s="4">
        <f t="shared" si="1"/>
        <v>7</v>
      </c>
      <c r="E15" s="5" t="s">
        <v>26</v>
      </c>
      <c r="F15" s="5" t="s">
        <v>13</v>
      </c>
      <c r="G15" s="5">
        <v>452</v>
      </c>
      <c r="H15" s="4">
        <f>_xlfn.XLOOKUP(F15,$M$9:$M$14,$O$9:$O$14,"not found",0,1)</f>
        <v>7</v>
      </c>
      <c r="I15" s="1"/>
    </row>
    <row r="16" spans="4:15">
      <c r="D16" s="4">
        <f t="shared" si="1"/>
        <v>8</v>
      </c>
      <c r="E16" s="5" t="s">
        <v>27</v>
      </c>
      <c r="F16" s="5" t="s">
        <v>16</v>
      </c>
      <c r="G16" s="5">
        <v>369</v>
      </c>
      <c r="H16" s="4">
        <f t="shared" si="0"/>
        <v>6</v>
      </c>
      <c r="I16" s="1"/>
    </row>
    <row r="17" spans="4:9">
      <c r="D17" s="4">
        <f t="shared" si="1"/>
        <v>9</v>
      </c>
      <c r="E17" s="5" t="s">
        <v>28</v>
      </c>
      <c r="F17" s="5" t="s">
        <v>21</v>
      </c>
      <c r="G17" s="5">
        <v>332</v>
      </c>
      <c r="H17" s="4">
        <f t="shared" si="0"/>
        <v>3</v>
      </c>
      <c r="I17" s="1"/>
    </row>
    <row r="18" spans="4:9">
      <c r="D18" s="4">
        <f t="shared" si="1"/>
        <v>10</v>
      </c>
      <c r="E18" s="5" t="s">
        <v>29</v>
      </c>
      <c r="F18" s="5" t="s">
        <v>19</v>
      </c>
      <c r="G18" s="5">
        <v>485</v>
      </c>
      <c r="H18" s="4">
        <f t="shared" si="0"/>
        <v>7</v>
      </c>
      <c r="I18" s="1"/>
    </row>
  </sheetData>
  <mergeCells count="3">
    <mergeCell ref="D7:H7"/>
    <mergeCell ref="M7:O7"/>
    <mergeCell ref="D4:H4"/>
  </mergeCells>
  <conditionalFormatting sqref="H9:H18">
    <cfRule type="cellIs" dxfId="2" priority="12" operator="equal">
      <formula>$I9</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F9B0B-41CA-4264-B375-0CCA7C6D2D9C}">
  <dimension ref="D7:O18"/>
  <sheetViews>
    <sheetView showGridLines="0" zoomScale="148" zoomScaleNormal="148" workbookViewId="0">
      <selection activeCell="E9" sqref="E9"/>
    </sheetView>
  </sheetViews>
  <sheetFormatPr defaultRowHeight="15"/>
  <cols>
    <col min="5" max="5" width="13.140625" bestFit="1" customWidth="1"/>
    <col min="6" max="6" width="16.5703125" bestFit="1" customWidth="1"/>
    <col min="8" max="8" width="20.7109375" customWidth="1"/>
    <col min="9" max="10" width="15.140625" customWidth="1"/>
    <col min="11" max="11" width="16.5703125" bestFit="1" customWidth="1"/>
    <col min="13" max="13" width="14.85546875" bestFit="1" customWidth="1"/>
    <col min="14" max="14" width="8" bestFit="1" customWidth="1"/>
    <col min="15" max="15" width="19.42578125" bestFit="1" customWidth="1"/>
  </cols>
  <sheetData>
    <row r="7" spans="4:15">
      <c r="D7" s="10" t="s">
        <v>2</v>
      </c>
      <c r="E7" s="10"/>
      <c r="F7" s="10"/>
      <c r="G7" s="10"/>
      <c r="H7" s="10"/>
      <c r="M7" s="10" t="s">
        <v>4</v>
      </c>
      <c r="N7" s="10"/>
      <c r="O7" s="10"/>
    </row>
    <row r="8" spans="4:15">
      <c r="D8" s="2" t="s">
        <v>5</v>
      </c>
      <c r="E8" s="2" t="s">
        <v>6</v>
      </c>
      <c r="F8" s="2" t="s">
        <v>7</v>
      </c>
      <c r="G8" s="2" t="s">
        <v>8</v>
      </c>
      <c r="H8" s="3" t="s">
        <v>9</v>
      </c>
      <c r="M8" s="2" t="s">
        <v>10</v>
      </c>
      <c r="N8" s="2" t="s">
        <v>11</v>
      </c>
      <c r="O8" s="2" t="s">
        <v>9</v>
      </c>
    </row>
    <row r="9" spans="4:15">
      <c r="D9" s="4">
        <f>1</f>
        <v>1</v>
      </c>
      <c r="E9" s="5" t="s">
        <v>12</v>
      </c>
      <c r="F9" s="5" t="s">
        <v>13</v>
      </c>
      <c r="G9" s="5">
        <v>311</v>
      </c>
      <c r="H9" s="4"/>
      <c r="I9" s="1">
        <f>VLOOKUP(F9,$M$8:$O$14,3,FALSE)</f>
        <v>7</v>
      </c>
      <c r="M9" s="5" t="s">
        <v>13</v>
      </c>
      <c r="N9" s="6">
        <v>0.2</v>
      </c>
      <c r="O9" s="7">
        <v>7</v>
      </c>
    </row>
    <row r="10" spans="4:15">
      <c r="D10" s="4">
        <f t="shared" ref="D10:D18" si="0">D9+1</f>
        <v>2</v>
      </c>
      <c r="E10" s="5" t="s">
        <v>15</v>
      </c>
      <c r="F10" s="5" t="s">
        <v>16</v>
      </c>
      <c r="G10" s="5">
        <v>543</v>
      </c>
      <c r="H10" s="4"/>
      <c r="I10" s="1">
        <f t="shared" ref="I10:I18" si="1">VLOOKUP(F10,$M$8:$O$14,3,FALSE)</f>
        <v>6</v>
      </c>
      <c r="M10" s="5" t="s">
        <v>16</v>
      </c>
      <c r="N10" s="6">
        <v>0.18</v>
      </c>
      <c r="O10" s="7">
        <v>6</v>
      </c>
    </row>
    <row r="11" spans="4:15">
      <c r="D11" s="4">
        <f t="shared" si="0"/>
        <v>3</v>
      </c>
      <c r="E11" s="5" t="s">
        <v>18</v>
      </c>
      <c r="F11" s="5" t="s">
        <v>19</v>
      </c>
      <c r="G11" s="5">
        <v>338</v>
      </c>
      <c r="H11" s="4"/>
      <c r="I11" s="1">
        <f t="shared" si="1"/>
        <v>7</v>
      </c>
      <c r="M11" s="5" t="s">
        <v>19</v>
      </c>
      <c r="N11" s="6">
        <v>0.23</v>
      </c>
      <c r="O11" s="7">
        <v>7</v>
      </c>
    </row>
    <row r="12" spans="4:15">
      <c r="D12" s="4">
        <f t="shared" si="0"/>
        <v>4</v>
      </c>
      <c r="E12" s="5" t="s">
        <v>20</v>
      </c>
      <c r="F12" s="5" t="s">
        <v>21</v>
      </c>
      <c r="G12" s="5">
        <v>308</v>
      </c>
      <c r="H12" s="4"/>
      <c r="I12" s="1">
        <f t="shared" si="1"/>
        <v>3</v>
      </c>
      <c r="M12" s="5" t="s">
        <v>21</v>
      </c>
      <c r="N12" s="6">
        <v>7.0000000000000007E-2</v>
      </c>
      <c r="O12" s="7">
        <v>3</v>
      </c>
    </row>
    <row r="13" spans="4:15">
      <c r="D13" s="4">
        <f t="shared" si="0"/>
        <v>5</v>
      </c>
      <c r="E13" s="5" t="s">
        <v>22</v>
      </c>
      <c r="F13" s="5" t="s">
        <v>23</v>
      </c>
      <c r="G13" s="5">
        <v>499</v>
      </c>
      <c r="H13" s="4"/>
      <c r="I13" s="1">
        <f t="shared" si="1"/>
        <v>1</v>
      </c>
      <c r="M13" s="5" t="s">
        <v>23</v>
      </c>
      <c r="N13" s="6">
        <v>0.05</v>
      </c>
      <c r="O13" s="7">
        <v>1</v>
      </c>
    </row>
    <row r="14" spans="4:15">
      <c r="D14" s="4">
        <f t="shared" si="0"/>
        <v>6</v>
      </c>
      <c r="E14" s="5" t="s">
        <v>24</v>
      </c>
      <c r="F14" s="5" t="s">
        <v>25</v>
      </c>
      <c r="G14" s="5">
        <v>366</v>
      </c>
      <c r="H14" s="4"/>
      <c r="I14" s="1">
        <f t="shared" si="1"/>
        <v>5</v>
      </c>
      <c r="M14" s="5" t="s">
        <v>25</v>
      </c>
      <c r="N14" s="6">
        <v>0.4</v>
      </c>
      <c r="O14" s="7">
        <v>5</v>
      </c>
    </row>
    <row r="15" spans="4:15">
      <c r="D15" s="4">
        <f t="shared" si="0"/>
        <v>7</v>
      </c>
      <c r="E15" s="5" t="s">
        <v>26</v>
      </c>
      <c r="F15" s="5" t="s">
        <v>13</v>
      </c>
      <c r="G15" s="5">
        <v>452</v>
      </c>
      <c r="H15" s="4"/>
      <c r="I15" s="1">
        <f t="shared" si="1"/>
        <v>7</v>
      </c>
    </row>
    <row r="16" spans="4:15">
      <c r="D16" s="4">
        <f t="shared" si="0"/>
        <v>8</v>
      </c>
      <c r="E16" s="5" t="s">
        <v>27</v>
      </c>
      <c r="F16" s="5" t="s">
        <v>16</v>
      </c>
      <c r="G16" s="5">
        <v>369</v>
      </c>
      <c r="H16" s="4"/>
      <c r="I16" s="1">
        <f t="shared" si="1"/>
        <v>6</v>
      </c>
    </row>
    <row r="17" spans="4:9">
      <c r="D17" s="4">
        <f t="shared" si="0"/>
        <v>9</v>
      </c>
      <c r="E17" s="5" t="s">
        <v>28</v>
      </c>
      <c r="F17" s="5" t="s">
        <v>21</v>
      </c>
      <c r="G17" s="5">
        <v>332</v>
      </c>
      <c r="H17" s="4"/>
      <c r="I17" s="1">
        <f t="shared" si="1"/>
        <v>3</v>
      </c>
    </row>
    <row r="18" spans="4:9">
      <c r="D18" s="4">
        <f t="shared" si="0"/>
        <v>10</v>
      </c>
      <c r="E18" s="5" t="s">
        <v>29</v>
      </c>
      <c r="F18" s="5" t="s">
        <v>19</v>
      </c>
      <c r="G18" s="5">
        <v>485</v>
      </c>
      <c r="H18" s="4"/>
      <c r="I18" s="1">
        <f t="shared" si="1"/>
        <v>7</v>
      </c>
    </row>
  </sheetData>
  <mergeCells count="2">
    <mergeCell ref="D7:H7"/>
    <mergeCell ref="M7:O7"/>
  </mergeCells>
  <conditionalFormatting sqref="H10:H18">
    <cfRule type="cellIs" dxfId="1" priority="3" operator="equal">
      <formula>#REF!</formula>
    </cfRule>
  </conditionalFormatting>
  <conditionalFormatting sqref="H9:H18">
    <cfRule type="cellIs" dxfId="0" priority="1" operator="equal">
      <formula>$I9</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My-PC</dc:creator>
  <cp:keywords/>
  <dc:description/>
  <cp:lastModifiedBy/>
  <cp:revision/>
  <dcterms:created xsi:type="dcterms:W3CDTF">2021-10-19T11:46:22Z</dcterms:created>
  <dcterms:modified xsi:type="dcterms:W3CDTF">2024-10-02T15:22:03Z</dcterms:modified>
  <cp:category/>
  <cp:contentStatus/>
</cp:coreProperties>
</file>