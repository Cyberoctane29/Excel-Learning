
<file path=[Content_Types].xml><?xml version="1.0" encoding="utf-8"?>
<Types xmlns="http://schemas.openxmlformats.org/package/2006/content-types">
  <Default Extension="vml" ContentType="application/vnd.openxmlformats-officedocument.vmlDrawing"/>
  <Default Extension="xlsx" ContentType="application/vnd.openxmlformats-officedocument.spreadsheetml.shee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64" activeTab="1"/>
  </bookViews>
  <sheets>
    <sheet name="Intro" sheetId="1" r:id="rId1"/>
    <sheet name="Data" sheetId="2" r:id="rId2"/>
    <sheet name="Solved" sheetId="3" r:id="rId3"/>
  </sheets>
  <externalReferences>
    <externalReference r:id="rId4"/>
    <externalReference r:id="rId5"/>
  </externalReferences>
  <calcPr calcId="144525"/>
</workbook>
</file>

<file path=xl/sharedStrings.xml><?xml version="1.0" encoding="utf-8"?>
<sst xmlns="http://schemas.openxmlformats.org/spreadsheetml/2006/main" count="86" uniqueCount="39">
  <si>
    <t xml:space="preserve">
XLookup - Date info</t>
  </si>
  <si>
    <t>notice how we didnt give it any info about searching in which direction but it fetched data from a wide data table just like hlookup.</t>
  </si>
  <si>
    <t>Purchase Data</t>
  </si>
  <si>
    <t>Transit Data</t>
  </si>
  <si>
    <t>S.No</t>
  </si>
  <si>
    <t>fruits</t>
  </si>
  <si>
    <t>Store Purchased</t>
  </si>
  <si>
    <t>Date Purchased</t>
  </si>
  <si>
    <t>No of Kgs Sold</t>
  </si>
  <si>
    <t>Billing Agent</t>
  </si>
  <si>
    <t>Merchant</t>
  </si>
  <si>
    <t>Profit %</t>
  </si>
  <si>
    <t>No of Days in Transit</t>
  </si>
  <si>
    <t>apple</t>
  </si>
  <si>
    <t>Amazon</t>
  </si>
  <si>
    <t>Matthew</t>
  </si>
  <si>
    <t>orange</t>
  </si>
  <si>
    <t>Walmart</t>
  </si>
  <si>
    <t>Kyle</t>
  </si>
  <si>
    <t>kiwifruit</t>
  </si>
  <si>
    <t>Digifresh</t>
  </si>
  <si>
    <t>Sammy</t>
  </si>
  <si>
    <t>pineapple</t>
  </si>
  <si>
    <t>BigBasket</t>
  </si>
  <si>
    <t>Bravo</t>
  </si>
  <si>
    <t>pomogranete</t>
  </si>
  <si>
    <t>Farmer</t>
  </si>
  <si>
    <t>Rock</t>
  </si>
  <si>
    <t>grape</t>
  </si>
  <si>
    <t>Fruit Wholeseller</t>
  </si>
  <si>
    <t>Johnson</t>
  </si>
  <si>
    <t>banana</t>
  </si>
  <si>
    <t>Smiley</t>
  </si>
  <si>
    <t>Pear</t>
  </si>
  <si>
    <t>Cryptas</t>
  </si>
  <si>
    <t>Mango</t>
  </si>
  <si>
    <t>Luke</t>
  </si>
  <si>
    <t>watermelon</t>
  </si>
  <si>
    <t>Carrey</t>
  </si>
</sst>
</file>

<file path=xl/styles.xml><?xml version="1.0" encoding="utf-8"?>
<styleSheet xmlns="http://schemas.openxmlformats.org/spreadsheetml/2006/main" xmlns:xr9="http://schemas.microsoft.com/office/spreadsheetml/2016/revision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/yy"/>
    <numFmt numFmtId="182" formatCode="mm/dd/yy"/>
    <numFmt numFmtId="183" formatCode="yyyy/mmm/dd"/>
  </numFmts>
  <fonts count="25">
    <font>
      <sz val="11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0"/>
      <name val="Calibri"/>
      <charset val="134"/>
      <scheme val="minor"/>
    </font>
    <font>
      <sz val="85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78D3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4" tint="0.799981688894314"/>
      </bottom>
      <diagonal/>
    </border>
    <border>
      <left style="thin">
        <color theme="4" tint="0.799981688894314"/>
      </left>
      <right style="thin">
        <color theme="4" tint="0.799981688894314"/>
      </right>
      <top style="thin">
        <color theme="4" tint="0.799981688894314"/>
      </top>
      <bottom style="thin">
        <color theme="4" tint="0.79998168889431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/>
    <xf numFmtId="0" fontId="2" fillId="3" borderId="2" xfId="0" applyFont="1" applyFill="1" applyBorder="1"/>
    <xf numFmtId="0" fontId="0" fillId="0" borderId="2" xfId="0" applyBorder="1" applyAlignment="1">
      <alignment horizontal="center"/>
    </xf>
    <xf numFmtId="0" fontId="3" fillId="0" borderId="2" xfId="0" applyFont="1" applyBorder="1"/>
    <xf numFmtId="180" fontId="3" fillId="0" borderId="2" xfId="0" applyNumberFormat="1" applyFont="1" applyBorder="1"/>
    <xf numFmtId="9" fontId="0" fillId="0" borderId="2" xfId="0" applyNumberFormat="1" applyBorder="1" applyAlignment="1">
      <alignment horizontal="center"/>
    </xf>
    <xf numFmtId="181" fontId="3" fillId="0" borderId="2" xfId="0" applyNumberFormat="1" applyFont="1" applyBorder="1"/>
    <xf numFmtId="182" fontId="3" fillId="0" borderId="2" xfId="0" applyNumberFormat="1" applyFont="1" applyBorder="1"/>
    <xf numFmtId="183" fontId="3" fillId="0" borderId="2" xfId="0" applyNumberFormat="1" applyFont="1" applyBorder="1"/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9" fontId="3" fillId="0" borderId="2" xfId="0" applyNumberFormat="1" applyFont="1" applyBorder="1"/>
    <xf numFmtId="0" fontId="3" fillId="0" borderId="2" xfId="0" applyFont="1" applyBorder="1" applyAlignment="1">
      <alignment horizontal="center"/>
    </xf>
    <xf numFmtId="0" fontId="5" fillId="4" borderId="0" xfId="0" applyFont="1" applyFill="1" applyAlignment="1">
      <alignment horizontal="center" vertical="top" wrapText="1"/>
    </xf>
    <xf numFmtId="0" fontId="5" fillId="4" borderId="0" xfId="0" applyFont="1" applyFill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b val="1"/>
        <i val="0"/>
        <color theme="0"/>
      </font>
      <fill>
        <patternFill patternType="solid"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561975</xdr:colOff>
          <xdr:row>24</xdr:row>
          <xdr:rowOff>66675</xdr:rowOff>
        </xdr:from>
        <xdr:to>
          <xdr:col>8</xdr:col>
          <xdr:colOff>228600</xdr:colOff>
          <xdr:row>26</xdr:row>
          <xdr:rowOff>171450</xdr:rowOff>
        </xdr:to>
        <xdr:sp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4949190" y="4455795"/>
              <a:ext cx="293370" cy="4705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24</xdr:row>
          <xdr:rowOff>28575</xdr:rowOff>
        </xdr:from>
        <xdr:to>
          <xdr:col>17</xdr:col>
          <xdr:colOff>523875</xdr:colOff>
          <xdr:row>26</xdr:row>
          <xdr:rowOff>142875</xdr:rowOff>
        </xdr:to>
        <xdr:sp>
          <xdr:nvSpPr>
            <xdr:cNvPr id="2050" name="Object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10930890" y="4417695"/>
              <a:ext cx="247650" cy="4800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orksheet%20in%20Xlookup+Over+Date+Data+&amp;+Instead+of+HLookup.xlsx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orksheet%20in%20Xlookup+Over+Date+Data+&amp;+Instead+of+HLookup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9">
          <cell r="B9" t="str">
            <v>Date Purchased</v>
          </cell>
          <cell r="C9">
            <v>44467</v>
          </cell>
          <cell r="D9">
            <v>44469</v>
          </cell>
          <cell r="E9">
            <v>44462</v>
          </cell>
          <cell r="F9">
            <v>44466</v>
          </cell>
          <cell r="G9">
            <v>44471</v>
          </cell>
          <cell r="H9">
            <v>44485</v>
          </cell>
          <cell r="I9">
            <v>44479</v>
          </cell>
          <cell r="J9">
            <v>44470</v>
          </cell>
          <cell r="K9">
            <v>44459</v>
          </cell>
          <cell r="L9">
            <v>44464</v>
          </cell>
        </row>
        <row r="10">
          <cell r="B10" t="str">
            <v>Number of Kilograms Sold</v>
          </cell>
          <cell r="C10">
            <v>11</v>
          </cell>
          <cell r="D10">
            <v>12</v>
          </cell>
          <cell r="E10">
            <v>35</v>
          </cell>
          <cell r="F10">
            <v>18</v>
          </cell>
          <cell r="G10">
            <v>17</v>
          </cell>
          <cell r="H10">
            <v>16</v>
          </cell>
          <cell r="I10">
            <v>18</v>
          </cell>
          <cell r="J10">
            <v>37</v>
          </cell>
          <cell r="K10">
            <v>18</v>
          </cell>
          <cell r="L10">
            <v>16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8">
          <cell r="B8" t="str">
            <v>Date of Duty</v>
          </cell>
          <cell r="C8">
            <v>44467</v>
          </cell>
          <cell r="D8">
            <v>44469</v>
          </cell>
          <cell r="E8">
            <v>44462</v>
          </cell>
          <cell r="F8">
            <v>44466</v>
          </cell>
          <cell r="G8">
            <v>44471</v>
          </cell>
          <cell r="H8">
            <v>44485</v>
          </cell>
          <cell r="I8">
            <v>44480</v>
          </cell>
          <cell r="J8">
            <v>44470</v>
          </cell>
          <cell r="K8">
            <v>44459</v>
          </cell>
          <cell r="L8">
            <v>44464</v>
          </cell>
          <cell r="M8">
            <v>44449</v>
          </cell>
        </row>
        <row r="9">
          <cell r="B9" t="str">
            <v>Billing Agent</v>
          </cell>
          <cell r="C9" t="str">
            <v>Matthew</v>
          </cell>
          <cell r="D9" t="str">
            <v>Kyle</v>
          </cell>
          <cell r="E9" t="str">
            <v>Sammy</v>
          </cell>
          <cell r="F9" t="str">
            <v>Bravo</v>
          </cell>
          <cell r="G9" t="str">
            <v>Rock</v>
          </cell>
          <cell r="H9" t="str">
            <v>Johnson</v>
          </cell>
          <cell r="I9" t="str">
            <v>Smiley</v>
          </cell>
          <cell r="J9" t="str">
            <v>Cryptas</v>
          </cell>
          <cell r="K9" t="str">
            <v>Luke</v>
          </cell>
          <cell r="L9" t="str">
            <v>Carrey</v>
          </cell>
          <cell r="M9" t="str">
            <v>Hardy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image" Target="../media/image2.emf"/><Relationship Id="rId5" Type="http://schemas.openxmlformats.org/officeDocument/2006/relationships/package" Target="../embeddings/Workbook2.xlsx"/><Relationship Id="rId4" Type="http://schemas.openxmlformats.org/officeDocument/2006/relationships/image" Target="../media/image1.emf"/><Relationship Id="rId3" Type="http://schemas.openxmlformats.org/officeDocument/2006/relationships/package" Target="../embeddings/Workbook1.xls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0"/>
  <sheetViews>
    <sheetView topLeftCell="D7" workbookViewId="0">
      <selection activeCell="A1" sqref="A1:Z58"/>
    </sheetView>
  </sheetViews>
  <sheetFormatPr defaultColWidth="0" defaultRowHeight="15" zeroHeight="1"/>
  <cols>
    <col min="1" max="26" width="9.13888888888889" customWidth="1"/>
    <col min="27" max="16384" width="9.13888888888889" hidden="1"/>
  </cols>
  <sheetData>
    <row r="1" ht="14.4" spans="1:26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4.4" spans="1:26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4.4" spans="1:26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4.4" spans="1:26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4.4" spans="1:26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4.4" spans="1:2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4.4" spans="1:26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4.4" spans="1:26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4.4" spans="1:26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4.4" spans="1:26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4.4" spans="1:26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4.4" spans="1:26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4.4" spans="1:26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4.4" spans="1:26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4.4" spans="1:26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4.4" spans="1:2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4.4" spans="1:26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4.4" spans="1:26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4.4" spans="1:26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4.4" spans="1:26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4.4" spans="1:26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4.4" spans="1:26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4.4" spans="1:26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4.4" spans="1:26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4.4" spans="1:26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4.4" spans="1: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4.4" spans="1:26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4.4" spans="1:26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4.4" spans="1:26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4.4" spans="1:26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4.4" spans="1:26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4.4" spans="1:26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4.4" spans="1:26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4.4" spans="1:26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4.4" spans="1:26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4.4" spans="1:2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4.4" spans="1:26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4.4" spans="1:26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4.4" spans="1:26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4.4" spans="1:26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4.4" spans="1:26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4.4" spans="1:26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4.4" spans="1:26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4.4" spans="1:26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4.4" spans="1:26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4.4" spans="1:2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4.4" spans="1:26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4.4" spans="1:26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4.4" spans="1:26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4.4" spans="1:26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4.4" spans="1:26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4.4" spans="1:26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4.4" spans="1:26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4.4" spans="1:26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4.4" spans="1:26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4.4" spans="1:2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4.4" spans="1:26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4.4" spans="1:26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4.4" hidden="1"/>
    <row r="60" ht="14.4" hidden="1"/>
  </sheetData>
  <mergeCells count="1">
    <mergeCell ref="A1:Z58"/>
  </mergeCells>
  <pageMargins left="0.7" right="0.7" top="0.75" bottom="0.75" header="0.3" footer="0.3"/>
  <pageSetup paperSize="1" orientation="portrait"/>
  <headerFooter/>
  <drawing r:id="rId1"/>
  <legacyDrawing r:id="rId2"/>
  <oleObjects>
    <mc:AlternateContent xmlns:mc="http://schemas.openxmlformats.org/markup-compatibility/2006">
      <mc:Choice Requires="x14">
        <oleObject shapeId="2049" progId="Excel.Sheet.12" r:id="rId3" dvAspect="DVASPECT_ICON">
          <objectPr defaultSize="0" r:id="rId4">
            <anchor moveWithCells="1">
              <from>
                <xdr:col>7</xdr:col>
                <xdr:colOff>561975</xdr:colOff>
                <xdr:row>24</xdr:row>
                <xdr:rowOff>66675</xdr:rowOff>
              </from>
              <to>
                <xdr:col>8</xdr:col>
                <xdr:colOff>228600</xdr:colOff>
                <xdr:row>26</xdr:row>
                <xdr:rowOff>171450</xdr:rowOff>
              </to>
            </anchor>
          </objectPr>
        </oleObject>
      </mc:Choice>
      <mc:Fallback>
        <oleObject shapeId="2049" progId="Excel.Sheet.12" r:id="rId3" dvAspect="DVASPECT_ICON"/>
      </mc:Fallback>
    </mc:AlternateContent>
    <mc:AlternateContent xmlns:mc="http://schemas.openxmlformats.org/markup-compatibility/2006">
      <mc:Choice Requires="x14">
        <oleObject shapeId="2050" progId="Excel.Sheet.12" r:id="rId5" dvAspect="DVASPECT_ICON">
          <objectPr defaultSize="0" r:id="rId6">
            <anchor moveWithCells="1">
              <from>
                <xdr:col>17</xdr:col>
                <xdr:colOff>276225</xdr:colOff>
                <xdr:row>24</xdr:row>
                <xdr:rowOff>28575</xdr:rowOff>
              </from>
              <to>
                <xdr:col>17</xdr:col>
                <xdr:colOff>523875</xdr:colOff>
                <xdr:row>26</xdr:row>
                <xdr:rowOff>142875</xdr:rowOff>
              </to>
            </anchor>
          </objectPr>
        </oleObject>
      </mc:Choice>
      <mc:Fallback>
        <oleObject shapeId="2050" progId="Excel.Sheet.12" r:id="rId5" dvAspect="DVASPECT_ICON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N18"/>
  <sheetViews>
    <sheetView showGridLines="0" tabSelected="1" zoomScale="148" zoomScaleNormal="148" topLeftCell="B1" workbookViewId="0">
      <selection activeCell="H9" sqref="H9:H18"/>
    </sheetView>
  </sheetViews>
  <sheetFormatPr defaultColWidth="9" defaultRowHeight="14.4"/>
  <cols>
    <col min="4" max="4" width="13.1388888888889" customWidth="1"/>
    <col min="5" max="5" width="16.5740740740741" customWidth="1"/>
    <col min="6" max="6" width="15" customWidth="1"/>
    <col min="7" max="7" width="13.712962962963" customWidth="1"/>
    <col min="8" max="8" width="12.287037037037" customWidth="1"/>
    <col min="9" max="9" width="15.1388888888889" customWidth="1"/>
    <col min="10" max="10" width="16.5740740740741" customWidth="1"/>
    <col min="12" max="12" width="14.8518518518519" customWidth="1"/>
    <col min="13" max="13" width="8" customWidth="1"/>
    <col min="14" max="14" width="19.4259259259259" customWidth="1"/>
  </cols>
  <sheetData>
    <row r="5" spans="9:9">
      <c r="I5" t="s">
        <v>1</v>
      </c>
    </row>
    <row r="7" spans="3:14">
      <c r="C7" s="1" t="s">
        <v>2</v>
      </c>
      <c r="D7" s="1"/>
      <c r="E7" s="1"/>
      <c r="F7" s="1"/>
      <c r="G7" s="1"/>
      <c r="H7" s="1"/>
      <c r="L7" s="13" t="s">
        <v>3</v>
      </c>
      <c r="M7" s="13"/>
      <c r="N7" s="13"/>
    </row>
    <row r="8" spans="3:14">
      <c r="C8" s="2" t="s">
        <v>4</v>
      </c>
      <c r="D8" s="2" t="s">
        <v>5</v>
      </c>
      <c r="E8" s="2" t="s">
        <v>6</v>
      </c>
      <c r="F8" s="2" t="s">
        <v>7</v>
      </c>
      <c r="G8" s="3" t="s">
        <v>8</v>
      </c>
      <c r="H8" s="3" t="s">
        <v>9</v>
      </c>
      <c r="L8" s="2" t="s">
        <v>10</v>
      </c>
      <c r="M8" s="2" t="s">
        <v>11</v>
      </c>
      <c r="N8" s="2" t="s">
        <v>12</v>
      </c>
    </row>
    <row r="9" spans="3:14">
      <c r="C9" s="4">
        <f>1</f>
        <v>1</v>
      </c>
      <c r="D9" s="5" t="s">
        <v>13</v>
      </c>
      <c r="E9" s="5" t="s">
        <v>14</v>
      </c>
      <c r="F9" s="6">
        <v>44467</v>
      </c>
      <c r="G9" s="4">
        <f>_xlfn.XLOOKUP(F9,[1]Sheet1!$B$9:$L$9,[1]Sheet1!$B$10:$L$10,"not found")</f>
        <v>11</v>
      </c>
      <c r="H9" s="7" t="str">
        <f>_xlfn.XLOOKUP(F9,[2]Sheet1!$B$8:$M$8,[2]Sheet1!$B$9:$M$9,"not found")</f>
        <v>Matthew</v>
      </c>
      <c r="I9" s="11">
        <v>11</v>
      </c>
      <c r="J9" s="12" t="s">
        <v>15</v>
      </c>
      <c r="L9" s="5" t="s">
        <v>14</v>
      </c>
      <c r="M9" s="14">
        <v>0.2</v>
      </c>
      <c r="N9" s="15">
        <v>7</v>
      </c>
    </row>
    <row r="10" spans="3:14">
      <c r="C10" s="4">
        <f t="shared" ref="C10:C18" si="0">C9+1</f>
        <v>2</v>
      </c>
      <c r="D10" s="5" t="s">
        <v>16</v>
      </c>
      <c r="E10" s="5" t="s">
        <v>17</v>
      </c>
      <c r="F10" s="8">
        <v>44469</v>
      </c>
      <c r="G10" s="4">
        <f>_xlfn.XLOOKUP(F10,[1]Sheet1!$B$9:$L$9,[1]Sheet1!$B$10:$L$10,"not found")</f>
        <v>12</v>
      </c>
      <c r="H10" s="7" t="str">
        <f>_xlfn.XLOOKUP(F10,[2]Sheet1!$B$8:$M$8,[2]Sheet1!$B$9:$M$9,"not found")</f>
        <v>Kyle</v>
      </c>
      <c r="I10" s="11">
        <v>12</v>
      </c>
      <c r="J10" s="12" t="s">
        <v>18</v>
      </c>
      <c r="L10" s="5" t="s">
        <v>17</v>
      </c>
      <c r="M10" s="14">
        <v>0.18</v>
      </c>
      <c r="N10" s="15">
        <v>6</v>
      </c>
    </row>
    <row r="11" spans="3:14">
      <c r="C11" s="4">
        <f t="shared" si="0"/>
        <v>3</v>
      </c>
      <c r="D11" s="5" t="s">
        <v>19</v>
      </c>
      <c r="E11" s="5" t="s">
        <v>20</v>
      </c>
      <c r="F11" s="9">
        <v>44462</v>
      </c>
      <c r="G11" s="4">
        <f>_xlfn.XLOOKUP(F11,[1]Sheet1!$B$9:$L$9,[1]Sheet1!$B$10:$L$10,"not found")</f>
        <v>35</v>
      </c>
      <c r="H11" s="7" t="str">
        <f>_xlfn.XLOOKUP(F11,[2]Sheet1!$B$8:$M$8,[2]Sheet1!$B$9:$M$9,"not found")</f>
        <v>Sammy</v>
      </c>
      <c r="I11" s="11">
        <v>35</v>
      </c>
      <c r="J11" s="12" t="s">
        <v>21</v>
      </c>
      <c r="L11" s="5" t="s">
        <v>20</v>
      </c>
      <c r="M11" s="14">
        <v>0.23</v>
      </c>
      <c r="N11" s="15">
        <v>7</v>
      </c>
    </row>
    <row r="12" spans="3:14">
      <c r="C12" s="4">
        <f t="shared" si="0"/>
        <v>4</v>
      </c>
      <c r="D12" s="5" t="s">
        <v>22</v>
      </c>
      <c r="E12" s="5" t="s">
        <v>23</v>
      </c>
      <c r="F12" s="10">
        <v>44466</v>
      </c>
      <c r="G12" s="4">
        <f>_xlfn.XLOOKUP(F12,[1]Sheet1!$B$9:$L$9,[1]Sheet1!$B$10:$L$10,"not found")</f>
        <v>18</v>
      </c>
      <c r="H12" s="7" t="str">
        <f>_xlfn.XLOOKUP(F12,[2]Sheet1!$B$8:$M$8,[2]Sheet1!$B$9:$M$9,"not found")</f>
        <v>Bravo</v>
      </c>
      <c r="I12" s="11">
        <v>18</v>
      </c>
      <c r="J12" s="12" t="s">
        <v>24</v>
      </c>
      <c r="L12" s="5" t="s">
        <v>23</v>
      </c>
      <c r="M12" s="14">
        <v>0.07</v>
      </c>
      <c r="N12" s="15">
        <v>3</v>
      </c>
    </row>
    <row r="13" spans="3:14">
      <c r="C13" s="4">
        <f t="shared" si="0"/>
        <v>5</v>
      </c>
      <c r="D13" s="5" t="s">
        <v>25</v>
      </c>
      <c r="E13" s="5" t="s">
        <v>26</v>
      </c>
      <c r="F13" s="6">
        <v>44471</v>
      </c>
      <c r="G13" s="4">
        <f>_xlfn.XLOOKUP(F13,[1]Sheet1!$B$9:$L$9,[1]Sheet1!$B$10:$L$10,"not found")</f>
        <v>17</v>
      </c>
      <c r="H13" s="7" t="str">
        <f>_xlfn.XLOOKUP(F13,[2]Sheet1!$B$8:$M$8,[2]Sheet1!$B$9:$M$9,"not found")</f>
        <v>Rock</v>
      </c>
      <c r="I13" s="11">
        <v>17</v>
      </c>
      <c r="J13" s="12" t="s">
        <v>27</v>
      </c>
      <c r="L13" s="5" t="s">
        <v>26</v>
      </c>
      <c r="M13" s="14">
        <v>0.05</v>
      </c>
      <c r="N13" s="15">
        <v>1</v>
      </c>
    </row>
    <row r="14" spans="3:14">
      <c r="C14" s="4">
        <f t="shared" si="0"/>
        <v>6</v>
      </c>
      <c r="D14" s="5" t="s">
        <v>28</v>
      </c>
      <c r="E14" s="5" t="s">
        <v>29</v>
      </c>
      <c r="F14" s="6">
        <v>44485</v>
      </c>
      <c r="G14" s="4">
        <f>_xlfn.XLOOKUP(F14,[1]Sheet1!$B$9:$L$9,[1]Sheet1!$B$10:$L$10,"not found")</f>
        <v>16</v>
      </c>
      <c r="H14" s="7" t="str">
        <f>_xlfn.XLOOKUP(F14,[2]Sheet1!$B$8:$M$8,[2]Sheet1!$B$9:$M$9,"not found")</f>
        <v>Johnson</v>
      </c>
      <c r="I14" s="11">
        <v>16</v>
      </c>
      <c r="J14" s="12" t="s">
        <v>30</v>
      </c>
      <c r="L14" s="5" t="s">
        <v>29</v>
      </c>
      <c r="M14" s="14">
        <v>0.4</v>
      </c>
      <c r="N14" s="15">
        <v>5</v>
      </c>
    </row>
    <row r="15" spans="3:10">
      <c r="C15" s="4">
        <f t="shared" si="0"/>
        <v>7</v>
      </c>
      <c r="D15" s="5" t="s">
        <v>31</v>
      </c>
      <c r="E15" s="5" t="s">
        <v>14</v>
      </c>
      <c r="F15" s="6">
        <v>44480</v>
      </c>
      <c r="G15" s="4" t="str">
        <f>_xlfn.XLOOKUP(F15,[1]Sheet1!$B$9:$L$9,[1]Sheet1!$B$10:$L$10,"not found")</f>
        <v>not found</v>
      </c>
      <c r="H15" s="7" t="str">
        <f>_xlfn.XLOOKUP(F15,[2]Sheet1!$B$8:$M$8,[2]Sheet1!$B$9:$M$9,"not found")</f>
        <v>Smiley</v>
      </c>
      <c r="I15" s="11" t="e">
        <v>#N/A</v>
      </c>
      <c r="J15" s="12" t="s">
        <v>32</v>
      </c>
    </row>
    <row r="16" spans="3:10">
      <c r="C16" s="4">
        <f t="shared" si="0"/>
        <v>8</v>
      </c>
      <c r="D16" s="5" t="s">
        <v>33</v>
      </c>
      <c r="E16" s="5" t="s">
        <v>17</v>
      </c>
      <c r="F16" s="6">
        <v>44470</v>
      </c>
      <c r="G16" s="4">
        <f>_xlfn.XLOOKUP(F16,[1]Sheet1!$B$9:$L$9,[1]Sheet1!$B$10:$L$10,"not found")</f>
        <v>37</v>
      </c>
      <c r="H16" s="7" t="str">
        <f>_xlfn.XLOOKUP(F16,[2]Sheet1!$B$8:$M$8,[2]Sheet1!$B$9:$M$9,"not found")</f>
        <v>Cryptas</v>
      </c>
      <c r="I16" s="11">
        <v>37</v>
      </c>
      <c r="J16" s="12" t="s">
        <v>34</v>
      </c>
    </row>
    <row r="17" spans="3:10">
      <c r="C17" s="4">
        <f t="shared" si="0"/>
        <v>9</v>
      </c>
      <c r="D17" s="5" t="s">
        <v>35</v>
      </c>
      <c r="E17" s="5" t="s">
        <v>23</v>
      </c>
      <c r="F17" s="6">
        <v>44459</v>
      </c>
      <c r="G17" s="4">
        <f>_xlfn.XLOOKUP(F17,[1]Sheet1!$B$9:$L$9,[1]Sheet1!$B$10:$L$10,"not found")</f>
        <v>18</v>
      </c>
      <c r="H17" s="7" t="str">
        <f>_xlfn.XLOOKUP(F17,[2]Sheet1!$B$8:$M$8,[2]Sheet1!$B$9:$M$9,"not found")</f>
        <v>Luke</v>
      </c>
      <c r="I17" s="11">
        <v>18</v>
      </c>
      <c r="J17" s="12" t="s">
        <v>36</v>
      </c>
    </row>
    <row r="18" spans="3:10">
      <c r="C18" s="4">
        <f t="shared" si="0"/>
        <v>10</v>
      </c>
      <c r="D18" s="5" t="s">
        <v>37</v>
      </c>
      <c r="E18" s="5" t="s">
        <v>20</v>
      </c>
      <c r="F18" s="6">
        <v>44464</v>
      </c>
      <c r="G18" s="4">
        <f>_xlfn.XLOOKUP(F18,[1]Sheet1!$B$9:$L$9,[1]Sheet1!$B$10:$L$10,"not found")</f>
        <v>16</v>
      </c>
      <c r="H18" s="7" t="str">
        <f>_xlfn.XLOOKUP(F18,[2]Sheet1!$B$8:$M$8,[2]Sheet1!$B$9:$M$9,"not found")</f>
        <v>Carrey</v>
      </c>
      <c r="I18" s="11">
        <v>16</v>
      </c>
      <c r="J18" s="12" t="s">
        <v>38</v>
      </c>
    </row>
  </sheetData>
  <mergeCells count="2">
    <mergeCell ref="C7:H7"/>
    <mergeCell ref="L7:N7"/>
  </mergeCells>
  <conditionalFormatting sqref="G9:G18">
    <cfRule type="cellIs" dxfId="0" priority="13" operator="equal">
      <formula>$I9</formula>
    </cfRule>
  </conditionalFormatting>
  <conditionalFormatting sqref="H9:H18">
    <cfRule type="cellIs" dxfId="0" priority="1" operator="equal">
      <formula>$J9</formula>
    </cfRule>
  </conditionalFormatting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7:J18"/>
  <sheetViews>
    <sheetView showGridLines="0" zoomScale="148" zoomScaleNormal="148" topLeftCell="B4" workbookViewId="0">
      <selection activeCell="F9" sqref="F9"/>
    </sheetView>
  </sheetViews>
  <sheetFormatPr defaultColWidth="9" defaultRowHeight="14.4"/>
  <cols>
    <col min="4" max="4" width="13.1388888888889" customWidth="1"/>
    <col min="5" max="5" width="16.5740740740741" customWidth="1"/>
    <col min="6" max="6" width="15" customWidth="1"/>
    <col min="7" max="7" width="13.712962962963" customWidth="1"/>
    <col min="8" max="8" width="12.287037037037" customWidth="1"/>
    <col min="9" max="9" width="15.1388888888889" customWidth="1"/>
    <col min="10" max="10" width="16.5740740740741" customWidth="1"/>
    <col min="12" max="12" width="14.8518518518519" customWidth="1"/>
    <col min="13" max="13" width="8" customWidth="1"/>
    <col min="14" max="14" width="19.4259259259259" customWidth="1"/>
  </cols>
  <sheetData>
    <row r="7" spans="3:8">
      <c r="C7" s="1" t="s">
        <v>2</v>
      </c>
      <c r="D7" s="1"/>
      <c r="E7" s="1"/>
      <c r="F7" s="1"/>
      <c r="G7" s="1"/>
      <c r="H7" s="1"/>
    </row>
    <row r="8" spans="3:8">
      <c r="C8" s="2" t="s">
        <v>4</v>
      </c>
      <c r="D8" s="2" t="s">
        <v>5</v>
      </c>
      <c r="E8" s="2" t="s">
        <v>6</v>
      </c>
      <c r="F8" s="2" t="s">
        <v>7</v>
      </c>
      <c r="G8" s="3" t="s">
        <v>8</v>
      </c>
      <c r="H8" s="3" t="s">
        <v>9</v>
      </c>
    </row>
    <row r="9" spans="3:10">
      <c r="C9" s="4">
        <f>1</f>
        <v>1</v>
      </c>
      <c r="D9" s="5" t="s">
        <v>13</v>
      </c>
      <c r="E9" s="5" t="s">
        <v>14</v>
      </c>
      <c r="F9" s="6">
        <v>44467</v>
      </c>
      <c r="G9" s="4"/>
      <c r="H9" s="7"/>
      <c r="I9" s="11">
        <v>11</v>
      </c>
      <c r="J9" s="12" t="s">
        <v>15</v>
      </c>
    </row>
    <row r="10" spans="3:10">
      <c r="C10" s="4">
        <f t="shared" ref="C10:C18" si="0">C9+1</f>
        <v>2</v>
      </c>
      <c r="D10" s="5" t="s">
        <v>16</v>
      </c>
      <c r="E10" s="5" t="s">
        <v>17</v>
      </c>
      <c r="F10" s="8">
        <v>44469</v>
      </c>
      <c r="G10" s="4"/>
      <c r="H10" s="7"/>
      <c r="I10" s="11">
        <v>12</v>
      </c>
      <c r="J10" s="12" t="s">
        <v>18</v>
      </c>
    </row>
    <row r="11" spans="3:10">
      <c r="C11" s="4">
        <f t="shared" si="0"/>
        <v>3</v>
      </c>
      <c r="D11" s="5" t="s">
        <v>19</v>
      </c>
      <c r="E11" s="5" t="s">
        <v>20</v>
      </c>
      <c r="F11" s="9">
        <v>44462</v>
      </c>
      <c r="G11" s="4"/>
      <c r="H11" s="7"/>
      <c r="I11" s="11">
        <v>35</v>
      </c>
      <c r="J11" s="12" t="s">
        <v>21</v>
      </c>
    </row>
    <row r="12" spans="3:10">
      <c r="C12" s="4">
        <f t="shared" si="0"/>
        <v>4</v>
      </c>
      <c r="D12" s="5" t="s">
        <v>22</v>
      </c>
      <c r="E12" s="5" t="s">
        <v>23</v>
      </c>
      <c r="F12" s="10">
        <v>44466</v>
      </c>
      <c r="G12" s="4"/>
      <c r="H12" s="7"/>
      <c r="I12" s="11">
        <v>18</v>
      </c>
      <c r="J12" s="12" t="s">
        <v>24</v>
      </c>
    </row>
    <row r="13" spans="3:10">
      <c r="C13" s="4">
        <f t="shared" si="0"/>
        <v>5</v>
      </c>
      <c r="D13" s="5" t="s">
        <v>25</v>
      </c>
      <c r="E13" s="5" t="s">
        <v>26</v>
      </c>
      <c r="F13" s="6">
        <v>44471</v>
      </c>
      <c r="G13" s="4"/>
      <c r="H13" s="7"/>
      <c r="I13" s="11">
        <v>17</v>
      </c>
      <c r="J13" s="12" t="s">
        <v>27</v>
      </c>
    </row>
    <row r="14" spans="3:10">
      <c r="C14" s="4">
        <f t="shared" si="0"/>
        <v>6</v>
      </c>
      <c r="D14" s="5" t="s">
        <v>28</v>
      </c>
      <c r="E14" s="5" t="s">
        <v>29</v>
      </c>
      <c r="F14" s="6">
        <v>44485</v>
      </c>
      <c r="G14" s="4"/>
      <c r="H14" s="7"/>
      <c r="I14" s="11">
        <v>16</v>
      </c>
      <c r="J14" s="12" t="s">
        <v>30</v>
      </c>
    </row>
    <row r="15" spans="3:10">
      <c r="C15" s="4">
        <f t="shared" si="0"/>
        <v>7</v>
      </c>
      <c r="D15" s="5" t="s">
        <v>31</v>
      </c>
      <c r="E15" s="5" t="s">
        <v>14</v>
      </c>
      <c r="F15" s="6">
        <v>44480</v>
      </c>
      <c r="G15" s="4"/>
      <c r="H15" s="7"/>
      <c r="I15" s="11" t="e">
        <v>#N/A</v>
      </c>
      <c r="J15" s="12" t="s">
        <v>32</v>
      </c>
    </row>
    <row r="16" spans="3:10">
      <c r="C16" s="4">
        <f t="shared" si="0"/>
        <v>8</v>
      </c>
      <c r="D16" s="5" t="s">
        <v>33</v>
      </c>
      <c r="E16" s="5" t="s">
        <v>17</v>
      </c>
      <c r="F16" s="6">
        <v>44470</v>
      </c>
      <c r="G16" s="4"/>
      <c r="H16" s="7"/>
      <c r="I16" s="11">
        <v>37</v>
      </c>
      <c r="J16" s="12" t="s">
        <v>34</v>
      </c>
    </row>
    <row r="17" spans="3:10">
      <c r="C17" s="4">
        <f t="shared" si="0"/>
        <v>9</v>
      </c>
      <c r="D17" s="5" t="s">
        <v>35</v>
      </c>
      <c r="E17" s="5" t="s">
        <v>23</v>
      </c>
      <c r="F17" s="6">
        <v>44459</v>
      </c>
      <c r="G17" s="4"/>
      <c r="H17" s="7"/>
      <c r="I17" s="11">
        <v>18</v>
      </c>
      <c r="J17" s="12" t="s">
        <v>36</v>
      </c>
    </row>
    <row r="18" spans="3:10">
      <c r="C18" s="4">
        <f t="shared" si="0"/>
        <v>10</v>
      </c>
      <c r="D18" s="5" t="s">
        <v>37</v>
      </c>
      <c r="E18" s="5" t="s">
        <v>20</v>
      </c>
      <c r="F18" s="6">
        <v>44464</v>
      </c>
      <c r="G18" s="4"/>
      <c r="H18" s="7"/>
      <c r="I18" s="11">
        <v>16</v>
      </c>
      <c r="J18" s="12" t="s">
        <v>38</v>
      </c>
    </row>
  </sheetData>
  <mergeCells count="1">
    <mergeCell ref="C7:H7"/>
  </mergeCells>
  <conditionalFormatting sqref="G9:G18">
    <cfRule type="cellIs" dxfId="0" priority="2" operator="equal">
      <formula>$I9</formula>
    </cfRule>
  </conditionalFormatting>
  <conditionalFormatting sqref="H9:H18">
    <cfRule type="cellIs" dxfId="0" priority="1" operator="equal">
      <formula>$J9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Intro</vt:lpstr>
      <vt:lpstr>Data</vt:lpstr>
      <vt:lpstr>Solved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My-PC</dc:creator>
  <cp:lastModifiedBy>saswa</cp:lastModifiedBy>
  <dcterms:created xsi:type="dcterms:W3CDTF">2021-10-19T11:46:00Z</dcterms:created>
  <dcterms:modified xsi:type="dcterms:W3CDTF">2024-10-03T15:39:17Z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8FDFB28F15534BAEB8EC3810033CEE80_13</vt:lpwstr>
  </property>
  <property fmtid="{D5CDD505-2E9C-101B-9397-08002B2CF9AE}" pid="3" name="KSOProductBuildVer">
    <vt:lpwstr>1033-12.2.0.13472</vt:lpwstr>
  </property>
</Properties>
</file>