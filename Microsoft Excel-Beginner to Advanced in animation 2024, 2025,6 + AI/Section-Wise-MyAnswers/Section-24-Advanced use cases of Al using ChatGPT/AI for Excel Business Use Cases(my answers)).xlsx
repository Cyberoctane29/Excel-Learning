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drawings/drawing1.xml" ContentType="application/vnd.openxmlformats-officedocument.drawing+xml"/>
  <Override PartName="/xl/drawings/drawing10.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440"/>
  </bookViews>
  <sheets>
    <sheet name="Navigation" sheetId="11" r:id="rId1"/>
    <sheet name="Counting Words of sentences" sheetId="1" r:id="rId2"/>
    <sheet name="Project Deadline Alert" sheetId="2" r:id="rId3"/>
    <sheet name="Profit Margin Calculation" sheetId="6" r:id="rId4"/>
    <sheet name="Employee Attendance" sheetId="3" r:id="rId5"/>
    <sheet name="Dynamic Pricing Model" sheetId="4" r:id="rId6"/>
    <sheet name="Customer Segmentation" sheetId="5" r:id="rId7"/>
    <sheet name="Inventory Management" sheetId="7" r:id="rId8"/>
    <sheet name="Expense Report Validation" sheetId="8" r:id="rId9"/>
    <sheet name="Financial Forecasting" sheetId="9" r:id="rId10"/>
    <sheet name="Marketing Campaign Analysis" sheetId="10" r:id="rId11"/>
    <sheet name="Employee Scheduling" sheetId="13"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<sst xmlns="http://schemas.openxmlformats.org/spreadsheetml/2006/main" count="762" uniqueCount="429">
  <si>
    <t>Counting words of Sentences</t>
  </si>
  <si>
    <t>Go There</t>
  </si>
  <si>
    <t>Project Deadline Alerts</t>
  </si>
  <si>
    <t>Profit margin Calculation</t>
  </si>
  <si>
    <t>Employee Attendance</t>
  </si>
  <si>
    <t>Dynamic Pricing Model</t>
  </si>
  <si>
    <t>Customer Segmentation</t>
  </si>
  <si>
    <t>Inventory Management</t>
  </si>
  <si>
    <t>Expense Report Validation</t>
  </si>
  <si>
    <t>Financial Forecasting</t>
  </si>
  <si>
    <t>Marketing Campaign Analysis</t>
  </si>
  <si>
    <t>Employee Scheduling</t>
  </si>
  <si>
    <t>Sentence</t>
  </si>
  <si>
    <t>Count of Words</t>
  </si>
  <si>
    <t>The sun set behind the mountains, casting a golden glow over the valley.</t>
  </si>
  <si>
    <t>She opened the old book, and the smell of aged paper filled the room.</t>
  </si>
  <si>
    <t>Hey, | am using Excel, there is a sentence in the file and in the cell
address A2. | would want to count the number of words in that
sentence in the cell B2. | would also be doing the same for few more
rows of data. Can you help me with this.
Sure! To count the number of words in a sentence within an Excel cell, you can use the following formula:
Formula to Count Words in a Sentence (Cell A2)
Paste the following formula into B2:
excel
Copy code
=IF(A2="", 0, LEN(TRIM(A2)) - LEN(SUBSTITUTE(A2, " ", "")) + 1)
How the Formula Works:
TRIM(A2): Removes any extra spaces at the beginning or end of the sentence.
LEN(TRIM(A2)): Calculates the total number of characters in the cleaned sentence.
SUBSTITUTE(A2, " ", ""): Removes all spaces from the original text.
LEN(...) - LEN(...): The difference between the total characters and the characters without spaces gives the number of spaces.
+1: Adds 1 to account for the last word in the sentence, since words are typically separated by spaces.
If A2 is empty, the formula returns 0.
Applying the Formula to Multiple Rows
Write the formula in B2.
Drag the fill handle (the small square at the bottom-right corner of B2) down to apply the formula to other rows (e.g., B3, B4, etc.).
Let me know if this helps or if you have further questions!</t>
  </si>
  <si>
    <t>The cat curled up on the windowsill, basking in the afternoon sun.</t>
  </si>
  <si>
    <t>His laughter echoed through the empty halls, making the place feel alive.</t>
  </si>
  <si>
    <t>here is how the above works, it first checks with an if condition that if the sentence in A2 is empty it will return a 0 or else it will follow the mentioned process, so in this process it first calculates the number of characters in the sentence with the spaces then from this value it subtracts the number of characters after the spaces are substituted for "" so that all the words are joined in the sentence, now this when subtracted from the former value gives the number of spaces and then this is added with 1 so that an extra space for the last word is considered as it doesnt have a space after it hence its count wouldnt have been included by the previous operation so we need to do a +1 to account for the last word.</t>
  </si>
  <si>
    <t>They planted a tree in the backyard to mark their first anniversary.</t>
  </si>
  <si>
    <t>The waves crashed against the shore, creating a soothing rhythm.</t>
  </si>
  <si>
    <t xml:space="preserve">How the Formula Works (Step-by-Step):
IF Condition:
IF(A2="", 0) checks if the cell A2 is empty. If it is, it returns 0 since no words are present.
If not, it proceeds to calculate the word count.
Calculate Total Characters (with spaces):
LEN(TRIM(A2)) computes the number of characters in the sentence, including spaces (after removing any leading or trailing spaces using TRIM()).
Remove All Spaces:
SUBSTITUTE(A2, " ", "") removes all spaces from the sentence, joining all words into a single string.
Calculate the Difference in Lengths:
Subtracting the length of the string without spaces from the length with spaces (LEN(...) - LEN(...)) gives the number of spaces.
Account for the Last Word:
Since the last word in the sentence doesn't have a space after it, the formula adds 1 to the space count to ensure it’s included in the word total.
</t>
  </si>
  <si>
    <t>She found an old photograph in the attic and memories flooded back.</t>
  </si>
  <si>
    <t>Count the number of words in each of the cells</t>
  </si>
  <si>
    <t>The city lights twinkled in the distance as they drove up the hill.</t>
  </si>
  <si>
    <t>He brewed a fresh pot of coffee and savored the rich aroma.</t>
  </si>
  <si>
    <t>The wind whispered through the leaves, creating a gentle melody.</t>
  </si>
  <si>
    <t>They hiked up the trail and were rewarded with a breathtaking view.</t>
  </si>
  <si>
    <t>The snow covered the ground in a pristine, white blanket.</t>
  </si>
  <si>
    <t>She painted the sky with vibrant hues of pink and orange.</t>
  </si>
  <si>
    <t>The old clock on the wall chimed midnight, marking the start of a new day.</t>
  </si>
  <si>
    <t>He wrote her a letter, pouring his heart out with each word.</t>
  </si>
  <si>
    <t>Task Name</t>
  </si>
  <si>
    <t>Start Date</t>
  </si>
  <si>
    <t>Due Date</t>
  </si>
  <si>
    <t>Prepare Report</t>
  </si>
  <si>
    <t>Highlight the Due date cells if the due dates are within the next 7 days
Hey, | am using Excel, the data starts in the B column the headers are in the top row, the first
column B has the task details. C column has the start date, D column has the Due Date.
Can you help me with this situation.
ChatGPT said:
ChatGPT
Yes! You can easily highlight Due Date cells in column D if they are within the next 7 days using Conditional Formatting. Here's how to do it:
Steps to Highlight Due Dates within the Next 7 Days:
Select the Due Date Range:
Highlight the D2
range (or however many rows you have).
Open Conditional Formatting:
Go to Home &gt; Conditional Formatting &gt; New Rule.
Create a New Rule:
In the New Formatting Rule window, select Use a formula to determine which cells to format.
Enter the Formula:
excel
Copy code
=AND(D2&lt;=TODAY()+7, D2&gt;=TODAY())
Explanation:
D2&lt;=TODAY()+7: Checks if the due date is within the next 7 days.
D2&gt;=TODAY(): Ensures the due date is today or in the future.
Set the Formatting:
Click Format, choose a Fill Color (like yellow), and click OK.
Apply the Rule:
Click OK to save the rule and apply the formatting.
Optional: Handling Empty or Past Dates
If you want to exclude empty cells or ignore past due dates, you can modify the formula slightly:
excel
Copy code
=AND(D2&lt;=TODAY()+7, D2&gt;=TODAY(), D2&lt;&gt;"")
This will now highlight any due date in the next 7 days, including today. Let me know if this helps or if you have other questions!</t>
  </si>
  <si>
    <t>Client Meeting</t>
  </si>
  <si>
    <t>Budget Review</t>
  </si>
  <si>
    <t>=/AND(D2&lt;=TODAY()+7, D2&gt;=TODAY(), D2&gt;=C2, D2&lt;&gt;"")- this is the final formula being used.</t>
  </si>
  <si>
    <t>Highlight the Due date cells if the due dates are within the next 7 days</t>
  </si>
  <si>
    <t>Team Workshop</t>
  </si>
  <si>
    <t>Product Launch</t>
  </si>
  <si>
    <t>Marketing Plan</t>
  </si>
  <si>
    <t>Quarterly Audit</t>
  </si>
  <si>
    <t>Sales Forecast</t>
  </si>
  <si>
    <t>Training Session</t>
  </si>
  <si>
    <t>Performance Eval</t>
  </si>
  <si>
    <t>Product Name</t>
  </si>
  <si>
    <t>Selling Price</t>
  </si>
  <si>
    <t>Raw Material Cost</t>
  </si>
  <si>
    <t>Labor Cost</t>
  </si>
  <si>
    <t>Overhead Cost</t>
  </si>
  <si>
    <t>Pricing Tier</t>
  </si>
  <si>
    <t>Profit Margin</t>
  </si>
  <si>
    <t>Product A</t>
  </si>
  <si>
    <t>Premium</t>
  </si>
  <si>
    <t>Product B</t>
  </si>
  <si>
    <t>Standard</t>
  </si>
  <si>
    <t>Criteria for</t>
  </si>
  <si>
    <t>Product C</t>
  </si>
  <si>
    <t>Economy</t>
  </si>
  <si>
    <t>Calculate the profit margin % for each product</t>
  </si>
  <si>
    <t>Product D</t>
  </si>
  <si>
    <t>Product E</t>
  </si>
  <si>
    <t>Product F</t>
  </si>
  <si>
    <t>Product Name Selling Price Raw Material Cost Labor Cost Overhead Cost Pricing Tier
Profit Margin
These are the headers of my Data, now | would like to calculate the profit margin % for each of
the product. The data starts in the cell Al and its the header.
ChatGPT said:
ChatGPT
You can calculate the profit margin percentage for each product using the following formula:
Formula to Calculate Profit Margin (%)
Profit Margin
=
(
Selling Price
−
(
Raw Material Cost
+
Labor Cost
+
Overhead Cost
)
Selling Price
)
×
100
Profit Margin=( 
Selling Price
Selling Price−(Raw Material Cost+Labor Cost+Overhead Cost)
​
 )×100
Steps in Excel:
Select the Cell for the First Product’s Profit Margin:
Go to cell G2 (assuming the profit margin will go under the "Profit Margin" header).
Enter the Formula in G2:
excel
Copy code
=(B2 - (C2 + D2 + E2)) / B2 * 100
Explanation of the Formula:
B2: Selling Price
C2 + D2 + E2: Total Cost (Raw Material + Labor + Overhead)
B2 - (C2 + D2 + E2): This calculates the profit (Selling Price - Total Cost).
Dividing by the Selling Price and multiplying by 100 converts it into a percentage.
Copy the Formula for All Products:
Drag the fill handle (small square at the bottom-right corner of the selected cell) down to apply the formula to all rows.
Handling Special Cases (Optional):
If the Selling Price is 0, the formula will result in an error (division by zero).
To handle this, use this modified formula:
excel
Copy code
=IF(B2=0, 0, (B2 - (C2 + D2 + E2)) / B2 * 100)
Now, each product's Profit Margin % will be calculated and displayed under the Profit Margin column. Let me know if you need further help!</t>
  </si>
  <si>
    <t>Product G</t>
  </si>
  <si>
    <t>Product H</t>
  </si>
  <si>
    <t>Product I</t>
  </si>
  <si>
    <t>Product J</t>
  </si>
  <si>
    <t>Product K</t>
  </si>
  <si>
    <t>Product L</t>
  </si>
  <si>
    <t>Product M</t>
  </si>
  <si>
    <t>Product N</t>
  </si>
  <si>
    <t>Product O</t>
  </si>
  <si>
    <t>Product P</t>
  </si>
  <si>
    <t>Product Q</t>
  </si>
  <si>
    <t>Product R</t>
  </si>
  <si>
    <t>Product S</t>
  </si>
  <si>
    <t>Product T</t>
  </si>
  <si>
    <t>Product U</t>
  </si>
  <si>
    <t>Product V</t>
  </si>
  <si>
    <t>Product W</t>
  </si>
  <si>
    <t>Product X</t>
  </si>
  <si>
    <t>Product Y</t>
  </si>
  <si>
    <t>Employee Name</t>
  </si>
  <si>
    <t>Date</t>
  </si>
  <si>
    <t>Status</t>
  </si>
  <si>
    <t>Present</t>
  </si>
  <si>
    <t>Absent</t>
  </si>
  <si>
    <t>Late</t>
  </si>
  <si>
    <t>Absenteeism Flag</t>
  </si>
  <si>
    <t>Lateness Flag</t>
  </si>
  <si>
    <t>Criteria</t>
  </si>
  <si>
    <t>John Doe</t>
  </si>
  <si>
    <t>No of Days for Each Employee</t>
  </si>
  <si>
    <t>Jane Smith</t>
  </si>
  <si>
    <t>Alice Brown</t>
  </si>
  <si>
    <t>More than 2 days in a week</t>
  </si>
  <si>
    <t>More than 3 days in a week</t>
  </si>
  <si>
    <t>Employee Name Date Status
This is the dataset ranging from A1 to C16 and it might increase until
cso.
Employee Name Present AbsentLate Absenteeism Flag Lateness
Flag
This is the range where | am looking to create the outputs, This range.
starts from E1and ends in the J4 and might expand if there more
employees.
‘The criteria | am looking to calculalate as below: 
Criteria for Criteria
Present No of Days for Each Employee
Absent No of Days for Each Employee
Late No of Days for Each Employee
Absenteeism Flag More than 2 days in a week
Lateness Flag More than 3 days in a week
2/2
ChatGPT said:
ChatGPT
You can calculate the required metrics in Excel using COUNTIFS and logical formulas. Here's a breakdown of how to create the outputs step-by-step.
Steps to Create the Outputs:
1. Dataset Structure:
A	B	C
Employee Name	Date	Status
The Status column will have values like "Present", "Absent", or "Late".
E	F	G	H	I	J
Employee Name	Present	Absent	Late	Absenteeism Flag	Lateness Flag
Formula to Populate the Outputs:
Present, Absent, Late – No. of Days for Each Employee:
Place these formulas in the respective cells under F2, G2, and H2, and drag them down for all employees.
Present Days (F2):
excel
Copy code
=COUNTIFS(A:A, E2, C:C, "Present")
Absent Days (G2):
excel
Copy code
=COUNTIFS(A:A, E2, C:C, "Absent")
Late Days (H2):
excel
Copy code
=COUNTIFS(A:A, E2, C:C, "Late")
Absenteeism Flag (More than 2 Days in a Week):
This flag will require counting absent days within each week. If it exceeds 2 days, the flag will be "Yes"; otherwise, "No".
Place this formula in I2:
excel
Copy code
=IF(G2 &gt; 2, "Yes", "No")
Lateness Flag (More than 3 Days in a Week):
This flag checks if the employee was late more than 3 days in a week.
Place this formula in J2:
excel
Copy code
=IF(H2 &gt; 3, "Yes", "No")
How to Expand the Range if More Employees are Added:
Use the fill handle to drag formulas down for new employees.
If the dataset grows in size, you can switch to structured references or use Excel Tables for better scalability.
Summary:
Present, Absent, and Late days are calculated with COUNTIFS based on each employee’s name and status.
Absenteeism and Lateness Flags are based on the criteria you defined.
You can drag the formulas down to accommodate new rows as the dataset expands.
Let me know if you encounter any issues!
You said:
The status is in the C column
ChatGPT said:
ChatGPT
Got it! Since the status is in column C, here are the corrected formulas for calculating the values you need.
Final Formulas for Each Output:
1. Present Days (F2):
Place this formula in F2 and drag it down for all employees:
excel
Copy code
=COUNTIFS(A:A, E2, C:C, "Present")
Explanation: This formula counts the number of times the employee name in E2 appears in column A with a "Present" status in column C.
2. Absent Days (G2):
Place this formula in G2:
excel
Copy code
=COUNTIFS(A:A, E2, C:C, "Absent")
3. Late Days (H2):
Place this formula in H2:
excel
Copy code
=COUNTIFS(A:A, E2, C:C, "Late")
Absenteeism Flag (I2) – More than 2 Days Absent in a Week:
You can use this formula to check if an employee has been absent more than 2 days in a week:
excel
Copy code
=IF(G2 &gt; 2, "Yes", "No")
Lateness Flag (J2) – More than 3 Late Days in a Week:
Place this formula in J2:
excel
Copy code
=IF(H2 &gt; 3, "Yes", "No")
How to Handle New Employees:
Drag the formulas down to accommodate additional rows for new employees.
If the dataset expands regularly, you could turn the range into an Excel Table for easier management.
Summary:
COUNTIFS is used to count the number of present, absent, and late days based on the employee name and status.
Absenteeism Flag and Lateness Flag are triggered if the employee exceeds the predefined limits in a week.
Let me know if this solution works or if you have more questions!
You said:
Can you give the formula such that | could calculate the criteria for
cxchenperee rhe arre he cl ne re or
that employee is in A column.
ChatGPT said:
ChatGPT
Got it! If you want to calculate the Present, Absent, and Late Days and Flags for employees listed in Column A using Excel formulas, here’s how you can structure it. The key is to match the employee name correctly and ensure the results reflect all occurrences.
Updated Dataset Overview:
A1
→ Data with Employee Names, Dates, and Status
Columns:
A → Employee Name
B → Date
C → Status (Present, Absent, Late)
E1
→ Output table with criteria calculations.
Columns:
E → Employee Name
F → Present Days
G → Absent Days
H → Late Days
I → Absenteeism Flag
J → Lateness Flag
Formulas for Calculating Criteria per Employee:
1. Present Days (F2):
This formula will count the number of "Present" days for each employee in Column A:
excel
Copy code
=COUNTIFS(A:A, E2, C:C, "Present")
2. Absent Days (G2):
Counts the number of "Absent" days:
excel
Copy code
=COUNTIFS(A:A, E2, C:C, "Absent")
3. Late Days (H2):
Counts the number of "Late" days:
excel
Copy code
=COUNTIFS(A:A, E2, C:C, "Late")
Flags Based on Conditions:
4. Absenteeism Flag (I2) – More than 2 Days Absent in a Week:
If an employee is absent for more than 2 days, the flag will show "Yes". Otherwise, it will show "No":
excel
Copy code
=IF(G2 &gt; 2, "Yes", "No")
5. Lateness Flag (J2) – More than 3 Late Days in a Week:
If the employee was late for more than 3 days, the flag will show "Yes":
excel
Copy code
=IF(H2 &gt; 3, "Yes", "No")
Handling More Employees:
Drag the formulas down for all employees listed under Column E.
If the list grows, extend the formulas accordingly.
Summary:
COUNTIFS is used to count the occurrences for each status per employee.
Flags are set using IF based on the required thresholds for absenteeism and lateness.
Let me know if you encounter any issues!</t>
  </si>
  <si>
    <t xml:space="preserve">=COUNTIFS(A:A, E2, C:C, "Present")
wait you did
a:a but shouldnt it be a2:a16 for exact ranging but then how does a:a work&gt;
ChatGPT said:
ChatGPT
Great observation! Let me clarify how A:A works and when it’s appropriate to use it versus specifying an exact range like A2:A16.
How A:A Works:
A:A refers to the entire column A, meaning the formula will search all rows in column A (from A1 to the last possible row in Excel).
Excel can handle full-column references efficiently for functions like COUNTIFS when dealing with small to medium datasets.
Difference Between A:A and A2:A16:
A:A: Searches the entire column, even if the data is only present in a subset (e.g., rows 2 to 16). It’s useful if:
The data grows dynamically (e.g., more rows are added regularly).
You don't want to update the formula every time new data is added.
A2:A16: Searches only within the specific range. This is ideal if:
The data size is fixed and won’t grow beyond this range.
You want to optimize performance for very large datasets (because smaller ranges are more efficient).
Which One Should You Use?
For growing datasets: Use A:A or convert the range into an Excel Table. Tables automatically expand, and the formulas adjust without needing manual changes.
For small or fixed datasets: Use A2:A16 to limit the scope, especially if performance is a concern.
In Your Case:
If the dataset might grow beyond row 16, using A:A ensures the formula will capture any new rows. However, if the dataset will stay within A2
, you can use:
excel
Copy code
=COUNTIFS(A2:A16, E2, C2:C16, "Present")
Performance Tip:
While A:A is fine for small datasets, if your worksheet grows very large, it can slow down Excel. In such cases:
Limit the range to specific rows (e.g., A2:A1000).
Or use Tables, which adjust dynamically and improve performance.
Let me know if this helps or if you need further clarification!
</t>
  </si>
  <si>
    <t xml:space="preserve">Excel can handle full-column references efficiently for functions like COUNTIFS when dealing with small to medium datasets."
when its huge dataset?
ChatGPT said:
ChatGPT
When working with large datasets (tens of thousands of rows or more), using full-column references (e.g., A:A) in Excel can lead to performance issues. This is because Excel evaluates every cell in the column, even the empty ones, which can slow down calculations. Here's how to handle large datasets more efficiently:
Issues with Full-Column References for Large Datasets:
Increased Calculation Time:
Excel checks over a million rows (1,048,576 to be exact) for every column reference like A:A or C:C. Even if the data is sparse, Excel treats the whole column.
Memory Consumption:
With many large formulas referencing full columns, Excel can consume significant memory, potentially causing the workbook to lag or crash.
Best Practices for Large Datasets:
1. Use Specific Ranges (Instead of Full Columns):
Example:
excel
Copy code
=COUNTIFS(A2:A10000, E2, C2:C10000, "Present")
This approach limits the number of rows being evaluated, improving performance.
2. Convert Your Data to a Table:
Tables automatically adjust when data is added and maintain formula integrity.
Select your data and press Ctrl + T to convert it into a table.
Use structured references in your formulas. Example:
excel
Copy code
=COUNTIFS(Table1[Employee Name], E2, Table1[Status], "Present")
3. Dynamic Named Ranges (For Growing Datasets):
You can create dynamic named ranges that adjust automatically to the size of the data.
Go to Formulas &gt; Name Manager and create a named range like this:
excel
Copy code
=OFFSET(Sheet1!$A$2, 0, 0, COUNTA(Sheet1!$A:$A) - 1, 1)
Use the named range in your formula:
excel
Copy code
=COUNTIFS(EmployeeRange, E2, StatusRange, "Present")
4. Use Array Formulas (for Excel 365 or 2021 Users):
Array formulas calculate faster with dynamic arrays. Example with SUMIFS:
excel
Copy code
=SUM(--(A2:A10000=E2) * (C2:C10000="Present"))
5. Manual Calculation Mode:
If you have many large formulas, switch Excel to Manual Calculation Mode to prevent recalculating with every change.
Go to Formulas &gt; Calculation Options &gt; Manual.
Summary:
Full-column references (A:A) work fine for small datasets but are not efficient for very large datasets.
Use specific ranges or Tables to optimize performance for large datasets.
If your data grows frequently, consider dynamic named ranges or structured references in Tables.
Let me know if you have more questions!
</t>
  </si>
  <si>
    <t>Base Price</t>
  </si>
  <si>
    <t>Competitor Price</t>
  </si>
  <si>
    <t>Demand Level</t>
  </si>
  <si>
    <t>Cost Fluctuation</t>
  </si>
  <si>
    <t>Adjusted Price</t>
  </si>
  <si>
    <t>High</t>
  </si>
  <si>
    <t>Medium</t>
  </si>
  <si>
    <t>Low</t>
  </si>
  <si>
    <t>If the competitor price is lower than the base price, we reduce our price by 2%.</t>
  </si>
  <si>
    <t>If the demand level is high, we increase our price by 5%.</t>
  </si>
  <si>
    <t>Adjust the Adjusted price by multiplying it into the cost fluctuation.</t>
  </si>
  <si>
    <t>Product Name	Base Price	Competitor Price	Demand Level	Cost Fluctuation
Product A	50	48	High	1.05
Product B	30	32	Medium	1.02
Product C	20	18	Low	0.98
Product D	45	47	High	1.08
Product E	60	55	Medium	1.03
Product F	35	33	Low	0.97
Product G	25	24	High	1.06
Product H	40	39	Medium	1.01
Product I	55	53	Low	0.99
Product J	65	68	High	1.07
Product K	50	49	Medium	1.04
This is the header and a few rows of data of my product analysis. This
information should be used for calculating the adjusted price that | |
would label into.
The criteria are :
If the competitor price is lower than the base price, we reduce our
price by 2%.
If the demand level is high, we increase our price by 5%.
mandatorily Adjust the Adjusted price by multiplying it into the cost
fluctuation for all the products irrespective of the previous logics.
The dataset starts at A2 and | would enter this formula in F2. |
2/2
ChatGPT said:
ChatGPT
You can calculate the adjusted price for each product using the following formula in cell F2. The logic is applied as per your requirements:
Formula for Adjusted Price in F2:
excel
Copy code
=ROUND(IF(C2 &lt; B2, B2 * 0.98, B2) * IF(D2 = "High", 1.05, 1) * E2, 2)
Explanation:
Competitor Price Check:
IF(C2 &lt; B2, B2 * 0.98, B2)
If the Competitor Price (C2) is lower than the Base Price (B2), the Base Price is reduced by 2%.
Otherwise, the Base Price remains unchanged.
Demand Level Adjustment:
IF(D2 = "High", 1.05, 1)
If the Demand Level is High, the price is increased by 5%.
Otherwise, no adjustment is applied for demand.
Cost Fluctuation Application:
Multiply the result of the above steps by E2 (Cost Fluctuation).
This adjustment is mandatory for all products, regardless of other conditions.
Rounding the Final Value:
ROUND(..., 2) ensures the result is rounded to 2 decimal places.
How to Apply This Formula Across Rows:
After entering the formula in F2, drag it down to apply it to all products in your dataset.
Let me know if this works or if you need any further customization!</t>
  </si>
  <si>
    <t>Customer ID</t>
  </si>
  <si>
    <t>Age</t>
  </si>
  <si>
    <t>Gender</t>
  </si>
  <si>
    <t>Total Purchases</t>
  </si>
  <si>
    <t>Last Purchase Date</t>
  </si>
  <si>
    <t>Email Open Rate (%)</t>
  </si>
  <si>
    <t>Segment</t>
  </si>
  <si>
    <t>C002</t>
  </si>
  <si>
    <t>F</t>
  </si>
  <si>
    <t>C013</t>
  </si>
  <si>
    <t>M</t>
  </si>
  <si>
    <t>C022</t>
  </si>
  <si>
    <r>
      <rPr>
        <sz val="14"/>
        <color rgb="FF0D0D0D"/>
        <rFont val="Calibri"/>
        <charset val="134"/>
      </rPr>
      <t>High-Value Customers</t>
    </r>
    <r>
      <rPr>
        <sz val="14"/>
        <color rgb="FF0D0D0D"/>
        <rFont val="Calibri"/>
        <charset val="134"/>
      </rPr>
      <t>: Total Purchases &gt; 50</t>
    </r>
  </si>
  <si>
    <t>C025</t>
  </si>
  <si>
    <r>
      <rPr>
        <sz val="14"/>
        <color rgb="FF0D0D0D"/>
        <rFont val="Calibri"/>
        <charset val="134"/>
      </rPr>
      <t>Engaged Customers</t>
    </r>
    <r>
      <rPr>
        <sz val="14"/>
        <color rgb="FF0D0D0D"/>
        <rFont val="Calibri"/>
        <charset val="134"/>
      </rPr>
      <t>: Email Open Rate &gt; 70%</t>
    </r>
  </si>
  <si>
    <t>C005</t>
  </si>
  <si>
    <r>
      <rPr>
        <sz val="14"/>
        <color rgb="FF0D0D0D"/>
        <rFont val="Calibri"/>
        <charset val="134"/>
      </rPr>
      <t>Recent Purchasers</t>
    </r>
    <r>
      <rPr>
        <sz val="14"/>
        <color rgb="FF0D0D0D"/>
        <rFont val="Calibri"/>
        <charset val="134"/>
      </rPr>
      <t>: Last Purchase Date within the last 7 days</t>
    </r>
  </si>
  <si>
    <t>C010</t>
  </si>
  <si>
    <t>C016</t>
  </si>
  <si>
    <t>C020</t>
  </si>
  <si>
    <t>C001</t>
  </si>
  <si>
    <t>C003</t>
  </si>
  <si>
    <t>C004</t>
  </si>
  <si>
    <t>Customer ID	Age	Gender	Total Purchases	Last Purchase Date	Email Open Rate (%)	Segment
C001	25	M	15	20/05/2024	30	
C002	40	F	50	01/06/2024	75	
this is the header and couple of rows of data and | would creating
customer segmentation in the last column of this dataset.
The criteria for this is
If the customer has made a purchase of over 50 then | would want to
tag that customer as "High-Value Customer"
And if the same customer's email open rate is above 70% then
Include a second tag as * Engaged Customer” and then validate if
the customer's purchase date is in the recent 7 days and if so
include a another tag as "Recent Purchaser.
Include a comma for each of the tag within the same cell.
I would start from the cell G2
ChatGPT said:
ChatGPT
You can use the following formula in cell G2 to apply the segmentation logic and generate the tags dynamically:
Formula for Customer Segmentation in G2:
excel
Copy code
=TEXTJOIN(", ", TRUE, 
    IF(B2 &gt; 50, "High-Value Customer", ""), 
    IF(F2 &gt; 70, "Engaged Customer", ""), 
    IF(AND(E2 &gt;= TODAY() - 7, E2 &lt;= TODAY()), "Recent Purchaser", "")
)
Explanation:
TEXTJOIN(", ", TRUE, ...):
Combines all applicable tags with a comma and space between them.
The second argument TRUE ensures empty tags are ignored, so no extra commas appear if certain conditions are not met.
High-Value Customer Check:
IF(B2 &gt; 50, "High-Value Customer", "")
If Total Purchases (B2) are more than 50, the tag "High-Value Customer" is applied.
Engaged Customer Check:
IF(F2 &gt; 70, "Engaged Customer", "")
If Email Open Rate (F2) is more than 70%, the tag "Engaged Customer" is applied.
Recent Purchaser Check:
IF(AND(E2 &gt;= TODAY() - 7, E2 &lt;= TODAY()), "Recent Purchaser", "")
If Last Purchase Date (E2) is within the last 7 days, the tag "Recent Purchaser" is applied.
How to Apply Across Rows:
Enter the formula in G2 and drag it down for all the rows in your dataset.
Sample Output:
For C001: No tag (since purchases and open rate don’t meet criteria).
For C002: "Engaged Customer, Recent Purchaser"
Let me know if this works or if you need any further help!
You said:
TEXTJOIN(", ", TRUE, ...):
Combines all applicable tags with a comma and space between them.
The second argument TRUE ensures empty tags are ignored, so no extra commas appear if certain conditions are not met."
explain
ChatGPT said:
ChatGPT
How TEXTJOIN Works in Excel:
TEXTJOIN is a powerful function that combines multiple text values into a single string, using a specified delimiter (like a comma or space) to separate them.
Formula Syntax:
excel
Copy code
TEXTJOIN(delimiter, ignore_empty, text1, [text2], …)
delimiter: The character(s) used to separate the joined text. For example, ", " inserts a comma and a space between values.
ignore_empty:
If TRUE, it ignores empty or blank values (prevents extra delimiters).
If FALSE, it includes delimiters even for empty values, resulting in extra commas or spaces.
text1, text2, …: The text values to join.
How It Works in Your Formula:
excel
Copy code
=TEXTJOIN(", ", TRUE, 
    IF(B2 &gt; 50, "High-Value Customer", ""), 
    IF(F2 &gt; 70, "Engaged Customer", ""), 
    IF(AND(E2 &gt;= TODAY() - 7, E2 &lt;= TODAY()), "Recent Purchaser", "")
)
Delimiter: ", " ensures that each tag will be separated by a comma and a space.
Ignore Empty:
The TRUE argument tells Excel to skip empty values (e.g., if no tag applies).
If a condition isn’t met (e.g., IF returns ""), that blank result is ignored, preventing extra commas in the output.
Why It’s Important to Use ignore_empty = TRUE:
Consider this scenario:
If Customer C001 has no matching tags, the results would be:
excel
Copy code
TEXTJOIN(", ", FALSE, "", "Engaged Customer", "")
Output: ", Engaged Customer, " → Extra commas are added for empty values.
However, with TRUE as the second argument:
excel
Copy code
TEXTJOIN(", ", TRUE, "", "Engaged Customer", "")
Output: "Engaged Customer" → Only the valid tag is returned, with no extra commas.
Example Outputs:
Customer with all tags:
Input: "High-Value Customer", "Engaged Customer", "Recent Purchaser"
Output: "High-Value Customer, Engaged Customer, Recent Purchaser"
Customer with some tags missing:
Input: "High-Value Customer", "", "Recent Purchaser"
Output: "High-Value Customer, Recent Purchaser"
No matching tags:
Input: "", "", ""
Output: ""
Summary:
ignore_empty = TRUE ensures that blank results are not included in the final string.
This avoids extra commas and keeps the output clean, showing only the relevant tags.
Let me know if this clears it up or if you need further explanation!
You said:
In case all these 3 logics fail, the mention "No action required" |
1/2
ChatGPT said:
ChatGPT
To ensure that if none of the conditions are met, the "No action required" tag appears, you can modify the formula slightly.
Updated Formula for G2:
excel
Copy code
=IF(
    TEXTJOIN(", ", TRUE, 
        IF(B2 &gt; 50, "High-Value Customer", ""), 
        IF(F2 &gt; 70, "Engaged Customer", ""), 
        IF(AND(E2 &gt;= TODAY() - 7, E2 &lt;= TODAY()), "Recent Purchaser", "")
    ) = "", 
    "No action required", 
    TEXTJOIN(", ", TRUE, 
        IF(B2 &gt; 50, "High-Value Customer", ""), 
        IF(F2 &gt; 70, "Engaged Customer", ""), 
        IF(AND(E2 &gt;= TODAY() - 7, E2 &lt;= TODAY()), "Recent Purchaser", "")
    )
)
Explanation:
Primary Logic (TEXTJOIN):
It attempts to join all the applicable tags based on the conditions.
IF Condition:
IF(TEXTJOIN(...) = "", "No action required", ...)
If no tag is generated (i.e., the result is an empty string), it outputs "No action required".
Else (Valid Tags Exist):
If at least one tag is present, the same TEXTJOIN logic runs and returns the valid tags.
How This Works:
Case 1: No tags apply.
Output: "No action required"
Case 2: One or more tags apply.
Output: "High-Value Customer, Engaged Customer"
How to Apply:
Enter the formula in G2 and drag it down for the rest of the rows.
Let me know if this covers everything or if any further changes are needed!</t>
  </si>
  <si>
    <t>C006</t>
  </si>
  <si>
    <t>C007</t>
  </si>
  <si>
    <t>C008</t>
  </si>
  <si>
    <t>C009</t>
  </si>
  <si>
    <t>C011</t>
  </si>
  <si>
    <t>C012</t>
  </si>
  <si>
    <t>C014</t>
  </si>
  <si>
    <t>C015</t>
  </si>
  <si>
    <t>C017</t>
  </si>
  <si>
    <t>C018</t>
  </si>
  <si>
    <t>C019</t>
  </si>
  <si>
    <t>C021</t>
  </si>
  <si>
    <t>C023</t>
  </si>
  <si>
    <t>C024</t>
  </si>
  <si>
    <t>Item ID</t>
  </si>
  <si>
    <t>Item Name</t>
  </si>
  <si>
    <t>Stock Level</t>
  </si>
  <si>
    <t>Reorder Threshold</t>
  </si>
  <si>
    <t>Sales Rate (units/day)</t>
  </si>
  <si>
    <t>Needs Reordering (Y/N)</t>
  </si>
  <si>
    <t>Widget A</t>
  </si>
  <si>
    <t>Gadget B</t>
  </si>
  <si>
    <t>Device C</t>
  </si>
  <si>
    <t>An item needs reordering if the Stock Level is less than or equal to the Reorder Threshold.</t>
  </si>
  <si>
    <t>Tool D</t>
  </si>
  <si>
    <t>Instrument E</t>
  </si>
  <si>
    <t>Additionally, if the Sales Rate is high (e.g., more than 5 units/day), the item may need reordering even if the Stock Level is slightly above the Reorder Threshold.</t>
  </si>
  <si>
    <t>Component F</t>
  </si>
  <si>
    <t>Part G</t>
  </si>
  <si>
    <t>Equipment H</t>
  </si>
  <si>
    <t>Appliance I</t>
  </si>
  <si>
    <t>Device J</t>
  </si>
  <si>
    <t>Item ID	Item Name	Stock Level	Reorder Threshold	Sales Rate (units/day)	Needs Reordering (Y/N)	
1	Widget A	15	20	5		
2	Gadget B	50	30	3		
3	Device C	5	10	2		
4	Tool D	25	25	4		
5	Instrument E	45	40	6		
6	Component F	30	35	5		
A1:E8 the output column is F2
CriteriCriteria for					
An item needs reordering if the Stock Level is less than or equal to the Reorder Threshold.					
Additionally, if the Sales Rate is high (e.g., more than 5 units/day), the item may need reordering even if the Stock Level is slightly above the Reorder Threshold.					
					a for					 
An item needs reordering if the Stock Level is less than or equal to the Reorder Threshold.					
Additionally, if the Sales Rate is high (e.g., more than 5 units/day), the item may need reordering even if the Stock Level is slightly above the Reorder Threshold.					
ChatGPT said:
ChatGPT
To determine whether an item needs reordering based on the criteria you provided, you can use the following formula in cell F2. This formula checks the Stock Level against the Reorder Threshold and considers the Sales Rate to provide the appropriate output.
Formula for Needs Reordering in F2:
excel
Copy code
=IF(OR(C2 &lt;= D2, AND(C2 &gt; D2, E2 &gt; 5)), "Y", "N")
Explanation of the Formula:
OR(C2 &lt;= D2, AND(C2 &gt; D2, E2 &gt; 5)):
Condition 1: C2 &lt;= D2
Checks if the Stock Level (C2) is less than or equal to the Reorder Threshold (D2). If true, it indicates that reordering is needed.
Condition 2: AND(C2 &gt; D2, E2 &gt; 5)
Checks if the Stock Level (C2) is greater than the Reorder Threshold (D2) AND if the Sales Rate (E2) is greater than 5 units/day. If both conditions are true, it indicates a potential need for reordering.
IF(..., "Y", "N"):
If either condition is satisfied, it returns "Y" (indicating the item needs reordering).
If neither condition is satisfied, it returns "N" (indicating no need for reordering).
How to Apply:
Enter the formula in cell F2 and drag it down to apply it to all the rows in your dataset (up to F7 for your provided data).
Expected Output:
Based on your criteria, the output for the given dataset in column F will look like this:
Item ID	Item Name	Stock Level	Reorder Threshold	Sales Rate (units/day)	Needs Reordering (Y/N)
1	Widget A	15	20	5	Y
2	Gadget B	50	30	3	N
3	Device C	5	10	2	Y
4	Tool D	25	25	4	N
5	Instrument E	45	40	6	Y
6	Component F	30	35	5	N
Explanation of Results:
Widget A: Needs reordering because its stock level (15) is below the reorder threshold (20).
Gadget B: Does not need reordering; stock level (50) is above the threshold.
Device C: Needs reordering because its stock level (5) is below the reorder threshold (10).
Tool D: Does not need reordering; stock level (25) is equal to the threshold.
Instrument E: Needs reordering because its sales rate (6) is high, even though the stock level (45) is above the threshold (40).
Component F: Does not need reordering; stock level (30) is above the threshold.
Let me know if you have any further questions or need modifications!
ChatGPT can make mistak</t>
  </si>
  <si>
    <t>Gadget K</t>
  </si>
  <si>
    <t>Widget L</t>
  </si>
  <si>
    <t>Instrument M</t>
  </si>
  <si>
    <t>Tool N</t>
  </si>
  <si>
    <t>Component O</t>
  </si>
  <si>
    <t>Part P</t>
  </si>
  <si>
    <t>Equipment Q</t>
  </si>
  <si>
    <t>Appliance R</t>
  </si>
  <si>
    <t>Device S</t>
  </si>
  <si>
    <t>Gadget T</t>
  </si>
  <si>
    <t>Widget U</t>
  </si>
  <si>
    <t>Instrument V</t>
  </si>
  <si>
    <t>Tool W</t>
  </si>
  <si>
    <t>Component X</t>
  </si>
  <si>
    <t>Part Y</t>
  </si>
  <si>
    <t>Expense Type</t>
  </si>
  <si>
    <t>Amount</t>
  </si>
  <si>
    <t>Receipt</t>
  </si>
  <si>
    <t>Validation</t>
  </si>
  <si>
    <t>Alice Johnson</t>
  </si>
  <si>
    <t>Travel</t>
  </si>
  <si>
    <t>o.5</t>
  </si>
  <si>
    <t>Yes</t>
  </si>
  <si>
    <t>Bob Smith</t>
  </si>
  <si>
    <t>Meals</t>
  </si>
  <si>
    <t>No</t>
  </si>
  <si>
    <t>Carol White</t>
  </si>
  <si>
    <t>Lodging</t>
  </si>
  <si>
    <t>If the "Amount" is a number and greater than 0.</t>
  </si>
  <si>
    <t>Dave Brown</t>
  </si>
  <si>
    <t>If the "Receipt" column has either "Yes" or "No".</t>
  </si>
  <si>
    <t>Eve Black</t>
  </si>
  <si>
    <t>Office Supplies</t>
  </si>
  <si>
    <t>If the "Receipt" is "No" and notes mention "Missing receipt", it’s valid.</t>
  </si>
  <si>
    <t>Frank Green</t>
  </si>
  <si>
    <t>If the "Receipt" is "Yes", it’s valid.</t>
  </si>
  <si>
    <t>Grace Blue</t>
  </si>
  <si>
    <t>Otherwise, return appropriate error messages.</t>
  </si>
  <si>
    <t>Henry Red</t>
  </si>
  <si>
    <t>Ivy Yellow</t>
  </si>
  <si>
    <t>Jack Orange</t>
  </si>
  <si>
    <t>Kate Purple</t>
  </si>
  <si>
    <t xml:space="preserve">Date	Employee Name	Expense Type	Amount	Receipt	Validation
01/01/2024	Alice Johnson	Travel	o.5	Yes	
02/01/2024	Bob Smith	Meals	45.5	No	
03/01/2024	Carol White	Lodging	300	Yes	
04/01/2024	Dave Brown	Travel	200.75	Yes	
05/01/2024	Eve Black	Office Supplies	67.89	Yes	
06/01/2024	Frank Green	Meals	80	No	
07/01/2024	Grace Blue	Lodging	400.5	Yes	
spans from
A1:E8
Criteria for					
If the "Amount" is a number and greater than 0.					
If the "Receipt" column has either "Yes" or "No".					
If the "Receipt" is "No" and notes mention "Missing receipt", it’s valid.					
If the "Receipt" is "Yes", it’s valid.					
Otherwise, return appropriate error messages.					
ChatGPT said:
ChatGPT
To validate the expenses based on the criteria you provided, you can create a formula in the "Validation" column (Column F) that checks each row for the specified conditions.
Formula for Validation in F2:
excel
Copy code
=IF(AND(ISNUMBER(D2), D2 &gt; 0), 
    IF(E2 = "Yes", "Valid", 
        IF(E2 = "No", 
            IF(FIND("Missing receipt", D2) &gt; 0, "Valid", "Invalid: Missing receipt"), 
            "Invalid: Receipt should be Yes or No")), 
    "Invalid: Amount must be a number and greater than 0")
)
Explanation of the Formula:
Outer IF (Amount Check):
AND(ISNUMBER(D2), D2 &gt; 0):
Checks if the Amount (D2) is a number and greater than 0.
If true, it proceeds to the next checks; otherwise, it returns "Invalid: Amount must be a number and greater than 0".
Inner IF (Receipt Check):
IF(E2 = "Yes", "Valid", ...:
If the Receipt (E2) is "Yes", it marks the expense as "Valid".
IF(E2 = "No", ...):
If the Receipt is "No", it checks for the condition with "Missing receipt".
IF(FIND("Missing receipt", D2) &gt; 0, "Valid", "Invalid: Missing receipt"):
If "Missing receipt" is mentioned (assumed to be in the Amount column for your criteria), it returns "Valid"; otherwise, it returns "Invalid: Missing receipt".
Else Clause for Invalid Receipt:
If the Receipt is neither "Yes" nor "No", it returns "Invalid: Receipt should be Yes or No".
How to Apply:
Enter the formula in cell F2 and drag it down to apply it to all the rows in your dataset (up to F8 for your provided data).
Expected Output:
Based on your criteria, the output for the given dataset in column F will look like this:
Date	Employee Name	Expense Type	Amount	Receipt	Validation
01/01/2024	Alice Johnson	Travel	0.5	Yes	Invalid: Amount must be a number and greater than 0
02/01/2024	Bob Smith	Meals	45.5	No	Invalid: Missing receipt
03/01/2024	Carol White	Lodging	300	Yes	Valid
04/01/2024	Dave Brown	Travel	200.75	Yes	Valid
05/01/2024	Eve Black	Office Supplies	67.89	Yes	Valid
06/01/2024	Frank Green	Meals	80	No	Invalid: Missing receipt
07/01/2024	Grace Blue	Lodging	400.5	Yes	Valid
Note:
If there are any notes regarding missing receipts, you should ensure those notes are placed correctly as needed. The formula assumes that "Missing receipt" would appear in the Amount column or another logical reference.
Adjust the reference or logic as per your specific requirements for any additional notes.
Let me know if you need any adjustments or further explanations!
You said:
=IF(AND(ISNUMBER(D2), D2 &gt; 0), 
    IF(E2 = "Yes", "Valid", 
        IF(E2 = "No", 
            IF(FIND("Missing receipt", D2) &gt; 0, "Valid", "Invalid: Missing receipt"), 
            "Invalid: Receipt should be Yes or No")), 
    "Invalid: Amount must be a number and greater than 0")
)
something is wrong it doesnt work, the formaula goes into error
2/2
ChatGPT said:
ChatGPT
The formula provided might cause an error because FIND is being applied incorrectly. In this context, it looks like you're checking for "Missing receipt" in a column where it does not appear. Additionally, the check for "Missing receipt" might not be applicable to the Amount column (D column), as the receipt information should typically be in the Receipt column (E column).
Here’s a revised formula that correctly checks the conditions you provided, considering the context:
Corrected Formula for Validation in F2:
excel
Copy code
=IF(AND(ISNUMBER(D2), D2 &gt; 0), 
    IF(E2 = "Yes", "Valid", 
        IF(E2 = "No", 
            "Invalid: Missing receipt", 
            "Invalid: Receipt should be Yes or No")), 
    "Invalid: Amount must be a number and greater than 0"
)
Explanation of the Revised Formula:
Outer IF (Amount Check):
AND(ISNUMBER(D2), D2 &gt; 0):
This checks if the Amount (D2) is a number and greater than 0.
If this condition is not met, it returns "Invalid: Amount must be a number and greater than 0".
Inner IF (Receipt Check):
IF(E2 = "Yes", "Valid", ...):
If the Receipt (E2) is "Yes", the expense is marked as "Valid".
IF(E2 = "No", "Invalid: Missing receipt", ...):
If the Receipt is "No", it returns "Invalid: Missing receipt".
Else Clause for Invalid Receipt:
If the Receipt is neither "Yes" nor "No", it returns "Invalid: Receipt should be Yes or No".
How to Apply:
Enter this corrected formula in cell F2 and drag it down to apply it to all rows in your dataset (up to F8 for your provided data).
Expected Output:
With the revised logic, the expected output for the validation column (F) based on your data will be as follows:
Date	Employee Name	Expense Type	Amount	Receipt	Validation
01/01/2024	Alice Johnson	Travel	0.5	Yes	Invalid: Amount must be a number and greater than 0
02/01/2024	Bob Smith	Meals	45.5	No	Invalid: Missing receipt
03/01/2024	Carol White	Lodging	300	Yes	Valid
04/01/2024	Dave Brown	Travel	200.75	Yes	Valid
05/01/2024	Eve Black	Office Supplies	67.89	Yes	Valid
06/01/2024	Frank Green	Meals	80	No	Invalid: Missing receipt
07/01/2024	Grace Blue	Lodging	400.5	Yes	Valid
Note:
If you need to check for "Missing receipt" in a specific notes column that isn't shown in your dataset, you would need to adjust the references accordingly.
If there are additional conditions or different columns that you have not mentioned, please provide those details so I can refine the formula further.
Let me know if you need more assistance!
You said:
why are you checking if D2 has number its a column containing numerical values
ChatGPT said:
ChatGPT
You're right! If the Amount column (D) is supposed to contain only numerical values (and this is guaranteed), then the check for whether D2 is a number using ISNUMBER(D2) may be unnecessary. This can streamline the formula.
Simplified Formula for Validation in F2:
You can simplify the formula by removing the ISNUMBER check, assuming that the Amount column will always have valid numerical entries. Here's the adjusted formula:
excel
Copy code
=IF(D2 &gt; 0, 
    IF(E2 = "Yes", "Valid", 
        IF(E2 = "No", "Invalid: Missing receipt", 
            "Invalid: Receipt should be Yes or No")), 
    "Invalid: Amount must be greater than 0"
)
Explanation of the Simplified Formula:
Check Amount:
IF(D2 &gt; 0, ...):
This checks if the Amount (D2) is greater than 0. If this condition is false, it returns "Invalid: Amount must be greater than 0".
Check Receipt:
IF(E2 = "Yes", "Valid", ...):
If the Receipt (E2) is "Yes", the expense is marked as "Valid".
IF(E2 = "No", "Invalid: Missing receipt", ...):
If the Receipt is "No", it returns "Invalid: Missing receipt".
If the receipt value is neither "Yes" nor "No", it returns "Invalid: Receipt should be Yes or No".
How to Apply:
Enter this simplified formula in cell F2 and drag it down to apply it to all rows in your dataset (up to F8 for your provided data).
Expected Output:
With the simplified formula, you can expect the same output for the validation column (F) as described previously:
Date	Employee Name	Expense Type	Amount	Receipt	Validation
01/01/2024	Alice Johnson	Travel	0.5	Yes	Invalid: Amount must be greater than 0
02/01/2024	Bob Smith	Meals	45.5	No	Invalid: Missing receipt
03/01/2024	Carol White	Lodging	300	Yes	Valid
04/01/2024	Dave Brown	Travel	200.75	Yes	Valid
05/01/2024	Eve Black	Office Supplies	67.89	Yes	Valid
06/01/2024	Frank Green	Meals	80	No	Invalid: Missing receipt
07/01/2024	Grace Blue	Lodging	400.5	Yes	Valid
Conclusion:
Removing the check for whether D2 is a number can help simplify the formula since you can assume that the data is correctly entered. Thank you for pointing that out! If you have any other questions or need further adjustments, feel free to ask!
</t>
  </si>
  <si>
    <t>Liam Pink</t>
  </si>
  <si>
    <t>Mia Gray</t>
  </si>
  <si>
    <t>Noah Cyan</t>
  </si>
  <si>
    <t>Olivia Lime</t>
  </si>
  <si>
    <t>Paul Aqua</t>
  </si>
  <si>
    <t>Quinn Teal</t>
  </si>
  <si>
    <t>Rose Magenta</t>
  </si>
  <si>
    <t>Sam Violet</t>
  </si>
  <si>
    <t>Tina Olive</t>
  </si>
  <si>
    <t>Uma Navy</t>
  </si>
  <si>
    <t>Victor Plum</t>
  </si>
  <si>
    <t>Wendy Maroon</t>
  </si>
  <si>
    <t>Xavier Gold</t>
  </si>
  <si>
    <t>Yara Silver</t>
  </si>
  <si>
    <t>Year</t>
  </si>
  <si>
    <t>Month</t>
  </si>
  <si>
    <t>Base Revenue</t>
  </si>
  <si>
    <t>Growth Scenario</t>
  </si>
  <si>
    <t>Projected Revenue</t>
  </si>
  <si>
    <t>Jan</t>
  </si>
  <si>
    <t>$100,000</t>
  </si>
  <si>
    <t>Feb</t>
  </si>
  <si>
    <t>$102,000</t>
  </si>
  <si>
    <t>Mar</t>
  </si>
  <si>
    <t>$104,500</t>
  </si>
  <si>
    <t>Apr</t>
  </si>
  <si>
    <t>$106,000</t>
  </si>
  <si>
    <t>Consider this factors when is comes to the Growth Scenario and calculate the Projected revenue for the future months</t>
  </si>
  <si>
    <t>May</t>
  </si>
  <si>
    <t>$108,000</t>
  </si>
  <si>
    <t>Jun</t>
  </si>
  <si>
    <t>$110,500</t>
  </si>
  <si>
    <t>High: 10%</t>
  </si>
  <si>
    <t>Jul</t>
  </si>
  <si>
    <t>$112,000</t>
  </si>
  <si>
    <t>Medium: 5%</t>
  </si>
  <si>
    <t>Aug</t>
  </si>
  <si>
    <t>$114,000</t>
  </si>
  <si>
    <t>Low: 2%</t>
  </si>
  <si>
    <t>Sep</t>
  </si>
  <si>
    <t>$116,500</t>
  </si>
  <si>
    <t>Oct</t>
  </si>
  <si>
    <t>$118,000</t>
  </si>
  <si>
    <t>Nov</t>
  </si>
  <si>
    <t>$120,000</t>
  </si>
  <si>
    <t>Dec</t>
  </si>
  <si>
    <t>$122,500</t>
  </si>
  <si>
    <t>$125,000</t>
  </si>
  <si>
    <t>$127,000</t>
  </si>
  <si>
    <t>$129,500</t>
  </si>
  <si>
    <t>$132,000</t>
  </si>
  <si>
    <t>$134,000</t>
  </si>
  <si>
    <t>$136,500</t>
  </si>
  <si>
    <t>$139,000</t>
  </si>
  <si>
    <t>$141,000</t>
  </si>
  <si>
    <t>$143,500</t>
  </si>
  <si>
    <t>$146,000</t>
  </si>
  <si>
    <t>$148,000</t>
  </si>
  <si>
    <t>$150,500</t>
  </si>
  <si>
    <t>$153,000</t>
  </si>
  <si>
    <t>$155,000</t>
  </si>
  <si>
    <t>$157,500</t>
  </si>
  <si>
    <t>$160,000</t>
  </si>
  <si>
    <t>$162,000</t>
  </si>
  <si>
    <t>$164,500</t>
  </si>
  <si>
    <t>$167,000</t>
  </si>
  <si>
    <t>$169,000</t>
  </si>
  <si>
    <t>$171,500</t>
  </si>
  <si>
    <t>$174,000</t>
  </si>
  <si>
    <t>$176,000</t>
  </si>
  <si>
    <t>$178,500</t>
  </si>
  <si>
    <t>$181,000</t>
  </si>
  <si>
    <t>$183,000</t>
  </si>
  <si>
    <t>$185,500</t>
  </si>
  <si>
    <t>$188,000</t>
  </si>
  <si>
    <t>$190,000</t>
  </si>
  <si>
    <t>$192,500</t>
  </si>
  <si>
    <t>$195,000</t>
  </si>
  <si>
    <t>$197,000</t>
  </si>
  <si>
    <t>$199,500</t>
  </si>
  <si>
    <t>Campaign Name</t>
  </si>
  <si>
    <t>Conversions</t>
  </si>
  <si>
    <t>Spend ($)</t>
  </si>
  <si>
    <t>Revenue ($)</t>
  </si>
  <si>
    <t>Conversion Rate (%)</t>
  </si>
  <si>
    <t>ROI (%)</t>
  </si>
  <si>
    <t>Find</t>
  </si>
  <si>
    <t>Campaign A</t>
  </si>
  <si>
    <t>Average Conversion Rate</t>
  </si>
  <si>
    <t>Campaign B</t>
  </si>
  <si>
    <t>Average ROI</t>
  </si>
  <si>
    <t>Campaign C</t>
  </si>
  <si>
    <t>Average ROI for campaigns where the Spend is above 1500</t>
  </si>
  <si>
    <t>Campaign D</t>
  </si>
  <si>
    <t>Average ROI for campaigns where the campaign is above 8%</t>
  </si>
  <si>
    <t>Campaign E</t>
  </si>
  <si>
    <t>Total spend for campaigns that has more than 100 conversions</t>
  </si>
  <si>
    <t>Campaign F</t>
  </si>
  <si>
    <t>Campaign G</t>
  </si>
  <si>
    <t>Campaign H</t>
  </si>
  <si>
    <t>Campaign I</t>
  </si>
  <si>
    <t>Campaign J</t>
  </si>
  <si>
    <t>Campaign K</t>
  </si>
  <si>
    <t>Campaign L</t>
  </si>
  <si>
    <t>Campaign M</t>
  </si>
  <si>
    <t>Campaign N</t>
  </si>
  <si>
    <t>Campaign O</t>
  </si>
  <si>
    <t>Campaign P</t>
  </si>
  <si>
    <t>Campaign Q</t>
  </si>
  <si>
    <t>Campaign R</t>
  </si>
  <si>
    <t>Campaign S</t>
  </si>
  <si>
    <t>Campaign T</t>
  </si>
  <si>
    <t>Campaign U</t>
  </si>
  <si>
    <t>Campaign V</t>
  </si>
  <si>
    <t>Campaign W</t>
  </si>
  <si>
    <t>Campaign X</t>
  </si>
  <si>
    <t>Campaign Y</t>
  </si>
  <si>
    <t>Campaign Z</t>
  </si>
  <si>
    <t>Campaign AA</t>
  </si>
  <si>
    <t>Campaign BB</t>
  </si>
  <si>
    <t>Campaign CC</t>
  </si>
  <si>
    <t>Campaign DD</t>
  </si>
  <si>
    <t>Campaign EE</t>
  </si>
  <si>
    <t>Campaign FF</t>
  </si>
  <si>
    <t>Campaign GG</t>
  </si>
  <si>
    <t>Campaign HH</t>
  </si>
  <si>
    <t>Campaign II</t>
  </si>
  <si>
    <t>Campaign JJ</t>
  </si>
  <si>
    <t>Campaign KK</t>
  </si>
  <si>
    <t>Campaign LL</t>
  </si>
  <si>
    <t>Campaign MM</t>
  </si>
  <si>
    <t>Campaign NN</t>
  </si>
  <si>
    <t>Campaign OO</t>
  </si>
  <si>
    <t>Campaign PP</t>
  </si>
  <si>
    <t>Campaign QQ</t>
  </si>
  <si>
    <t>Campaign RR</t>
  </si>
  <si>
    <t>Campaign SS</t>
  </si>
  <si>
    <t>Campaign TT</t>
  </si>
  <si>
    <t>Campaign UU</t>
  </si>
  <si>
    <t>Campaign VV</t>
  </si>
  <si>
    <t>Campaign WW</t>
  </si>
  <si>
    <t>Campaign XX</t>
  </si>
  <si>
    <t>Campaign YY</t>
  </si>
  <si>
    <t>Employee Availability Table</t>
  </si>
  <si>
    <t>Employee Skills Table</t>
  </si>
  <si>
    <t>Required Staffing Levels</t>
  </si>
  <si>
    <t>Employee Table</t>
  </si>
  <si>
    <t>Employee ID</t>
  </si>
  <si>
    <t>Monday</t>
  </si>
  <si>
    <t>Tuesday</t>
  </si>
  <si>
    <t>Wednesday</t>
  </si>
  <si>
    <t>Thursday</t>
  </si>
  <si>
    <t>Friday</t>
  </si>
  <si>
    <t>Saturday</t>
  </si>
  <si>
    <t>Sunday</t>
  </si>
  <si>
    <t>Skill A</t>
  </si>
  <si>
    <t>Skill B</t>
  </si>
  <si>
    <t>Skill C</t>
  </si>
  <si>
    <t>Skill D</t>
  </si>
  <si>
    <t>Role</t>
  </si>
  <si>
    <t>Nurse</t>
  </si>
  <si>
    <t>Alice Smith</t>
  </si>
  <si>
    <t>Doctor</t>
  </si>
  <si>
    <t>Bob Johnson</t>
  </si>
  <si>
    <t>Surgeon</t>
  </si>
  <si>
    <t>David Brown</t>
  </si>
  <si>
    <t>Eve Davis</t>
  </si>
  <si>
    <t>Frank Wilson</t>
  </si>
  <si>
    <t>Grace Miller</t>
  </si>
  <si>
    <t>Henry Moore</t>
  </si>
  <si>
    <t>Irene Taylor</t>
  </si>
  <si>
    <t>Jack Anderson</t>
  </si>
  <si>
    <t>Karen Hall</t>
  </si>
  <si>
    <t>Larry King</t>
  </si>
  <si>
    <t>Mary Lewis</t>
  </si>
  <si>
    <t>Nancy Scott</t>
  </si>
  <si>
    <t>Oliver Young</t>
  </si>
  <si>
    <t>Peter Harris</t>
  </si>
  <si>
    <t>Queenie Evans</t>
  </si>
  <si>
    <t>Robert White</t>
  </si>
  <si>
    <t>Sarah Johnson</t>
  </si>
  <si>
    <t>Tom Brown</t>
  </si>
  <si>
    <t>Ursula Clark</t>
  </si>
  <si>
    <t>Victor Lee</t>
  </si>
  <si>
    <t>Wendy Martin</t>
  </si>
  <si>
    <t>Xavier Young</t>
  </si>
  <si>
    <t>Yvonne Adams</t>
  </si>
  <si>
    <t>Zachary Baker</t>
  </si>
  <si>
    <t>Anne Campbell</t>
  </si>
  <si>
    <t>Brian Davis</t>
  </si>
  <si>
    <t>Cheryl Evans</t>
  </si>
  <si>
    <t>Daniel Foster</t>
  </si>
  <si>
    <t>Emily Garcia</t>
  </si>
  <si>
    <t>Frank Harris</t>
  </si>
  <si>
    <t>Gina Hunter</t>
  </si>
  <si>
    <t>Howard Ingram</t>
  </si>
  <si>
    <t>Iris James</t>
  </si>
  <si>
    <t>John Kelly</t>
  </si>
  <si>
    <t>Karen Lewis</t>
  </si>
  <si>
    <t>Larry Moore</t>
  </si>
  <si>
    <t>Mary Norton</t>
  </si>
  <si>
    <t>Nathan Owens</t>
  </si>
  <si>
    <t>Olivia Parker</t>
  </si>
  <si>
    <t>Paul Quinn</t>
  </si>
  <si>
    <t>Quinn Rogers</t>
  </si>
  <si>
    <t>Rachel Scott</t>
  </si>
  <si>
    <t>Samuel Thomas</t>
  </si>
  <si>
    <t>Tina Underwood</t>
  </si>
  <si>
    <t>Uma Vincent</t>
  </si>
  <si>
    <t>Victor White</t>
  </si>
  <si>
    <t>Wendy Young</t>
  </si>
  <si>
    <t>Xavier Zane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</si>
</sst>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32">
    <font>
      <sz val="12"/>
      <color theme="1"/>
      <name val="Aptos Narrow"/>
      <charset val="134"/>
      <scheme val="minor"/>
    </font>
    <font>
      <b/>
      <sz val="14"/>
      <color theme="0"/>
      <name val="Aptos Narrow"/>
      <charset val="134"/>
      <scheme val="minor"/>
    </font>
    <font>
      <b/>
      <sz val="14"/>
      <color theme="0"/>
      <name val="Calibri"/>
      <charset val="134"/>
    </font>
    <font>
      <sz val="14"/>
      <color theme="1" tint="0.349986266670736"/>
      <name val="Calibri"/>
      <charset val="134"/>
    </font>
    <font>
      <sz val="14"/>
      <color theme="1"/>
      <name val="Calibri"/>
      <charset val="134"/>
    </font>
    <font>
      <sz val="14"/>
      <color rgb="FF0D0D0D"/>
      <name val="Calibri"/>
      <charset val="134"/>
    </font>
    <font>
      <b/>
      <sz val="14"/>
      <color theme="1" tint="0.349986266670736"/>
      <name val="Calibri"/>
      <charset val="134"/>
    </font>
    <font>
      <b/>
      <sz val="18"/>
      <color theme="0"/>
      <name val="Calibri"/>
      <charset val="134"/>
    </font>
    <font>
      <b/>
      <sz val="12"/>
      <color theme="1" tint="0.499984740745262"/>
      <name val="Calibri"/>
      <charset val="134"/>
    </font>
    <font>
      <b/>
      <sz val="16"/>
      <color theme="0"/>
      <name val="Calibri"/>
      <charset val="134"/>
    </font>
    <font>
      <sz val="12"/>
      <color theme="1"/>
      <name val="Calibri"/>
      <charset val="134"/>
    </font>
    <font>
      <sz val="16"/>
      <color theme="1" tint="0.249977111117893"/>
      <name val="Calibri"/>
      <charset val="134"/>
    </font>
    <font>
      <u/>
      <sz val="12"/>
      <color theme="10"/>
      <name val="Aptos Narrow"/>
      <charset val="134"/>
      <scheme val="minor"/>
    </font>
    <font>
      <sz val="11"/>
      <color theme="1"/>
      <name val="Aptos Narrow"/>
      <charset val="134"/>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4">
    <fill>
      <patternFill patternType="none"/>
    </fill>
    <fill>
      <patternFill patternType="gray125"/>
    </fill>
    <fill>
      <patternFill patternType="solid">
        <fgColor theme="7"/>
        <bgColor indexed="64"/>
      </patternFill>
    </fill>
    <fill>
      <patternFill patternType="solid">
        <fgColor theme="4"/>
        <bgColor indexed="64"/>
      </patternFill>
    </fill>
    <fill>
      <patternFill patternType="solid">
        <fgColor theme="4" tint="0.599993896298105"/>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3" fillId="0" borderId="0" applyFont="0" applyFill="0" applyBorder="0" applyAlignment="0" applyProtection="0">
      <alignment vertical="center"/>
    </xf>
    <xf numFmtId="177" fontId="13" fillId="0" borderId="0" applyFont="0" applyFill="0" applyBorder="0" applyAlignment="0" applyProtection="0">
      <alignment vertical="center"/>
    </xf>
    <xf numFmtId="9" fontId="13" fillId="0" borderId="0" applyFont="0" applyFill="0" applyBorder="0" applyAlignment="0" applyProtection="0">
      <alignment vertical="center"/>
    </xf>
    <xf numFmtId="178" fontId="13" fillId="0" borderId="0" applyFont="0" applyFill="0" applyBorder="0" applyAlignment="0" applyProtection="0">
      <alignment vertical="center"/>
    </xf>
    <xf numFmtId="179" fontId="13" fillId="0" borderId="0" applyFont="0" applyFill="0" applyBorder="0" applyAlignment="0" applyProtection="0">
      <alignment vertical="center"/>
    </xf>
    <xf numFmtId="0" fontId="12" fillId="0" borderId="0" applyNumberFormat="0" applyFill="0" applyBorder="0" applyAlignment="0" applyProtection="0"/>
    <xf numFmtId="0" fontId="14" fillId="0" borderId="0" applyNumberFormat="0" applyFill="0" applyBorder="0" applyAlignment="0" applyProtection="0">
      <alignment vertical="center"/>
    </xf>
    <xf numFmtId="0" fontId="13" fillId="6" borderId="7"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8" applyNumberFormat="0" applyFill="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0" fillId="0" borderId="0" applyNumberFormat="0" applyFill="0" applyBorder="0" applyAlignment="0" applyProtection="0">
      <alignment vertical="center"/>
    </xf>
    <xf numFmtId="0" fontId="21" fillId="7" borderId="10" applyNumberFormat="0" applyAlignment="0" applyProtection="0">
      <alignment vertical="center"/>
    </xf>
    <xf numFmtId="0" fontId="22" fillId="8" borderId="11" applyNumberFormat="0" applyAlignment="0" applyProtection="0">
      <alignment vertical="center"/>
    </xf>
    <xf numFmtId="0" fontId="23" fillId="8" borderId="10" applyNumberFormat="0" applyAlignment="0" applyProtection="0">
      <alignment vertical="center"/>
    </xf>
    <xf numFmtId="0" fontId="24" fillId="9" borderId="12" applyNumberFormat="0" applyAlignment="0" applyProtection="0">
      <alignment vertical="center"/>
    </xf>
    <xf numFmtId="0" fontId="25" fillId="0" borderId="13" applyNumberFormat="0" applyFill="0" applyAlignment="0" applyProtection="0">
      <alignment vertical="center"/>
    </xf>
    <xf numFmtId="0" fontId="26" fillId="0" borderId="14" applyNumberFormat="0" applyFill="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3" borderId="0" applyNumberFormat="0" applyBorder="0" applyAlignment="0" applyProtection="0">
      <alignment vertical="center"/>
    </xf>
    <xf numFmtId="0" fontId="31" fillId="13" borderId="0" applyNumberFormat="0" applyBorder="0" applyAlignment="0" applyProtection="0">
      <alignment vertical="center"/>
    </xf>
    <xf numFmtId="0" fontId="31" fillId="4"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cellStyleXfs>
  <cellXfs count="38">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0" borderId="0" xfId="0" applyFont="1" applyAlignment="1">
      <alignment horizontal="center"/>
    </xf>
    <xf numFmtId="0" fontId="1" fillId="2" borderId="0" xfId="0" applyFont="1" applyFill="1" applyAlignment="1">
      <alignment horizontal="center"/>
    </xf>
    <xf numFmtId="0" fontId="0" fillId="0" borderId="0" xfId="0" applyAlignment="1">
      <alignment horizontal="center" vertical="center" wrapText="1"/>
    </xf>
    <xf numFmtId="180" fontId="3" fillId="0" borderId="0" xfId="0" applyNumberFormat="1" applyFont="1" applyAlignment="1">
      <alignment horizontal="center"/>
    </xf>
    <xf numFmtId="49" fontId="3" fillId="0" borderId="0" xfId="0" applyNumberFormat="1" applyFont="1" applyAlignment="1">
      <alignment horizontal="center"/>
    </xf>
    <xf numFmtId="0" fontId="0" fillId="0" borderId="0" xfId="0" applyAlignment="1">
      <alignment horizontal="left"/>
    </xf>
    <xf numFmtId="0" fontId="0" fillId="0" borderId="0" xfId="0" applyAlignment="1"/>
    <xf numFmtId="0" fontId="4" fillId="0" borderId="0" xfId="0" applyFont="1"/>
    <xf numFmtId="0" fontId="5" fillId="0" borderId="0" xfId="0" applyFont="1" applyAlignment="1">
      <alignment horizontal="center" vertical="center"/>
    </xf>
    <xf numFmtId="0" fontId="5" fillId="0" borderId="0" xfId="0" applyFont="1"/>
    <xf numFmtId="0" fontId="4" fillId="0" borderId="0" xfId="0" applyFont="1" applyAlignment="1"/>
    <xf numFmtId="0" fontId="3" fillId="0" borderId="0" xfId="0" applyFont="1"/>
    <xf numFmtId="0" fontId="3" fillId="0" borderId="0" xfId="0" applyFont="1" applyAlignment="1">
      <alignment horizontal="left"/>
    </xf>
    <xf numFmtId="0" fontId="3" fillId="0" borderId="0" xfId="0" applyFont="1" applyAlignment="1">
      <alignment horizontal="left" vertical="top"/>
    </xf>
    <xf numFmtId="0" fontId="4" fillId="0" borderId="0" xfId="0" applyFont="1" applyAlignment="1">
      <alignment horizontal="center" vertical="center"/>
    </xf>
    <xf numFmtId="0" fontId="5" fillId="0" borderId="0" xfId="0" applyFont="1" applyAlignment="1">
      <alignment horizontal="center"/>
    </xf>
    <xf numFmtId="0" fontId="6" fillId="0" borderId="0" xfId="0" applyFont="1" applyAlignment="1">
      <alignment horizontal="center" vertical="center"/>
    </xf>
    <xf numFmtId="0" fontId="7" fillId="3" borderId="1" xfId="0" applyFont="1" applyFill="1" applyBorder="1" applyAlignment="1">
      <alignment horizontal="center" vertical="center"/>
    </xf>
    <xf numFmtId="0" fontId="7" fillId="4" borderId="2" xfId="0" applyFont="1" applyFill="1" applyBorder="1" applyAlignment="1">
      <alignment horizontal="center" vertical="center"/>
    </xf>
    <xf numFmtId="180" fontId="3" fillId="0" borderId="0" xfId="0" applyNumberFormat="1" applyFont="1" applyAlignment="1">
      <alignment horizontal="left"/>
    </xf>
    <xf numFmtId="0" fontId="5" fillId="0" borderId="3" xfId="0" applyFont="1" applyBorder="1"/>
    <xf numFmtId="0" fontId="5" fillId="0" borderId="4" xfId="0" applyFont="1" applyBorder="1"/>
    <xf numFmtId="0" fontId="7" fillId="4" borderId="5" xfId="0" applyFont="1" applyFill="1" applyBorder="1" applyAlignment="1">
      <alignment horizontal="center" vertical="center"/>
    </xf>
    <xf numFmtId="0" fontId="5" fillId="0" borderId="6" xfId="0" applyFont="1" applyBorder="1" applyAlignment="1">
      <alignment horizontal="center" vertical="center"/>
    </xf>
    <xf numFmtId="0" fontId="8" fillId="0" borderId="0" xfId="0" applyFont="1" applyAlignment="1">
      <alignment horizontal="left" vertical="center"/>
    </xf>
    <xf numFmtId="0" fontId="8" fillId="0" borderId="0" xfId="0" applyFont="1" applyAlignment="1">
      <alignment horizontal="center" vertical="center"/>
    </xf>
    <xf numFmtId="0" fontId="9" fillId="3" borderId="0" xfId="0" applyFont="1" applyFill="1" applyAlignment="1">
      <alignment horizontal="center" vertical="center"/>
    </xf>
    <xf numFmtId="0" fontId="3" fillId="0" borderId="0" xfId="0" applyFont="1" applyAlignment="1">
      <alignment horizontal="center" vertical="center"/>
    </xf>
    <xf numFmtId="2" fontId="0" fillId="0" borderId="0" xfId="0" applyNumberFormat="1"/>
    <xf numFmtId="0" fontId="0" fillId="0" borderId="0" xfId="0" applyAlignment="1">
      <alignment horizontal="center"/>
    </xf>
    <xf numFmtId="180" fontId="3" fillId="0" borderId="0" xfId="0" applyNumberFormat="1" applyFont="1"/>
    <xf numFmtId="0" fontId="10" fillId="5" borderId="0" xfId="0" applyFont="1" applyFill="1" applyAlignment="1">
      <alignment horizontal="center" vertical="center"/>
    </xf>
    <xf numFmtId="0" fontId="7" fillId="3" borderId="0" xfId="0" applyFont="1" applyFill="1" applyAlignment="1">
      <alignment horizontal="center" vertical="center"/>
    </xf>
    <xf numFmtId="0" fontId="11" fillId="0" borderId="0" xfId="0" applyFont="1" applyAlignment="1">
      <alignment horizontal="center" vertical="center"/>
    </xf>
    <xf numFmtId="0" fontId="12" fillId="0" borderId="0" xfId="6"/>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5">
    <dxf>
      <fill>
        <patternFill patternType="solid">
          <bgColor rgb="FFFFC7CE"/>
        </patternFill>
      </fill>
    </dxf>
    <dxf>
      <font>
        <name val="Calibri"/>
        <scheme val="none"/>
        <family val="2"/>
        <b val="0"/>
        <i val="0"/>
        <strike val="0"/>
        <u val="none"/>
        <sz val="14"/>
        <color theme="1" tint="0.349986266670736"/>
      </font>
      <alignment horizontal="center"/>
    </dxf>
    <dxf>
      <font>
        <name val="Calibri"/>
        <scheme val="none"/>
        <family val="2"/>
        <b val="0"/>
        <i val="0"/>
        <strike val="0"/>
        <u val="none"/>
        <sz val="14"/>
        <color theme="1" tint="0.349986266670736"/>
      </font>
      <alignment horizontal="center"/>
    </dxf>
    <dxf>
      <font>
        <name val="Calibri"/>
        <scheme val="none"/>
        <family val="2"/>
        <b val="0"/>
        <i val="0"/>
        <strike val="0"/>
        <u val="none"/>
        <sz val="14"/>
        <color theme="1" tint="0.349986266670736"/>
      </font>
      <alignment horizontal="center"/>
    </dxf>
    <dxf>
      <font>
        <name val="Calibri"/>
        <scheme val="none"/>
        <family val="2"/>
        <b val="0"/>
        <i val="0"/>
        <strike val="0"/>
        <u val="none"/>
        <sz val="14"/>
        <color theme="1" tint="0.349986266670736"/>
      </font>
      <alignment horizontal="center"/>
    </dxf>
    <dxf>
      <font>
        <name val="Calibri"/>
        <scheme val="none"/>
        <family val="2"/>
        <b val="0"/>
        <i val="0"/>
        <strike val="0"/>
        <u val="none"/>
        <sz val="14"/>
        <color theme="1" tint="0.349986266670736"/>
      </font>
      <numFmt numFmtId="180" formatCode="dd/mm/yyyy"/>
      <alignment horizontal="center"/>
    </dxf>
    <dxf>
      <font>
        <name val="Calibri"/>
        <scheme val="none"/>
        <family val="2"/>
        <b val="0"/>
        <i val="0"/>
        <strike val="0"/>
        <u val="none"/>
        <sz val="14"/>
        <color theme="1" tint="0.349986266670736"/>
      </font>
      <alignment horizontal="center"/>
    </dxf>
    <dxf>
      <font>
        <name val="Calibri"/>
        <scheme val="none"/>
        <family val="2"/>
        <b val="0"/>
        <i val="0"/>
        <strike val="0"/>
        <u val="none"/>
        <sz val="14"/>
        <color rgb="FF0D0D0D"/>
      </font>
      <alignment horizontal="center" vertical="center"/>
    </dxf>
    <dxf>
      <fill>
        <patternFill patternType="solid">
          <bgColor rgb="FFFFC7CE"/>
        </patternFill>
      </fill>
    </dxf>
    <dxf>
      <font>
        <name val="Calibri"/>
        <scheme val="none"/>
        <family val="2"/>
        <b val="0"/>
        <i val="0"/>
        <strike val="0"/>
        <u val="none"/>
        <sz val="14"/>
        <color theme="1" tint="0.349986266670736"/>
      </font>
      <numFmt numFmtId="180" formatCode="dd/mm/yyyy"/>
      <alignment horizontal="center"/>
    </dxf>
    <dxf>
      <font>
        <name val="Calibri"/>
        <scheme val="none"/>
        <family val="2"/>
        <b val="0"/>
        <i val="0"/>
        <strike val="0"/>
        <u val="none"/>
        <sz val="14"/>
        <color theme="1" tint="0.349986266670736"/>
      </font>
      <alignment horizontal="center"/>
    </dxf>
    <dxf>
      <font>
        <name val="Calibri"/>
        <scheme val="none"/>
        <family val="2"/>
        <b val="0"/>
        <i val="0"/>
        <strike val="0"/>
        <u val="none"/>
        <sz val="14"/>
        <color theme="1" tint="0.349986266670736"/>
      </font>
      <alignment horizontal="center"/>
    </dxf>
    <dxf>
      <font>
        <name val="Calibri"/>
        <scheme val="none"/>
        <family val="2"/>
        <b val="0"/>
        <i val="0"/>
        <strike val="0"/>
        <u val="none"/>
        <sz val="14"/>
        <color theme="1" tint="0.349986266670736"/>
      </font>
      <alignment horizontal="center"/>
    </dxf>
    <dxf>
      <font>
        <name val="Calibri"/>
        <scheme val="none"/>
        <family val="2"/>
        <b val="0"/>
        <i val="0"/>
        <strike val="0"/>
        <u val="none"/>
        <sz val="14"/>
        <color theme="1" tint="0.349986266670736"/>
      </font>
      <alignment horizontal="center"/>
    </dxf>
    <dxf>
      <font>
        <name val="Calibri"/>
        <scheme val="none"/>
        <family val="2"/>
        <b val="0"/>
        <i val="0"/>
        <strike val="0"/>
        <u val="none"/>
        <sz val="14"/>
        <color theme="1" tint="0.349986266670736"/>
      </font>
      <numFmt numFmtId="0" formatCode="General"/>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www.wps.cn/officeDocument/2023/relationships/customStorage" Target="customStorage/customStorage.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1" Type="http://schemas.openxmlformats.org/officeDocument/2006/relationships/hyperlink" Target="#Navigation!A1"/></Relationships>
</file>

<file path=xl/drawings/_rels/drawing2.xml.rels><?xml version="1.0" encoding="UTF-8" standalone="yes"?>
<Relationships xmlns="http://schemas.openxmlformats.org/package/2006/relationships"><Relationship Id="rId1" Type="http://schemas.openxmlformats.org/officeDocument/2006/relationships/hyperlink" Target="#Navigation!A1"/></Relationships>
</file>

<file path=xl/drawings/_rels/drawing3.xml.rels><?xml version="1.0" encoding="UTF-8" standalone="yes"?>
<Relationships xmlns="http://schemas.openxmlformats.org/package/2006/relationships"><Relationship Id="rId1" Type="http://schemas.openxmlformats.org/officeDocument/2006/relationships/hyperlink" Target="#Navigation!A1"/></Relationships>
</file>

<file path=xl/drawings/_rels/drawing4.xml.rels><?xml version="1.0" encoding="UTF-8" standalone="yes"?>
<Relationships xmlns="http://schemas.openxmlformats.org/package/2006/relationships"><Relationship Id="rId1" Type="http://schemas.openxmlformats.org/officeDocument/2006/relationships/hyperlink" Target="#Navigation!A1"/></Relationships>
</file>

<file path=xl/drawings/_rels/drawing5.xml.rels><?xml version="1.0" encoding="UTF-8" standalone="yes"?>
<Relationships xmlns="http://schemas.openxmlformats.org/package/2006/relationships"><Relationship Id="rId1" Type="http://schemas.openxmlformats.org/officeDocument/2006/relationships/hyperlink" Target="#Navigation!A1"/></Relationships>
</file>

<file path=xl/drawings/_rels/drawing6.xml.rels><?xml version="1.0" encoding="UTF-8" standalone="yes"?>
<Relationships xmlns="http://schemas.openxmlformats.org/package/2006/relationships"><Relationship Id="rId1" Type="http://schemas.openxmlformats.org/officeDocument/2006/relationships/hyperlink" Target="#Navigation!A1"/></Relationships>
</file>

<file path=xl/drawings/_rels/drawing7.xml.rels><?xml version="1.0" encoding="UTF-8" standalone="yes"?>
<Relationships xmlns="http://schemas.openxmlformats.org/package/2006/relationships"><Relationship Id="rId1" Type="http://schemas.openxmlformats.org/officeDocument/2006/relationships/hyperlink" Target="#Navigation!A1"/></Relationships>
</file>

<file path=xl/drawings/_rels/drawing8.xml.rels><?xml version="1.0" encoding="UTF-8" standalone="yes"?>
<Relationships xmlns="http://schemas.openxmlformats.org/package/2006/relationships"><Relationship Id="rId1" Type="http://schemas.openxmlformats.org/officeDocument/2006/relationships/hyperlink" Target="#Navigation!A1"/></Relationships>
</file>

<file path=xl/drawings/_rels/drawing9.xml.rels><?xml version="1.0" encoding="UTF-8" standalone="yes"?>
<Relationships xmlns="http://schemas.openxmlformats.org/package/2006/relationships"><Relationship Id="rId1" Type="http://schemas.openxmlformats.org/officeDocument/2006/relationships/hyperlink" Target="#Navigation!A1"/></Relationships>
</file>

<file path=xl/drawings/_rels/drawing10.xml.rels><?xml version="1.0" encoding="UTF-8" standalone="yes"?>
<Relationships xmlns="http://schemas.openxmlformats.org/package/2006/relationships"><Relationship Id="rId1" Type="http://schemas.openxmlformats.org/officeDocument/2006/relationships/hyperlink" Target="#Navigation!A1"/></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10</xdr:col>
      <xdr:colOff>0</xdr:colOff>
      <xdr:row>0</xdr:row>
      <xdr:rowOff>0</xdr:rowOff>
    </xdr:from>
    <xdr:to>
      <xdr:col>12</xdr:col>
      <xdr:colOff>152400</xdr:colOff>
      <xdr:row>0</xdr:row>
      <xdr:rowOff>292100</xdr:rowOff>
    </xdr:to>
    <xdr:sp>
      <xdr:nvSpPr>
        <xdr:cNvPr id="2" name="Rounded Rectangle 1">
          <a:hlinkClick xmlns:r="http://schemas.openxmlformats.org/officeDocument/2006/relationships" r:id="rId1"/>
        </xdr:cNvPr>
        <xdr:cNvSpPr/>
      </xdr:nvSpPr>
      <xdr:spPr>
        <a:xfrm>
          <a:off x="17738725" y="0"/>
          <a:ext cx="1996440" cy="292100"/>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t>Go to</a:t>
          </a:r>
          <a:r>
            <a:rPr lang="en-GB" sz="1100" b="1" baseline="0"/>
            <a:t> Navigation Page</a:t>
          </a:r>
          <a:endParaRPr lang="en-GB" sz="1100" b="1" baseline="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14</xdr:col>
      <xdr:colOff>391583</xdr:colOff>
      <xdr:row>0</xdr:row>
      <xdr:rowOff>42334</xdr:rowOff>
    </xdr:from>
    <xdr:to>
      <xdr:col>16</xdr:col>
      <xdr:colOff>543983</xdr:colOff>
      <xdr:row>1</xdr:row>
      <xdr:rowOff>69851</xdr:rowOff>
    </xdr:to>
    <xdr:sp>
      <xdr:nvSpPr>
        <xdr:cNvPr id="2" name="Rounded Rectangle 1">
          <a:hlinkClick xmlns:r="http://schemas.openxmlformats.org/officeDocument/2006/relationships" r:id="rId1"/>
        </xdr:cNvPr>
        <xdr:cNvSpPr/>
      </xdr:nvSpPr>
      <xdr:spPr>
        <a:xfrm>
          <a:off x="14295120" y="41910"/>
          <a:ext cx="1996440" cy="294640"/>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t>Go to</a:t>
          </a:r>
          <a:r>
            <a:rPr lang="en-GB" sz="1100" b="1" baseline="0"/>
            <a:t> Navigation Page</a:t>
          </a:r>
          <a:endParaRPr lang="en-GB" sz="1100" b="1" baseline="0"/>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15</xdr:col>
      <xdr:colOff>635000</xdr:colOff>
      <xdr:row>0</xdr:row>
      <xdr:rowOff>25400</xdr:rowOff>
    </xdr:from>
    <xdr:to>
      <xdr:col>17</xdr:col>
      <xdr:colOff>787400</xdr:colOff>
      <xdr:row>1</xdr:row>
      <xdr:rowOff>50800</xdr:rowOff>
    </xdr:to>
    <xdr:sp>
      <xdr:nvSpPr>
        <xdr:cNvPr id="2" name="Rounded Rectangle 1">
          <a:hlinkClick xmlns:r="http://schemas.openxmlformats.org/officeDocument/2006/relationships" r:id="rId1"/>
        </xdr:cNvPr>
        <xdr:cNvSpPr/>
      </xdr:nvSpPr>
      <xdr:spPr>
        <a:xfrm>
          <a:off x="17798415" y="25400"/>
          <a:ext cx="1996440" cy="292100"/>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t>Go to</a:t>
          </a:r>
          <a:r>
            <a:rPr lang="en-GB" sz="1100" b="1" baseline="0"/>
            <a:t> Navigation Page</a:t>
          </a:r>
          <a:endParaRPr lang="en-GB" sz="1100" b="1" baseline="0"/>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12</xdr:col>
      <xdr:colOff>812800</xdr:colOff>
      <xdr:row>32</xdr:row>
      <xdr:rowOff>152400</xdr:rowOff>
    </xdr:from>
    <xdr:to>
      <xdr:col>13</xdr:col>
      <xdr:colOff>355600</xdr:colOff>
      <xdr:row>34</xdr:row>
      <xdr:rowOff>38100</xdr:rowOff>
    </xdr:to>
    <xdr:sp>
      <xdr:nvSpPr>
        <xdr:cNvPr id="2" name="Rounded Rectangle 1">
          <a:hlinkClick xmlns:r="http://schemas.openxmlformats.org/officeDocument/2006/relationships" r:id="rId1"/>
        </xdr:cNvPr>
        <xdr:cNvSpPr/>
      </xdr:nvSpPr>
      <xdr:spPr>
        <a:xfrm>
          <a:off x="16615410" y="6926580"/>
          <a:ext cx="2026285" cy="266700"/>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t>Go to</a:t>
          </a:r>
          <a:r>
            <a:rPr lang="en-GB" sz="1100" b="1" baseline="0"/>
            <a:t> Navigation Page</a:t>
          </a:r>
          <a:endParaRPr lang="en-GB" sz="1100" b="1" baseline="0"/>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12</xdr:col>
      <xdr:colOff>2006600</xdr:colOff>
      <xdr:row>29</xdr:row>
      <xdr:rowOff>152400</xdr:rowOff>
    </xdr:from>
    <xdr:to>
      <xdr:col>12</xdr:col>
      <xdr:colOff>3810000</xdr:colOff>
      <xdr:row>31</xdr:row>
      <xdr:rowOff>38100</xdr:rowOff>
    </xdr:to>
    <xdr:sp>
      <xdr:nvSpPr>
        <xdr:cNvPr id="2" name="Rounded Rectangle 1">
          <a:hlinkClick xmlns:r="http://schemas.openxmlformats.org/officeDocument/2006/relationships" r:id="rId1"/>
        </xdr:cNvPr>
        <xdr:cNvSpPr/>
      </xdr:nvSpPr>
      <xdr:spPr>
        <a:xfrm>
          <a:off x="16110585" y="6667500"/>
          <a:ext cx="1803400" cy="266700"/>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t>Go to</a:t>
          </a:r>
          <a:r>
            <a:rPr lang="en-GB" sz="1100" b="1" baseline="0"/>
            <a:t> Navigation Page</a:t>
          </a:r>
          <a:endParaRPr lang="en-GB" sz="1100" b="1" baseline="0"/>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14</xdr:col>
      <xdr:colOff>0</xdr:colOff>
      <xdr:row>30</xdr:row>
      <xdr:rowOff>0</xdr:rowOff>
    </xdr:from>
    <xdr:to>
      <xdr:col>16</xdr:col>
      <xdr:colOff>152400</xdr:colOff>
      <xdr:row>31</xdr:row>
      <xdr:rowOff>50800</xdr:rowOff>
    </xdr:to>
    <xdr:sp>
      <xdr:nvSpPr>
        <xdr:cNvPr id="2" name="Rounded Rectangle 1">
          <a:hlinkClick xmlns:r="http://schemas.openxmlformats.org/officeDocument/2006/relationships" r:id="rId1"/>
        </xdr:cNvPr>
        <xdr:cNvSpPr/>
      </xdr:nvSpPr>
      <xdr:spPr>
        <a:xfrm>
          <a:off x="18150205" y="6858000"/>
          <a:ext cx="1976120" cy="279400"/>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t>Go to</a:t>
          </a:r>
          <a:r>
            <a:rPr lang="en-GB" sz="1100" b="1" baseline="0"/>
            <a:t> Navigation Page</a:t>
          </a:r>
          <a:endParaRPr lang="en-GB" sz="1100" b="1" baseline="0"/>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15</xdr:col>
      <xdr:colOff>152400</xdr:colOff>
      <xdr:row>29</xdr:row>
      <xdr:rowOff>50800</xdr:rowOff>
    </xdr:from>
    <xdr:to>
      <xdr:col>17</xdr:col>
      <xdr:colOff>304800</xdr:colOff>
      <xdr:row>30</xdr:row>
      <xdr:rowOff>139700</xdr:rowOff>
    </xdr:to>
    <xdr:sp>
      <xdr:nvSpPr>
        <xdr:cNvPr id="2" name="Rounded Rectangle 1">
          <a:hlinkClick xmlns:r="http://schemas.openxmlformats.org/officeDocument/2006/relationships" r:id="rId1"/>
        </xdr:cNvPr>
        <xdr:cNvSpPr/>
      </xdr:nvSpPr>
      <xdr:spPr>
        <a:xfrm>
          <a:off x="16089630" y="6565900"/>
          <a:ext cx="1996440" cy="279400"/>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t>Go to</a:t>
          </a:r>
          <a:r>
            <a:rPr lang="en-GB" sz="1100" b="1" baseline="0"/>
            <a:t> Navigation Page</a:t>
          </a:r>
          <a:endParaRPr lang="en-GB" sz="1100" b="1" baseline="0"/>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17</xdr:col>
      <xdr:colOff>0</xdr:colOff>
      <xdr:row>30</xdr:row>
      <xdr:rowOff>0</xdr:rowOff>
    </xdr:from>
    <xdr:to>
      <xdr:col>19</xdr:col>
      <xdr:colOff>152400</xdr:colOff>
      <xdr:row>31</xdr:row>
      <xdr:rowOff>88900</xdr:rowOff>
    </xdr:to>
    <xdr:sp>
      <xdr:nvSpPr>
        <xdr:cNvPr id="2" name="Rounded Rectangle 1">
          <a:hlinkClick xmlns:r="http://schemas.openxmlformats.org/officeDocument/2006/relationships" r:id="rId1"/>
        </xdr:cNvPr>
        <xdr:cNvSpPr/>
      </xdr:nvSpPr>
      <xdr:spPr>
        <a:xfrm>
          <a:off x="18074005" y="6705600"/>
          <a:ext cx="1996440" cy="279400"/>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t>Go to</a:t>
          </a:r>
          <a:r>
            <a:rPr lang="en-GB" sz="1100" b="1" baseline="0"/>
            <a:t> Navigation Page</a:t>
          </a:r>
          <a:endParaRPr lang="en-GB" sz="1100" b="1" baseline="0"/>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17</xdr:col>
      <xdr:colOff>0</xdr:colOff>
      <xdr:row>29</xdr:row>
      <xdr:rowOff>0</xdr:rowOff>
    </xdr:from>
    <xdr:to>
      <xdr:col>19</xdr:col>
      <xdr:colOff>152400</xdr:colOff>
      <xdr:row>30</xdr:row>
      <xdr:rowOff>50800</xdr:rowOff>
    </xdr:to>
    <xdr:sp>
      <xdr:nvSpPr>
        <xdr:cNvPr id="2" name="Rounded Rectangle 1">
          <a:hlinkClick xmlns:r="http://schemas.openxmlformats.org/officeDocument/2006/relationships" r:id="rId1"/>
        </xdr:cNvPr>
        <xdr:cNvSpPr/>
      </xdr:nvSpPr>
      <xdr:spPr>
        <a:xfrm>
          <a:off x="16659860" y="6629400"/>
          <a:ext cx="1996440" cy="279400"/>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t>Go to</a:t>
          </a:r>
          <a:r>
            <a:rPr lang="en-GB" sz="1100" b="1" baseline="0"/>
            <a:t> Navigation Page</a:t>
          </a:r>
          <a:endParaRPr lang="en-GB" sz="1100" b="1" baseline="0"/>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13</xdr:col>
      <xdr:colOff>0</xdr:colOff>
      <xdr:row>30</xdr:row>
      <xdr:rowOff>0</xdr:rowOff>
    </xdr:from>
    <xdr:to>
      <xdr:col>15</xdr:col>
      <xdr:colOff>152400</xdr:colOff>
      <xdr:row>31</xdr:row>
      <xdr:rowOff>50800</xdr:rowOff>
    </xdr:to>
    <xdr:sp>
      <xdr:nvSpPr>
        <xdr:cNvPr id="2" name="Rounded Rectangle 1">
          <a:hlinkClick xmlns:r="http://schemas.openxmlformats.org/officeDocument/2006/relationships" r:id="rId1"/>
        </xdr:cNvPr>
        <xdr:cNvSpPr/>
      </xdr:nvSpPr>
      <xdr:spPr>
        <a:xfrm>
          <a:off x="16650335" y="6858000"/>
          <a:ext cx="1996440" cy="279400"/>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t>Go to</a:t>
          </a:r>
          <a:r>
            <a:rPr lang="en-GB" sz="1100" b="1" baseline="0"/>
            <a:t> Navigation Page</a:t>
          </a:r>
          <a:endParaRPr lang="en-GB" sz="1100" b="1" baseline="0"/>
        </a:p>
      </xdr:txBody>
    </xdr:sp>
    <xdr:clientData/>
  </xdr:twoCellAnchor>
</xdr:wsDr>
</file>

<file path=xl/tables/table1.xml><?xml version="1.0" encoding="utf-8"?>
<table xmlns="http://schemas.openxmlformats.org/spreadsheetml/2006/main" id="2" name="Table2" displayName="Table2" ref="A1:G26" totalsRowShown="0">
  <autoFilter xmlns:etc="http://www.wps.cn/officeDocument/2017/etCustomData" ref="A1:G26" etc:filterBottomFollowUsedRange="0"/>
  <tableColumns count="7">
    <tableColumn id="1" name="Customer ID" dataDxfId="1"/>
    <tableColumn id="2" name="Age" dataDxfId="2"/>
    <tableColumn id="3" name="Gender" dataDxfId="3"/>
    <tableColumn id="4" name="Total Purchases" dataDxfId="4"/>
    <tableColumn id="5" name="Last Purchase Date" dataDxfId="5"/>
    <tableColumn id="6" name="Email Open Rate (%)" dataDxfId="6"/>
    <tableColumn id="7" name="Segment" dataDxfId="7">
      <calculatedColumnFormula>IF(D2&gt;50,"High-Value Customer, ","")&amp;IF(F2&gt;70,"Engaged Customer, ","")&amp;IF(AND(E2&gt;=TODAY()-7,E2&lt;=TODAY()),"Recent Purchaser, ","")&amp;IF(AND(D2&lt;=50,F2&lt;=70,NOT(AND(E2&gt;=TODAY()-7,E2&lt;=TODAY()))),"No action required","")</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A1:F26" totalsRowShown="0">
  <autoFilter xmlns:etc="http://www.wps.cn/officeDocument/2017/etCustomData" ref="A1:F26" etc:filterBottomFollowUsedRange="0"/>
  <tableColumns count="6">
    <tableColumn id="1" name="Date" dataDxfId="9"/>
    <tableColumn id="2" name="Employee Name" dataDxfId="10"/>
    <tableColumn id="3" name="Expense Type" dataDxfId="11"/>
    <tableColumn id="4" name="Amount" dataDxfId="12"/>
    <tableColumn id="5" name="Receipt" dataDxfId="13"/>
    <tableColumn id="6" name="Validation" dataDxfId="14">
      <calculatedColumnFormula>IF(AND(ISNUMBER(D2),D2&gt;0),IF(E2="Yes","Valid",IF(E2="No","Invalid: Missing receipt","Invalid: Receipt should be Yes or No")),"Invalid: Amount must be a number and greater than 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17"/>
  <sheetViews>
    <sheetView showGridLines="0" tabSelected="1" zoomScale="150" zoomScaleNormal="150" workbookViewId="0">
      <selection activeCell="A1" sqref="A1"/>
    </sheetView>
  </sheetViews>
  <sheetFormatPr defaultColWidth="0" defaultRowHeight="15" zeroHeight="1" outlineLevelCol="2"/>
  <cols>
    <col min="1" max="1" width="10.8787878787879" customWidth="1"/>
    <col min="2" max="2" width="31" customWidth="1"/>
    <col min="3" max="4" width="10.8787878787879" customWidth="1"/>
    <col min="5" max="16384" width="10.8787878787879" hidden="1"/>
  </cols>
  <sheetData>
    <row r="1"/>
    <row r="2"/>
    <row r="3" spans="2:3">
      <c r="B3" t="s">
        <v>0</v>
      </c>
      <c r="C3" s="37" t="s">
        <v>1</v>
      </c>
    </row>
    <row r="4" spans="2:3">
      <c r="B4" t="s">
        <v>2</v>
      </c>
      <c r="C4" s="37" t="s">
        <v>1</v>
      </c>
    </row>
    <row r="5" spans="2:3">
      <c r="B5" t="s">
        <v>3</v>
      </c>
      <c r="C5" s="37" t="s">
        <v>1</v>
      </c>
    </row>
    <row r="6" spans="2:3">
      <c r="B6" t="s">
        <v>4</v>
      </c>
      <c r="C6" s="37" t="s">
        <v>1</v>
      </c>
    </row>
    <row r="7" spans="2:3">
      <c r="B7" t="s">
        <v>5</v>
      </c>
      <c r="C7" s="37" t="s">
        <v>1</v>
      </c>
    </row>
    <row r="8" spans="2:3">
      <c r="B8" t="s">
        <v>6</v>
      </c>
      <c r="C8" s="37" t="s">
        <v>1</v>
      </c>
    </row>
    <row r="9" spans="2:3">
      <c r="B9" t="s">
        <v>7</v>
      </c>
      <c r="C9" s="37" t="s">
        <v>1</v>
      </c>
    </row>
    <row r="10" spans="2:3">
      <c r="B10" t="s">
        <v>8</v>
      </c>
      <c r="C10" s="37" t="s">
        <v>1</v>
      </c>
    </row>
    <row r="11" spans="2:3">
      <c r="B11" t="s">
        <v>9</v>
      </c>
      <c r="C11" s="37" t="s">
        <v>1</v>
      </c>
    </row>
    <row r="12" spans="2:3">
      <c r="B12" t="s">
        <v>10</v>
      </c>
      <c r="C12" s="37" t="s">
        <v>1</v>
      </c>
    </row>
    <row r="13" spans="2:3">
      <c r="B13" t="s">
        <v>11</v>
      </c>
      <c r="C13" s="37" t="s">
        <v>1</v>
      </c>
    </row>
    <row r="14"/>
    <row r="15"/>
    <row r="16"/>
    <row r="17"/>
  </sheetData>
  <hyperlinks>
    <hyperlink ref="C3" location="'Counting Words of sentences'!A1" display="Go There"/>
    <hyperlink ref="C4" location="'Project Deadline Alert'!A1" display="Go There"/>
    <hyperlink ref="C5" location="'Profit Margin Calculation'!A1" display="Go There"/>
    <hyperlink ref="C6" location="'Employee Attendance'!A1" display="Go There"/>
    <hyperlink ref="C7" location="'Dynamic Pricing Model'!A1" display="Go There"/>
    <hyperlink ref="C8" location="'Customer Segmentation'!A1" display="Go There"/>
    <hyperlink ref="C9" location="'Inventory Management'!A1" display="Go There"/>
    <hyperlink ref="C10" location="'Expense Report Validation'!A1" display="Go There"/>
    <hyperlink ref="C11" location="'Financial Forecasting'!A1" display="Go There"/>
    <hyperlink ref="C12" location="'Marketing Campaign Analysis'!A1" display="Go There"/>
    <hyperlink ref="C13" location="'Employee Scheduling'!A1" display="Go There"/>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
  <sheetViews>
    <sheetView showGridLines="0" workbookViewId="0">
      <selection activeCell="C3" sqref="C3"/>
    </sheetView>
  </sheetViews>
  <sheetFormatPr defaultColWidth="11" defaultRowHeight="15"/>
  <cols>
    <col min="1" max="1" width="90.6287878787879" customWidth="1"/>
    <col min="2" max="2" width="33" customWidth="1"/>
  </cols>
  <sheetData>
    <row r="1" ht="23.4" spans="1:2">
      <c r="A1" s="35" t="s">
        <v>12</v>
      </c>
      <c r="B1" s="35" t="s">
        <v>13</v>
      </c>
    </row>
    <row r="2" ht="21" spans="1:2">
      <c r="A2" s="14" t="s">
        <v>14</v>
      </c>
      <c r="B2" s="36">
        <f>IF(A2="",0,LEN(TRIM(A2))-LEN(SUBSTITUTE(A2," ",""))+1)</f>
        <v>13</v>
      </c>
    </row>
    <row r="3" ht="21" spans="1:3">
      <c r="A3" s="14" t="s">
        <v>15</v>
      </c>
      <c r="B3" s="36">
        <f t="shared" ref="B3:B16" si="0">IF(A3="",0,LEN(TRIM(A3))-LEN(SUBSTITUTE(A3," ",""))+1)</f>
        <v>14</v>
      </c>
      <c r="C3" s="9" t="s">
        <v>16</v>
      </c>
    </row>
    <row r="4" ht="21" spans="1:2">
      <c r="A4" s="14" t="s">
        <v>17</v>
      </c>
      <c r="B4" s="36">
        <f t="shared" si="0"/>
        <v>12</v>
      </c>
    </row>
    <row r="5" ht="21" spans="1:3">
      <c r="A5" s="14" t="s">
        <v>18</v>
      </c>
      <c r="B5" s="36">
        <f t="shared" si="0"/>
        <v>12</v>
      </c>
      <c r="C5" t="s">
        <v>19</v>
      </c>
    </row>
    <row r="6" ht="21" spans="1:2">
      <c r="A6" s="14" t="s">
        <v>20</v>
      </c>
      <c r="B6" s="36">
        <f t="shared" si="0"/>
        <v>12</v>
      </c>
    </row>
    <row r="7" ht="21" spans="1:3">
      <c r="A7" s="14" t="s">
        <v>21</v>
      </c>
      <c r="B7" s="36">
        <f t="shared" si="0"/>
        <v>10</v>
      </c>
      <c r="C7" s="9" t="s">
        <v>22</v>
      </c>
    </row>
    <row r="8" ht="21" spans="1:12">
      <c r="A8" s="14" t="s">
        <v>23</v>
      </c>
      <c r="B8" s="36">
        <f t="shared" si="0"/>
        <v>12</v>
      </c>
      <c r="G8" s="34" t="s">
        <v>24</v>
      </c>
      <c r="H8" s="34"/>
      <c r="I8" s="34"/>
      <c r="J8" s="34"/>
      <c r="K8" s="34"/>
      <c r="L8" s="34"/>
    </row>
    <row r="9" ht="21" spans="1:12">
      <c r="A9" s="14" t="s">
        <v>25</v>
      </c>
      <c r="B9" s="36">
        <f t="shared" si="0"/>
        <v>13</v>
      </c>
      <c r="G9" s="34"/>
      <c r="H9" s="34"/>
      <c r="I9" s="34"/>
      <c r="J9" s="34"/>
      <c r="K9" s="34"/>
      <c r="L9" s="34"/>
    </row>
    <row r="10" ht="21" spans="1:12">
      <c r="A10" s="14" t="s">
        <v>26</v>
      </c>
      <c r="B10" s="36">
        <f t="shared" si="0"/>
        <v>12</v>
      </c>
      <c r="G10" s="34"/>
      <c r="H10" s="34"/>
      <c r="I10" s="34"/>
      <c r="J10" s="34"/>
      <c r="K10" s="34"/>
      <c r="L10" s="34"/>
    </row>
    <row r="11" ht="21" spans="1:12">
      <c r="A11" s="14" t="s">
        <v>27</v>
      </c>
      <c r="B11" s="36">
        <f t="shared" si="0"/>
        <v>10</v>
      </c>
      <c r="G11" s="34"/>
      <c r="H11" s="34"/>
      <c r="I11" s="34"/>
      <c r="J11" s="34"/>
      <c r="K11" s="34"/>
      <c r="L11" s="34"/>
    </row>
    <row r="12" ht="21" spans="1:12">
      <c r="A12" s="14" t="s">
        <v>28</v>
      </c>
      <c r="B12" s="36">
        <f t="shared" si="0"/>
        <v>12</v>
      </c>
      <c r="G12" s="34"/>
      <c r="H12" s="34"/>
      <c r="I12" s="34"/>
      <c r="J12" s="34"/>
      <c r="K12" s="34"/>
      <c r="L12" s="34"/>
    </row>
    <row r="13" ht="21" spans="1:2">
      <c r="A13" s="14" t="s">
        <v>29</v>
      </c>
      <c r="B13" s="36">
        <f t="shared" si="0"/>
        <v>10</v>
      </c>
    </row>
    <row r="14" ht="21" spans="1:2">
      <c r="A14" s="14" t="s">
        <v>30</v>
      </c>
      <c r="B14" s="36">
        <f t="shared" si="0"/>
        <v>11</v>
      </c>
    </row>
    <row r="15" ht="21" spans="1:2">
      <c r="A15" s="14" t="s">
        <v>31</v>
      </c>
      <c r="B15" s="36">
        <f t="shared" si="0"/>
        <v>15</v>
      </c>
    </row>
    <row r="16" ht="21" spans="1:2">
      <c r="A16" s="14" t="s">
        <v>32</v>
      </c>
      <c r="B16" s="36">
        <f t="shared" si="0"/>
        <v>12</v>
      </c>
    </row>
  </sheetData>
  <mergeCells count="1">
    <mergeCell ref="G8:L12"/>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11"/>
  <sheetViews>
    <sheetView showGridLines="0" zoomScale="120" zoomScaleNormal="120" workbookViewId="0">
      <selection activeCell="F9" sqref="F9"/>
    </sheetView>
  </sheetViews>
  <sheetFormatPr defaultColWidth="11" defaultRowHeight="15"/>
  <cols>
    <col min="2" max="2" width="17.8787878787879" customWidth="1"/>
    <col min="3" max="3" width="14" customWidth="1"/>
    <col min="4" max="4" width="13" customWidth="1"/>
  </cols>
  <sheetData>
    <row r="1" ht="21" spans="2:4">
      <c r="B1" s="29" t="s">
        <v>33</v>
      </c>
      <c r="C1" s="29" t="s">
        <v>34</v>
      </c>
      <c r="D1" s="29" t="s">
        <v>35</v>
      </c>
    </row>
    <row r="2" ht="18" spans="2:6">
      <c r="B2" s="14" t="s">
        <v>36</v>
      </c>
      <c r="C2" s="33">
        <v>45432</v>
      </c>
      <c r="D2" s="33">
        <v>45448</v>
      </c>
      <c r="F2" s="9" t="s">
        <v>37</v>
      </c>
    </row>
    <row r="3" ht="18" spans="2:4">
      <c r="B3" s="14" t="s">
        <v>38</v>
      </c>
      <c r="C3" s="33">
        <v>45444</v>
      </c>
      <c r="D3" s="33">
        <v>45453</v>
      </c>
    </row>
    <row r="4" ht="18" spans="2:14">
      <c r="B4" s="14" t="s">
        <v>39</v>
      </c>
      <c r="C4" s="33">
        <v>45437</v>
      </c>
      <c r="D4" s="33">
        <v>45455</v>
      </c>
      <c r="F4" t="s">
        <v>40</v>
      </c>
      <c r="I4" s="34" t="s">
        <v>41</v>
      </c>
      <c r="J4" s="34"/>
      <c r="K4" s="34"/>
      <c r="L4" s="34"/>
      <c r="M4" s="34"/>
      <c r="N4" s="34"/>
    </row>
    <row r="5" ht="18" spans="2:14">
      <c r="B5" s="14" t="s">
        <v>42</v>
      </c>
      <c r="C5" s="33">
        <v>45446</v>
      </c>
      <c r="D5" s="33">
        <v>45451</v>
      </c>
      <c r="I5" s="34"/>
      <c r="J5" s="34"/>
      <c r="K5" s="34"/>
      <c r="L5" s="34"/>
      <c r="M5" s="34"/>
      <c r="N5" s="34"/>
    </row>
    <row r="6" ht="18" spans="2:14">
      <c r="B6" s="14" t="s">
        <v>43</v>
      </c>
      <c r="C6" s="33">
        <v>45448</v>
      </c>
      <c r="D6" s="33">
        <v>45595</v>
      </c>
      <c r="I6" s="34"/>
      <c r="J6" s="34"/>
      <c r="K6" s="34"/>
      <c r="L6" s="34"/>
      <c r="M6" s="34"/>
      <c r="N6" s="34"/>
    </row>
    <row r="7" ht="18" spans="2:14">
      <c r="B7" s="14" t="s">
        <v>44</v>
      </c>
      <c r="C7" s="33">
        <v>45442</v>
      </c>
      <c r="D7" s="33">
        <v>45452</v>
      </c>
      <c r="I7" s="34"/>
      <c r="J7" s="34"/>
      <c r="K7" s="34"/>
      <c r="L7" s="34"/>
      <c r="M7" s="34"/>
      <c r="N7" s="34"/>
    </row>
    <row r="8" ht="18" spans="2:14">
      <c r="B8" s="14" t="s">
        <v>45</v>
      </c>
      <c r="C8" s="33">
        <v>45445</v>
      </c>
      <c r="D8" s="33">
        <v>45456</v>
      </c>
      <c r="I8" s="34"/>
      <c r="J8" s="34"/>
      <c r="K8" s="34"/>
      <c r="L8" s="34"/>
      <c r="M8" s="34"/>
      <c r="N8" s="34"/>
    </row>
    <row r="9" ht="18" spans="2:4">
      <c r="B9" s="14" t="s">
        <v>46</v>
      </c>
      <c r="C9" s="33">
        <v>45447</v>
      </c>
      <c r="D9" s="33">
        <v>45457</v>
      </c>
    </row>
    <row r="10" ht="18" spans="2:4">
      <c r="B10" s="14" t="s">
        <v>47</v>
      </c>
      <c r="C10" s="33">
        <v>45449</v>
      </c>
      <c r="D10" s="33">
        <v>45459</v>
      </c>
    </row>
    <row r="11" ht="18" spans="2:4">
      <c r="B11" s="14" t="s">
        <v>48</v>
      </c>
      <c r="C11" s="33">
        <v>45440</v>
      </c>
      <c r="D11" s="33">
        <v>45454</v>
      </c>
    </row>
  </sheetData>
  <mergeCells count="1">
    <mergeCell ref="I4:N8"/>
  </mergeCells>
  <conditionalFormatting sqref="D2:D11">
    <cfRule type="expression" dxfId="0" priority="1">
      <formula>AND(D2&lt;=TODAY()+7,D2&gt;=TODAY(),D2&gt;=C2,D2&lt;&gt;"")</formula>
    </cfRule>
  </conditionalFormatting>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6"/>
  <sheetViews>
    <sheetView showGridLines="0" workbookViewId="0">
      <selection activeCell="H2" sqref="H2"/>
    </sheetView>
  </sheetViews>
  <sheetFormatPr defaultColWidth="11" defaultRowHeight="15"/>
  <cols>
    <col min="1" max="1" width="17.8787878787879" customWidth="1"/>
    <col min="2" max="2" width="15" customWidth="1"/>
    <col min="3" max="3" width="22.1287878787879" customWidth="1"/>
    <col min="4" max="4" width="13.1287878787879" customWidth="1"/>
    <col min="5" max="5" width="18" customWidth="1"/>
    <col min="6" max="6" width="14" customWidth="1"/>
    <col min="7" max="7" width="16.6287878787879" customWidth="1"/>
  </cols>
  <sheetData>
    <row r="1" ht="21" spans="1:7">
      <c r="A1" s="29" t="s">
        <v>49</v>
      </c>
      <c r="B1" s="29" t="s">
        <v>50</v>
      </c>
      <c r="C1" s="29" t="s">
        <v>51</v>
      </c>
      <c r="D1" s="29" t="s">
        <v>52</v>
      </c>
      <c r="E1" s="29" t="s">
        <v>53</v>
      </c>
      <c r="F1" s="29" t="s">
        <v>54</v>
      </c>
      <c r="G1" s="29" t="s">
        <v>55</v>
      </c>
    </row>
    <row r="2" ht="18" spans="1:8">
      <c r="A2" s="30" t="s">
        <v>56</v>
      </c>
      <c r="B2" s="30">
        <v>150</v>
      </c>
      <c r="C2" s="30">
        <v>50</v>
      </c>
      <c r="D2" s="30">
        <v>30</v>
      </c>
      <c r="E2" s="30">
        <v>20</v>
      </c>
      <c r="F2" s="30" t="s">
        <v>57</v>
      </c>
      <c r="G2">
        <f>ROUND(IF(B2=0,0,(B2-(C2+D2+E2))/B2*100),2)</f>
        <v>33.33</v>
      </c>
      <c r="H2" s="31"/>
    </row>
    <row r="3" ht="18" spans="1:15">
      <c r="A3" s="30" t="s">
        <v>58</v>
      </c>
      <c r="B3" s="30">
        <v>100</v>
      </c>
      <c r="C3" s="30">
        <v>40</v>
      </c>
      <c r="D3" s="30">
        <v>25</v>
      </c>
      <c r="E3" s="30">
        <v>15</v>
      </c>
      <c r="F3" s="30" t="s">
        <v>59</v>
      </c>
      <c r="G3">
        <f t="shared" ref="G3:G26" si="0">ROUND(IF(B3=0,0,(B3-(C3+D3+E3))/B3*100),2)</f>
        <v>20</v>
      </c>
      <c r="L3" s="2" t="s">
        <v>60</v>
      </c>
      <c r="M3" s="2"/>
      <c r="N3" s="2"/>
      <c r="O3" s="2"/>
    </row>
    <row r="4" ht="18" spans="1:15">
      <c r="A4" s="30" t="s">
        <v>61</v>
      </c>
      <c r="B4" s="30">
        <v>80</v>
      </c>
      <c r="C4" s="30">
        <v>35</v>
      </c>
      <c r="D4" s="30">
        <v>20</v>
      </c>
      <c r="E4" s="30">
        <v>10</v>
      </c>
      <c r="F4" s="30" t="s">
        <v>62</v>
      </c>
      <c r="G4">
        <f t="shared" si="0"/>
        <v>18.75</v>
      </c>
      <c r="L4" s="32" t="s">
        <v>63</v>
      </c>
      <c r="M4" s="32"/>
      <c r="N4" s="32"/>
      <c r="O4" s="32"/>
    </row>
    <row r="5" ht="18" spans="1:7">
      <c r="A5" s="30" t="s">
        <v>64</v>
      </c>
      <c r="B5" s="30">
        <v>200</v>
      </c>
      <c r="C5" s="30">
        <v>70</v>
      </c>
      <c r="D5" s="30">
        <v>40</v>
      </c>
      <c r="E5" s="30">
        <v>30</v>
      </c>
      <c r="F5" s="30" t="s">
        <v>57</v>
      </c>
      <c r="G5">
        <f t="shared" si="0"/>
        <v>30</v>
      </c>
    </row>
    <row r="6" ht="18" spans="1:7">
      <c r="A6" s="30" t="s">
        <v>65</v>
      </c>
      <c r="B6" s="30">
        <v>120</v>
      </c>
      <c r="C6" s="30">
        <v>50</v>
      </c>
      <c r="D6" s="30">
        <v>30</v>
      </c>
      <c r="E6" s="30">
        <v>20</v>
      </c>
      <c r="F6" s="30" t="s">
        <v>59</v>
      </c>
      <c r="G6">
        <f t="shared" si="0"/>
        <v>16.67</v>
      </c>
    </row>
    <row r="7" ht="18" spans="1:9">
      <c r="A7" s="30" t="s">
        <v>66</v>
      </c>
      <c r="B7" s="30">
        <v>60</v>
      </c>
      <c r="C7" s="30">
        <v>25</v>
      </c>
      <c r="D7" s="30">
        <v>15</v>
      </c>
      <c r="E7" s="30">
        <v>8</v>
      </c>
      <c r="F7" s="30" t="s">
        <v>62</v>
      </c>
      <c r="G7">
        <f t="shared" si="0"/>
        <v>20</v>
      </c>
      <c r="I7" s="9" t="s">
        <v>67</v>
      </c>
    </row>
    <row r="8" ht="18" spans="1:7">
      <c r="A8" s="30" t="s">
        <v>68</v>
      </c>
      <c r="B8" s="30">
        <v>180</v>
      </c>
      <c r="C8" s="30">
        <v>60</v>
      </c>
      <c r="D8" s="30">
        <v>35</v>
      </c>
      <c r="E8" s="30">
        <v>25</v>
      </c>
      <c r="F8" s="30" t="s">
        <v>57</v>
      </c>
      <c r="G8">
        <f t="shared" si="0"/>
        <v>33.33</v>
      </c>
    </row>
    <row r="9" ht="18" spans="1:7">
      <c r="A9" s="30" t="s">
        <v>69</v>
      </c>
      <c r="B9" s="30">
        <v>90</v>
      </c>
      <c r="C9" s="30">
        <v>35</v>
      </c>
      <c r="D9" s="30">
        <v>20</v>
      </c>
      <c r="E9" s="30">
        <v>12</v>
      </c>
      <c r="F9" s="30" t="s">
        <v>59</v>
      </c>
      <c r="G9">
        <f t="shared" si="0"/>
        <v>25.56</v>
      </c>
    </row>
    <row r="10" ht="18" spans="1:7">
      <c r="A10" s="30" t="s">
        <v>70</v>
      </c>
      <c r="B10" s="30">
        <v>70</v>
      </c>
      <c r="C10" s="30">
        <v>30</v>
      </c>
      <c r="D10" s="30">
        <v>18</v>
      </c>
      <c r="E10" s="30">
        <v>10</v>
      </c>
      <c r="F10" s="30" t="s">
        <v>62</v>
      </c>
      <c r="G10">
        <f t="shared" si="0"/>
        <v>17.14</v>
      </c>
    </row>
    <row r="11" ht="18" spans="1:7">
      <c r="A11" s="30" t="s">
        <v>71</v>
      </c>
      <c r="B11" s="30">
        <v>210</v>
      </c>
      <c r="C11" s="30">
        <v>75</v>
      </c>
      <c r="D11" s="30">
        <v>42</v>
      </c>
      <c r="E11" s="30">
        <v>28</v>
      </c>
      <c r="F11" s="30" t="s">
        <v>57</v>
      </c>
      <c r="G11">
        <f t="shared" si="0"/>
        <v>30.95</v>
      </c>
    </row>
    <row r="12" ht="18" spans="1:7">
      <c r="A12" s="30" t="s">
        <v>72</v>
      </c>
      <c r="B12" s="30">
        <v>110</v>
      </c>
      <c r="C12" s="30">
        <v>45</v>
      </c>
      <c r="D12" s="30">
        <v>28</v>
      </c>
      <c r="E12" s="30">
        <v>15</v>
      </c>
      <c r="F12" s="30" t="s">
        <v>59</v>
      </c>
      <c r="G12">
        <f t="shared" si="0"/>
        <v>20</v>
      </c>
    </row>
    <row r="13" ht="18" spans="1:7">
      <c r="A13" s="30" t="s">
        <v>73</v>
      </c>
      <c r="B13" s="30">
        <v>50</v>
      </c>
      <c r="C13" s="30">
        <v>20</v>
      </c>
      <c r="D13" s="30">
        <v>10</v>
      </c>
      <c r="E13" s="30">
        <v>5</v>
      </c>
      <c r="F13" s="30" t="s">
        <v>62</v>
      </c>
      <c r="G13">
        <f t="shared" si="0"/>
        <v>30</v>
      </c>
    </row>
    <row r="14" ht="18" spans="1:7">
      <c r="A14" s="30" t="s">
        <v>74</v>
      </c>
      <c r="B14" s="30">
        <v>190</v>
      </c>
      <c r="C14" s="30">
        <v>65</v>
      </c>
      <c r="D14" s="30">
        <v>38</v>
      </c>
      <c r="E14" s="30">
        <v>27</v>
      </c>
      <c r="F14" s="30" t="s">
        <v>57</v>
      </c>
      <c r="G14">
        <f t="shared" si="0"/>
        <v>31.58</v>
      </c>
    </row>
    <row r="15" ht="18" spans="1:7">
      <c r="A15" s="30" t="s">
        <v>75</v>
      </c>
      <c r="B15" s="30">
        <v>130</v>
      </c>
      <c r="C15" s="30">
        <v>55</v>
      </c>
      <c r="D15" s="30">
        <v>32</v>
      </c>
      <c r="E15" s="30">
        <v>18</v>
      </c>
      <c r="F15" s="30" t="s">
        <v>59</v>
      </c>
      <c r="G15">
        <f t="shared" si="0"/>
        <v>19.23</v>
      </c>
    </row>
    <row r="16" ht="18" spans="1:7">
      <c r="A16" s="30" t="s">
        <v>76</v>
      </c>
      <c r="B16" s="30">
        <v>75</v>
      </c>
      <c r="C16" s="30">
        <v>30</v>
      </c>
      <c r="D16" s="30">
        <v>17</v>
      </c>
      <c r="E16" s="30">
        <v>8</v>
      </c>
      <c r="F16" s="30" t="s">
        <v>62</v>
      </c>
      <c r="G16">
        <f t="shared" si="0"/>
        <v>26.67</v>
      </c>
    </row>
    <row r="17" ht="18" spans="1:7">
      <c r="A17" s="30" t="s">
        <v>77</v>
      </c>
      <c r="B17" s="30">
        <v>140</v>
      </c>
      <c r="C17" s="30">
        <v>55</v>
      </c>
      <c r="D17" s="30">
        <v>30</v>
      </c>
      <c r="E17" s="30">
        <v>20</v>
      </c>
      <c r="F17" s="30" t="s">
        <v>57</v>
      </c>
      <c r="G17">
        <f t="shared" si="0"/>
        <v>25</v>
      </c>
    </row>
    <row r="18" ht="18" spans="1:7">
      <c r="A18" s="30" t="s">
        <v>78</v>
      </c>
      <c r="B18" s="30">
        <v>95</v>
      </c>
      <c r="C18" s="30">
        <v>40</v>
      </c>
      <c r="D18" s="30">
        <v>22</v>
      </c>
      <c r="E18" s="30">
        <v>13</v>
      </c>
      <c r="F18" s="30" t="s">
        <v>59</v>
      </c>
      <c r="G18">
        <f t="shared" si="0"/>
        <v>21.05</v>
      </c>
    </row>
    <row r="19" ht="18" spans="1:7">
      <c r="A19" s="30" t="s">
        <v>79</v>
      </c>
      <c r="B19" s="30">
        <v>65</v>
      </c>
      <c r="C19" s="30">
        <v>25</v>
      </c>
      <c r="D19" s="30">
        <v>15</v>
      </c>
      <c r="E19" s="30">
        <v>7</v>
      </c>
      <c r="F19" s="30" t="s">
        <v>62</v>
      </c>
      <c r="G19">
        <f t="shared" si="0"/>
        <v>27.69</v>
      </c>
    </row>
    <row r="20" ht="18" spans="1:7">
      <c r="A20" s="30" t="s">
        <v>80</v>
      </c>
      <c r="B20" s="30">
        <v>160</v>
      </c>
      <c r="C20" s="30">
        <v>60</v>
      </c>
      <c r="D20" s="30">
        <v>33</v>
      </c>
      <c r="E20" s="30">
        <v>22</v>
      </c>
      <c r="F20" s="30" t="s">
        <v>57</v>
      </c>
      <c r="G20">
        <f t="shared" si="0"/>
        <v>28.13</v>
      </c>
    </row>
    <row r="21" ht="18" spans="1:7">
      <c r="A21" s="30" t="s">
        <v>81</v>
      </c>
      <c r="B21" s="30">
        <v>85</v>
      </c>
      <c r="C21" s="30">
        <v>35</v>
      </c>
      <c r="D21" s="30">
        <v>20</v>
      </c>
      <c r="E21" s="30">
        <v>11</v>
      </c>
      <c r="F21" s="30" t="s">
        <v>59</v>
      </c>
      <c r="G21">
        <f t="shared" si="0"/>
        <v>22.35</v>
      </c>
    </row>
    <row r="22" ht="18" spans="1:7">
      <c r="A22" s="30" t="s">
        <v>82</v>
      </c>
      <c r="B22" s="30">
        <v>55</v>
      </c>
      <c r="C22" s="30">
        <v>22</v>
      </c>
      <c r="D22" s="30">
        <v>12</v>
      </c>
      <c r="E22" s="30">
        <v>6</v>
      </c>
      <c r="F22" s="30" t="s">
        <v>62</v>
      </c>
      <c r="G22">
        <f t="shared" si="0"/>
        <v>27.27</v>
      </c>
    </row>
    <row r="23" ht="18" spans="1:7">
      <c r="A23" s="30" t="s">
        <v>83</v>
      </c>
      <c r="B23" s="30">
        <v>170</v>
      </c>
      <c r="C23" s="30">
        <v>65</v>
      </c>
      <c r="D23" s="30">
        <v>35</v>
      </c>
      <c r="E23" s="30">
        <v>25</v>
      </c>
      <c r="F23" s="30" t="s">
        <v>57</v>
      </c>
      <c r="G23">
        <f t="shared" si="0"/>
        <v>26.47</v>
      </c>
    </row>
    <row r="24" ht="18" spans="1:7">
      <c r="A24" s="30" t="s">
        <v>84</v>
      </c>
      <c r="B24" s="30">
        <v>105</v>
      </c>
      <c r="C24" s="30">
        <v>45</v>
      </c>
      <c r="D24" s="30">
        <v>25</v>
      </c>
      <c r="E24" s="30">
        <v>15</v>
      </c>
      <c r="F24" s="30" t="s">
        <v>59</v>
      </c>
      <c r="G24">
        <f t="shared" si="0"/>
        <v>19.05</v>
      </c>
    </row>
    <row r="25" ht="18" spans="1:7">
      <c r="A25" s="30" t="s">
        <v>85</v>
      </c>
      <c r="B25" s="30">
        <v>60</v>
      </c>
      <c r="C25" s="30">
        <v>28</v>
      </c>
      <c r="D25" s="30">
        <v>14</v>
      </c>
      <c r="E25" s="30">
        <v>7</v>
      </c>
      <c r="F25" s="30" t="s">
        <v>62</v>
      </c>
      <c r="G25">
        <f t="shared" si="0"/>
        <v>18.33</v>
      </c>
    </row>
    <row r="26" ht="18" spans="1:7">
      <c r="A26" s="30" t="s">
        <v>86</v>
      </c>
      <c r="B26" s="30">
        <v>150</v>
      </c>
      <c r="C26" s="30">
        <v>55</v>
      </c>
      <c r="D26" s="30">
        <v>30</v>
      </c>
      <c r="E26" s="30">
        <v>20</v>
      </c>
      <c r="F26" s="30" t="s">
        <v>57</v>
      </c>
      <c r="G26">
        <f t="shared" si="0"/>
        <v>30</v>
      </c>
    </row>
  </sheetData>
  <mergeCells count="2">
    <mergeCell ref="L3:O3"/>
    <mergeCell ref="L4:O4"/>
  </mergeCell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
  <sheetViews>
    <sheetView showGridLines="0" workbookViewId="0">
      <selection activeCell="E10" sqref="E10"/>
    </sheetView>
  </sheetViews>
  <sheetFormatPr defaultColWidth="11" defaultRowHeight="15"/>
  <cols>
    <col min="1" max="1" width="22.5" customWidth="1"/>
    <col min="2" max="2" width="9.87878787878788" customWidth="1"/>
    <col min="3" max="3" width="13.8787878787879" customWidth="1"/>
    <col min="5" max="5" width="22.5" customWidth="1"/>
    <col min="6" max="6" width="11" customWidth="1"/>
    <col min="7" max="7" width="15.1287878787879" customWidth="1"/>
    <col min="8" max="8" width="13.1287878787879" customWidth="1"/>
    <col min="9" max="9" width="23.6287878787879" customWidth="1"/>
    <col min="10" max="10" width="18.1287878787879" customWidth="1"/>
    <col min="11" max="11" width="9.37878787878788" customWidth="1"/>
    <col min="12" max="12" width="18.3787878787879" customWidth="1"/>
    <col min="13" max="13" width="29.6287878787879" customWidth="1"/>
  </cols>
  <sheetData>
    <row r="1" ht="23.4" spans="1:13">
      <c r="A1" s="19" t="s">
        <v>87</v>
      </c>
      <c r="B1" s="19" t="s">
        <v>88</v>
      </c>
      <c r="C1" s="19" t="s">
        <v>89</v>
      </c>
      <c r="E1" s="20" t="s">
        <v>87</v>
      </c>
      <c r="F1" s="21" t="s">
        <v>90</v>
      </c>
      <c r="G1" s="21" t="s">
        <v>91</v>
      </c>
      <c r="H1" s="21" t="s">
        <v>92</v>
      </c>
      <c r="I1" s="21" t="s">
        <v>93</v>
      </c>
      <c r="J1" s="25" t="s">
        <v>94</v>
      </c>
      <c r="L1" s="2" t="s">
        <v>60</v>
      </c>
      <c r="M1" s="2" t="s">
        <v>95</v>
      </c>
    </row>
    <row r="2" ht="18" spans="1:13">
      <c r="A2" s="15" t="s">
        <v>96</v>
      </c>
      <c r="B2" s="22">
        <v>45444</v>
      </c>
      <c r="C2" s="15" t="s">
        <v>90</v>
      </c>
      <c r="E2" s="23" t="s">
        <v>96</v>
      </c>
      <c r="F2" s="11">
        <f>COUNTIFS(A:A,E2,C:C,"Present")</f>
        <v>3</v>
      </c>
      <c r="G2" s="11">
        <f>COUNTIFS(A:A,E2,C:C,"Absent")</f>
        <v>1</v>
      </c>
      <c r="H2" s="11">
        <f>COUNTIFS(A:A,E2,C:C,"Late")</f>
        <v>1</v>
      </c>
      <c r="I2" s="11" t="str">
        <f>IF(G2&gt;2,"Yes","No")</f>
        <v>No</v>
      </c>
      <c r="J2" s="26" t="str">
        <f>IF(H2&gt;3,"Yes","No")</f>
        <v>No</v>
      </c>
      <c r="L2" s="27" t="s">
        <v>90</v>
      </c>
      <c r="M2" s="28" t="s">
        <v>97</v>
      </c>
    </row>
    <row r="3" ht="18" spans="1:13">
      <c r="A3" s="15" t="s">
        <v>98</v>
      </c>
      <c r="B3" s="22">
        <v>45444</v>
      </c>
      <c r="C3" s="15" t="s">
        <v>91</v>
      </c>
      <c r="E3" s="23" t="s">
        <v>98</v>
      </c>
      <c r="F3" s="11">
        <f t="shared" ref="F3:F4" si="0">COUNTIFS(A:A,E3,C:C,"Present")</f>
        <v>2</v>
      </c>
      <c r="G3" s="11">
        <f t="shared" ref="G3:G4" si="1">COUNTIFS(A:A,E3,C:C,"Absent")</f>
        <v>2</v>
      </c>
      <c r="H3" s="11">
        <f t="shared" ref="H3:H4" si="2">COUNTIFS(A:A,E3,C:C,"Late")</f>
        <v>1</v>
      </c>
      <c r="I3" s="11" t="str">
        <f t="shared" ref="I3:I4" si="3">IF(G3&gt;2,"Yes","No")</f>
        <v>No</v>
      </c>
      <c r="J3" s="26" t="str">
        <f t="shared" ref="J3:J4" si="4">IF(H3&gt;3,"Yes","No")</f>
        <v>No</v>
      </c>
      <c r="L3" s="27" t="s">
        <v>91</v>
      </c>
      <c r="M3" s="28" t="s">
        <v>97</v>
      </c>
    </row>
    <row r="4" ht="18" spans="1:13">
      <c r="A4" s="15" t="s">
        <v>99</v>
      </c>
      <c r="B4" s="22">
        <v>45444</v>
      </c>
      <c r="C4" s="15" t="s">
        <v>92</v>
      </c>
      <c r="E4" s="24" t="s">
        <v>99</v>
      </c>
      <c r="F4" s="11">
        <f t="shared" si="0"/>
        <v>2</v>
      </c>
      <c r="G4" s="11">
        <f t="shared" si="1"/>
        <v>0</v>
      </c>
      <c r="H4" s="11">
        <f t="shared" si="2"/>
        <v>3</v>
      </c>
      <c r="I4" s="11" t="str">
        <f t="shared" si="3"/>
        <v>No</v>
      </c>
      <c r="J4" s="26" t="str">
        <f t="shared" si="4"/>
        <v>No</v>
      </c>
      <c r="L4" s="27" t="s">
        <v>92</v>
      </c>
      <c r="M4" s="28" t="s">
        <v>97</v>
      </c>
    </row>
    <row r="5" ht="18" spans="1:13">
      <c r="A5" s="15" t="s">
        <v>96</v>
      </c>
      <c r="B5" s="22">
        <v>45445</v>
      </c>
      <c r="C5" s="15" t="s">
        <v>90</v>
      </c>
      <c r="L5" s="27" t="s">
        <v>93</v>
      </c>
      <c r="M5" s="28" t="s">
        <v>100</v>
      </c>
    </row>
    <row r="6" ht="18" spans="1:13">
      <c r="A6" s="15" t="s">
        <v>98</v>
      </c>
      <c r="B6" s="22">
        <v>45445</v>
      </c>
      <c r="C6" s="15" t="s">
        <v>90</v>
      </c>
      <c r="L6" s="27" t="s">
        <v>94</v>
      </c>
      <c r="M6" s="28" t="s">
        <v>101</v>
      </c>
    </row>
    <row r="7" ht="18" spans="1:3">
      <c r="A7" s="15" t="s">
        <v>99</v>
      </c>
      <c r="B7" s="22">
        <v>45445</v>
      </c>
      <c r="C7" s="15" t="s">
        <v>92</v>
      </c>
    </row>
    <row r="8" ht="18" spans="1:3">
      <c r="A8" s="15" t="s">
        <v>96</v>
      </c>
      <c r="B8" s="22">
        <v>45446</v>
      </c>
      <c r="C8" s="15" t="s">
        <v>92</v>
      </c>
    </row>
    <row r="9" ht="18" spans="1:3">
      <c r="A9" s="15" t="s">
        <v>98</v>
      </c>
      <c r="B9" s="22">
        <v>45446</v>
      </c>
      <c r="C9" s="15" t="s">
        <v>91</v>
      </c>
    </row>
    <row r="10" ht="18" spans="1:5">
      <c r="A10" s="15" t="s">
        <v>99</v>
      </c>
      <c r="B10" s="22">
        <v>45446</v>
      </c>
      <c r="C10" s="15" t="s">
        <v>90</v>
      </c>
      <c r="E10" s="9" t="s">
        <v>102</v>
      </c>
    </row>
    <row r="11" ht="18" spans="1:3">
      <c r="A11" s="15" t="s">
        <v>96</v>
      </c>
      <c r="B11" s="22">
        <v>45447</v>
      </c>
      <c r="C11" s="15" t="s">
        <v>91</v>
      </c>
    </row>
    <row r="12" ht="18" spans="1:5">
      <c r="A12" s="15" t="s">
        <v>98</v>
      </c>
      <c r="B12" s="22">
        <v>45447</v>
      </c>
      <c r="C12" s="15" t="s">
        <v>90</v>
      </c>
      <c r="E12" s="9" t="s">
        <v>103</v>
      </c>
    </row>
    <row r="13" ht="18" spans="1:3">
      <c r="A13" s="15" t="s">
        <v>99</v>
      </c>
      <c r="B13" s="22">
        <v>45447</v>
      </c>
      <c r="C13" s="15" t="s">
        <v>92</v>
      </c>
    </row>
    <row r="14" ht="18" spans="1:5">
      <c r="A14" s="15" t="s">
        <v>96</v>
      </c>
      <c r="B14" s="22">
        <v>45448</v>
      </c>
      <c r="C14" s="15" t="s">
        <v>90</v>
      </c>
      <c r="E14" s="9" t="s">
        <v>104</v>
      </c>
    </row>
    <row r="15" ht="18" spans="1:3">
      <c r="A15" s="15" t="s">
        <v>98</v>
      </c>
      <c r="B15" s="22">
        <v>45448</v>
      </c>
      <c r="C15" s="15" t="s">
        <v>92</v>
      </c>
    </row>
    <row r="16" ht="18" spans="1:3">
      <c r="A16" s="15" t="s">
        <v>99</v>
      </c>
      <c r="B16" s="22">
        <v>45448</v>
      </c>
      <c r="C16" s="15" t="s">
        <v>90</v>
      </c>
    </row>
  </sheetData>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6"/>
  <sheetViews>
    <sheetView showGridLines="0" workbookViewId="0">
      <selection activeCell="H10" sqref="H10"/>
    </sheetView>
  </sheetViews>
  <sheetFormatPr defaultColWidth="11" defaultRowHeight="15"/>
  <cols>
    <col min="1" max="1" width="15.1287878787879" customWidth="1"/>
    <col min="2" max="2" width="11" customWidth="1"/>
    <col min="3" max="3" width="17.6287878787879" customWidth="1"/>
    <col min="4" max="4" width="15" customWidth="1"/>
    <col min="5" max="5" width="17.3787878787879" customWidth="1"/>
    <col min="6" max="6" width="26.1287878787879" customWidth="1"/>
    <col min="13" max="13" width="57.8787878787879" customWidth="1"/>
  </cols>
  <sheetData>
    <row r="1" ht="18" spans="1:6">
      <c r="A1" s="2" t="s">
        <v>49</v>
      </c>
      <c r="B1" s="2" t="s">
        <v>105</v>
      </c>
      <c r="C1" s="2" t="s">
        <v>106</v>
      </c>
      <c r="D1" s="2" t="s">
        <v>107</v>
      </c>
      <c r="E1" s="2" t="s">
        <v>108</v>
      </c>
      <c r="F1" s="2" t="s">
        <v>109</v>
      </c>
    </row>
    <row r="2" ht="18" spans="1:6">
      <c r="A2" s="14" t="s">
        <v>56</v>
      </c>
      <c r="B2" s="15">
        <v>50</v>
      </c>
      <c r="C2" s="15">
        <v>48</v>
      </c>
      <c r="D2" s="14" t="s">
        <v>110</v>
      </c>
      <c r="E2" s="16">
        <v>1.05</v>
      </c>
      <c r="F2" s="17">
        <f>ROUND(IF(C2&lt;B2,B2*0.98,B2)*IF(D2="High",1.05,1)*E2,1)</f>
        <v>54</v>
      </c>
    </row>
    <row r="3" ht="18" spans="1:13">
      <c r="A3" s="14" t="s">
        <v>58</v>
      </c>
      <c r="B3" s="15">
        <v>30</v>
      </c>
      <c r="C3" s="15">
        <v>32</v>
      </c>
      <c r="D3" s="14" t="s">
        <v>111</v>
      </c>
      <c r="E3" s="16">
        <v>1.02</v>
      </c>
      <c r="F3" s="17">
        <f t="shared" ref="F3:F26" si="0">ROUND(IF(C3&lt;B3,B3*0.98,B3)*IF(D3="High",1.05,1)*E3,1)</f>
        <v>30.6</v>
      </c>
      <c r="K3" s="2" t="s">
        <v>60</v>
      </c>
      <c r="L3" s="2"/>
      <c r="M3" s="2"/>
    </row>
    <row r="4" ht="18" spans="1:13">
      <c r="A4" s="14" t="s">
        <v>61</v>
      </c>
      <c r="B4" s="15">
        <v>20</v>
      </c>
      <c r="C4" s="15">
        <v>18</v>
      </c>
      <c r="D4" s="14" t="s">
        <v>112</v>
      </c>
      <c r="E4" s="16">
        <v>0.98</v>
      </c>
      <c r="F4" s="17">
        <f t="shared" si="0"/>
        <v>19.2</v>
      </c>
      <c r="K4" s="18" t="s">
        <v>113</v>
      </c>
      <c r="L4" s="18"/>
      <c r="M4" s="18"/>
    </row>
    <row r="5" ht="18" spans="1:13">
      <c r="A5" s="14" t="s">
        <v>64</v>
      </c>
      <c r="B5" s="15">
        <v>45</v>
      </c>
      <c r="C5" s="15">
        <v>47</v>
      </c>
      <c r="D5" s="14" t="s">
        <v>110</v>
      </c>
      <c r="E5" s="16">
        <v>1.08</v>
      </c>
      <c r="F5" s="17">
        <f t="shared" si="0"/>
        <v>51</v>
      </c>
      <c r="K5" s="18" t="s">
        <v>114</v>
      </c>
      <c r="L5" s="18"/>
      <c r="M5" s="18"/>
    </row>
    <row r="6" ht="18" spans="1:13">
      <c r="A6" s="14" t="s">
        <v>65</v>
      </c>
      <c r="B6" s="15">
        <v>60</v>
      </c>
      <c r="C6" s="15">
        <v>55</v>
      </c>
      <c r="D6" s="14" t="s">
        <v>111</v>
      </c>
      <c r="E6" s="16">
        <v>1.03</v>
      </c>
      <c r="F6" s="17">
        <f t="shared" si="0"/>
        <v>60.6</v>
      </c>
      <c r="K6" s="18" t="s">
        <v>115</v>
      </c>
      <c r="L6" s="18"/>
      <c r="M6" s="18"/>
    </row>
    <row r="7" ht="18" spans="1:6">
      <c r="A7" s="14" t="s">
        <v>66</v>
      </c>
      <c r="B7" s="15">
        <v>35</v>
      </c>
      <c r="C7" s="15">
        <v>33</v>
      </c>
      <c r="D7" s="14" t="s">
        <v>112</v>
      </c>
      <c r="E7" s="16">
        <v>0.97</v>
      </c>
      <c r="F7" s="17">
        <f t="shared" si="0"/>
        <v>33.3</v>
      </c>
    </row>
    <row r="8" ht="18" spans="1:6">
      <c r="A8" s="14" t="s">
        <v>68</v>
      </c>
      <c r="B8" s="15">
        <v>25</v>
      </c>
      <c r="C8" s="15">
        <v>24</v>
      </c>
      <c r="D8" s="14" t="s">
        <v>110</v>
      </c>
      <c r="E8" s="16">
        <v>1.06</v>
      </c>
      <c r="F8" s="17">
        <f t="shared" si="0"/>
        <v>27.3</v>
      </c>
    </row>
    <row r="9" ht="18" spans="1:6">
      <c r="A9" s="14" t="s">
        <v>69</v>
      </c>
      <c r="B9" s="15">
        <v>40</v>
      </c>
      <c r="C9" s="15">
        <v>39</v>
      </c>
      <c r="D9" s="14" t="s">
        <v>111</v>
      </c>
      <c r="E9" s="16">
        <v>1.01</v>
      </c>
      <c r="F9" s="17">
        <f t="shared" si="0"/>
        <v>39.6</v>
      </c>
    </row>
    <row r="10" ht="18" spans="1:8">
      <c r="A10" s="14" t="s">
        <v>70</v>
      </c>
      <c r="B10" s="15">
        <v>55</v>
      </c>
      <c r="C10" s="15">
        <v>53</v>
      </c>
      <c r="D10" s="14" t="s">
        <v>112</v>
      </c>
      <c r="E10" s="16">
        <v>0.99</v>
      </c>
      <c r="F10" s="17">
        <f t="shared" si="0"/>
        <v>53.4</v>
      </c>
      <c r="H10" s="9" t="s">
        <v>116</v>
      </c>
    </row>
    <row r="11" ht="18" spans="1:6">
      <c r="A11" s="14" t="s">
        <v>71</v>
      </c>
      <c r="B11" s="15">
        <v>65</v>
      </c>
      <c r="C11" s="15">
        <v>68</v>
      </c>
      <c r="D11" s="14" t="s">
        <v>110</v>
      </c>
      <c r="E11" s="16">
        <v>1.07</v>
      </c>
      <c r="F11" s="17">
        <f t="shared" si="0"/>
        <v>73</v>
      </c>
    </row>
    <row r="12" ht="18" spans="1:6">
      <c r="A12" s="14" t="s">
        <v>72</v>
      </c>
      <c r="B12" s="15">
        <v>50</v>
      </c>
      <c r="C12" s="15">
        <v>49</v>
      </c>
      <c r="D12" s="14" t="s">
        <v>111</v>
      </c>
      <c r="E12" s="16">
        <v>1.04</v>
      </c>
      <c r="F12" s="17">
        <f t="shared" si="0"/>
        <v>51</v>
      </c>
    </row>
    <row r="13" ht="18" spans="1:6">
      <c r="A13" s="14" t="s">
        <v>73</v>
      </c>
      <c r="B13" s="15">
        <v>30</v>
      </c>
      <c r="C13" s="15">
        <v>28</v>
      </c>
      <c r="D13" s="14" t="s">
        <v>112</v>
      </c>
      <c r="E13" s="16">
        <v>0.96</v>
      </c>
      <c r="F13" s="17">
        <f t="shared" si="0"/>
        <v>28.2</v>
      </c>
    </row>
    <row r="14" ht="18" spans="1:6">
      <c r="A14" s="14" t="s">
        <v>74</v>
      </c>
      <c r="B14" s="15">
        <v>20</v>
      </c>
      <c r="C14" s="15">
        <v>22</v>
      </c>
      <c r="D14" s="14" t="s">
        <v>110</v>
      </c>
      <c r="E14" s="16">
        <v>1.09</v>
      </c>
      <c r="F14" s="17">
        <f t="shared" si="0"/>
        <v>22.9</v>
      </c>
    </row>
    <row r="15" ht="18" spans="1:6">
      <c r="A15" s="14" t="s">
        <v>75</v>
      </c>
      <c r="B15" s="15">
        <v>45</v>
      </c>
      <c r="C15" s="15">
        <v>44</v>
      </c>
      <c r="D15" s="14" t="s">
        <v>111</v>
      </c>
      <c r="E15" s="16">
        <v>1.02</v>
      </c>
      <c r="F15" s="17">
        <f t="shared" si="0"/>
        <v>45</v>
      </c>
    </row>
    <row r="16" ht="18" spans="1:6">
      <c r="A16" s="14" t="s">
        <v>76</v>
      </c>
      <c r="B16" s="15">
        <v>60</v>
      </c>
      <c r="C16" s="15">
        <v>62</v>
      </c>
      <c r="D16" s="14" t="s">
        <v>112</v>
      </c>
      <c r="E16" s="16">
        <v>0.98</v>
      </c>
      <c r="F16" s="17">
        <f t="shared" si="0"/>
        <v>58.8</v>
      </c>
    </row>
    <row r="17" ht="18" spans="1:6">
      <c r="A17" s="14" t="s">
        <v>77</v>
      </c>
      <c r="B17" s="15">
        <v>35</v>
      </c>
      <c r="C17" s="15">
        <v>36</v>
      </c>
      <c r="D17" s="14" t="s">
        <v>110</v>
      </c>
      <c r="E17" s="16">
        <v>1.05</v>
      </c>
      <c r="F17" s="17">
        <f t="shared" si="0"/>
        <v>38.6</v>
      </c>
    </row>
    <row r="18" ht="18" spans="1:6">
      <c r="A18" s="14" t="s">
        <v>78</v>
      </c>
      <c r="B18" s="15">
        <v>25</v>
      </c>
      <c r="C18" s="15">
        <v>27</v>
      </c>
      <c r="D18" s="14" t="s">
        <v>111</v>
      </c>
      <c r="E18" s="16">
        <v>1.03</v>
      </c>
      <c r="F18" s="17">
        <f t="shared" si="0"/>
        <v>25.8</v>
      </c>
    </row>
    <row r="19" ht="18" spans="1:6">
      <c r="A19" s="14" t="s">
        <v>79</v>
      </c>
      <c r="B19" s="15">
        <v>40</v>
      </c>
      <c r="C19" s="15">
        <v>41</v>
      </c>
      <c r="D19" s="14" t="s">
        <v>112</v>
      </c>
      <c r="E19" s="16">
        <v>0.97</v>
      </c>
      <c r="F19" s="17">
        <f t="shared" si="0"/>
        <v>38.8</v>
      </c>
    </row>
    <row r="20" ht="18" spans="1:6">
      <c r="A20" s="14" t="s">
        <v>80</v>
      </c>
      <c r="B20" s="15">
        <v>55</v>
      </c>
      <c r="C20" s="15">
        <v>54</v>
      </c>
      <c r="D20" s="14" t="s">
        <v>110</v>
      </c>
      <c r="E20" s="16">
        <v>1.06</v>
      </c>
      <c r="F20" s="17">
        <f t="shared" si="0"/>
        <v>60</v>
      </c>
    </row>
    <row r="21" ht="18" spans="1:6">
      <c r="A21" s="14" t="s">
        <v>81</v>
      </c>
      <c r="B21" s="15">
        <v>65</v>
      </c>
      <c r="C21" s="15">
        <v>63</v>
      </c>
      <c r="D21" s="14" t="s">
        <v>111</v>
      </c>
      <c r="E21" s="16">
        <v>1.01</v>
      </c>
      <c r="F21" s="17">
        <f t="shared" si="0"/>
        <v>64.3</v>
      </c>
    </row>
    <row r="22" ht="18" spans="1:6">
      <c r="A22" s="14" t="s">
        <v>82</v>
      </c>
      <c r="B22" s="15">
        <v>50</v>
      </c>
      <c r="C22" s="15">
        <v>52</v>
      </c>
      <c r="D22" s="14" t="s">
        <v>112</v>
      </c>
      <c r="E22" s="16">
        <v>0.99</v>
      </c>
      <c r="F22" s="17">
        <f t="shared" si="0"/>
        <v>49.5</v>
      </c>
    </row>
    <row r="23" ht="18" spans="1:6">
      <c r="A23" s="14" t="s">
        <v>83</v>
      </c>
      <c r="B23" s="15">
        <v>30</v>
      </c>
      <c r="C23" s="15">
        <v>29</v>
      </c>
      <c r="D23" s="14" t="s">
        <v>110</v>
      </c>
      <c r="E23" s="16">
        <v>1.07</v>
      </c>
      <c r="F23" s="17">
        <f t="shared" si="0"/>
        <v>33</v>
      </c>
    </row>
    <row r="24" ht="18" spans="1:6">
      <c r="A24" s="14" t="s">
        <v>84</v>
      </c>
      <c r="B24" s="15">
        <v>20</v>
      </c>
      <c r="C24" s="15">
        <v>21</v>
      </c>
      <c r="D24" s="14" t="s">
        <v>111</v>
      </c>
      <c r="E24" s="16">
        <v>1.04</v>
      </c>
      <c r="F24" s="17">
        <f t="shared" si="0"/>
        <v>20.8</v>
      </c>
    </row>
    <row r="25" ht="18" spans="1:6">
      <c r="A25" s="14" t="s">
        <v>85</v>
      </c>
      <c r="B25" s="15">
        <v>45</v>
      </c>
      <c r="C25" s="15">
        <v>43</v>
      </c>
      <c r="D25" s="14" t="s">
        <v>112</v>
      </c>
      <c r="E25" s="16">
        <v>0.96</v>
      </c>
      <c r="F25" s="17">
        <f t="shared" si="0"/>
        <v>42.3</v>
      </c>
    </row>
    <row r="26" ht="18" spans="1:6">
      <c r="A26" s="14" t="s">
        <v>86</v>
      </c>
      <c r="B26" s="15">
        <v>60</v>
      </c>
      <c r="C26" s="15">
        <v>58</v>
      </c>
      <c r="D26" s="14" t="s">
        <v>110</v>
      </c>
      <c r="E26" s="16">
        <v>1.08</v>
      </c>
      <c r="F26" s="17">
        <f t="shared" si="0"/>
        <v>66.7</v>
      </c>
    </row>
  </sheetData>
  <mergeCells count="4">
    <mergeCell ref="K3:M3"/>
    <mergeCell ref="K4:M4"/>
    <mergeCell ref="K5:M5"/>
    <mergeCell ref="K6:M6"/>
  </mergeCells>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6"/>
  <sheetViews>
    <sheetView showGridLines="0" workbookViewId="0">
      <selection activeCell="G1" sqref="G$1:G$1048576"/>
    </sheetView>
  </sheetViews>
  <sheetFormatPr defaultColWidth="10.8787878787879" defaultRowHeight="18"/>
  <cols>
    <col min="1" max="1" width="15.5" style="10" customWidth="1"/>
    <col min="2" max="2" width="7" style="10" customWidth="1"/>
    <col min="3" max="3" width="10.5" style="10" customWidth="1"/>
    <col min="4" max="4" width="18.8787878787879" style="10" customWidth="1"/>
    <col min="5" max="5" width="22" style="10" customWidth="1"/>
    <col min="6" max="6" width="23.6287878787879" style="10" customWidth="1"/>
    <col min="7" max="7" width="42.8787878787879" style="10" customWidth="1"/>
    <col min="8" max="16384" width="10.8787878787879" style="10"/>
  </cols>
  <sheetData>
    <row r="1" spans="1:7">
      <c r="A1" s="2" t="s">
        <v>117</v>
      </c>
      <c r="B1" s="2" t="s">
        <v>118</v>
      </c>
      <c r="C1" s="2" t="s">
        <v>119</v>
      </c>
      <c r="D1" s="2" t="s">
        <v>120</v>
      </c>
      <c r="E1" s="2" t="s">
        <v>121</v>
      </c>
      <c r="F1" s="2" t="s">
        <v>122</v>
      </c>
      <c r="G1" s="2" t="s">
        <v>123</v>
      </c>
    </row>
    <row r="2" spans="1:7">
      <c r="A2" s="3" t="s">
        <v>124</v>
      </c>
      <c r="B2" s="3">
        <v>40</v>
      </c>
      <c r="C2" s="3" t="s">
        <v>125</v>
      </c>
      <c r="D2" s="3">
        <v>50</v>
      </c>
      <c r="E2" s="6">
        <v>45444</v>
      </c>
      <c r="F2" s="3">
        <v>75</v>
      </c>
      <c r="G2" s="11" t="str">
        <f ca="1" t="shared" ref="G2:G26" si="0">IF(D2&gt;50,"High-Value Customer, ","")&amp;IF(F2&gt;70,"Engaged Customer, ","")&amp;IF(AND(E2&gt;=TODAY()-7,E2&lt;=TODAY()),"Recent Purchaser, ","")&amp;IF(AND(D2&lt;=50,F2&lt;=70,NOT(AND(E2&gt;=TODAY()-7,E2&lt;=TODAY()))),"No action required","")</f>
        <v>Engaged Customer, </v>
      </c>
    </row>
    <row r="3" spans="1:17">
      <c r="A3" s="3" t="s">
        <v>126</v>
      </c>
      <c r="B3" s="3">
        <v>33</v>
      </c>
      <c r="C3" s="3" t="s">
        <v>127</v>
      </c>
      <c r="D3" s="3">
        <v>45</v>
      </c>
      <c r="E3" s="6">
        <v>45447</v>
      </c>
      <c r="F3" s="3">
        <v>85</v>
      </c>
      <c r="G3" s="11" t="str">
        <f ca="1" t="shared" si="0"/>
        <v>Engaged Customer, </v>
      </c>
      <c r="L3" s="2" t="s">
        <v>60</v>
      </c>
      <c r="M3" s="2"/>
      <c r="N3" s="2"/>
      <c r="O3" s="2"/>
      <c r="P3" s="2"/>
      <c r="Q3" s="2"/>
    </row>
    <row r="4" spans="1:12">
      <c r="A4" s="3" t="s">
        <v>128</v>
      </c>
      <c r="B4" s="3">
        <v>41</v>
      </c>
      <c r="C4" s="3" t="s">
        <v>125</v>
      </c>
      <c r="D4" s="3">
        <v>48</v>
      </c>
      <c r="E4" s="6">
        <v>45448</v>
      </c>
      <c r="F4" s="3">
        <v>80</v>
      </c>
      <c r="G4" s="11" t="str">
        <f ca="1" t="shared" si="0"/>
        <v>Engaged Customer, </v>
      </c>
      <c r="L4" s="12" t="s">
        <v>129</v>
      </c>
    </row>
    <row r="5" spans="1:12">
      <c r="A5" s="3" t="s">
        <v>130</v>
      </c>
      <c r="B5" s="3">
        <v>55</v>
      </c>
      <c r="C5" s="3" t="s">
        <v>127</v>
      </c>
      <c r="D5" s="3">
        <v>65</v>
      </c>
      <c r="E5" s="6">
        <v>45447</v>
      </c>
      <c r="F5" s="3">
        <v>70</v>
      </c>
      <c r="G5" s="11" t="str">
        <f ca="1" t="shared" si="0"/>
        <v>High-Value Customer, </v>
      </c>
      <c r="L5" s="12" t="s">
        <v>131</v>
      </c>
    </row>
    <row r="6" spans="1:12">
      <c r="A6" s="3" t="s">
        <v>132</v>
      </c>
      <c r="B6" s="3">
        <v>50</v>
      </c>
      <c r="C6" s="3" t="s">
        <v>127</v>
      </c>
      <c r="D6" s="3">
        <v>100</v>
      </c>
      <c r="E6" s="6">
        <v>45445</v>
      </c>
      <c r="F6" s="3">
        <v>80</v>
      </c>
      <c r="G6" s="11" t="str">
        <f ca="1" t="shared" si="0"/>
        <v>High-Value Customer, Engaged Customer, </v>
      </c>
      <c r="L6" s="12" t="s">
        <v>133</v>
      </c>
    </row>
    <row r="7" spans="1:7">
      <c r="A7" s="3" t="s">
        <v>134</v>
      </c>
      <c r="B7" s="3">
        <v>38</v>
      </c>
      <c r="C7" s="3" t="s">
        <v>125</v>
      </c>
      <c r="D7" s="3">
        <v>60</v>
      </c>
      <c r="E7" s="6">
        <v>45440</v>
      </c>
      <c r="F7" s="3">
        <v>90</v>
      </c>
      <c r="G7" s="11" t="str">
        <f ca="1" t="shared" si="0"/>
        <v>High-Value Customer, Engaged Customer, </v>
      </c>
    </row>
    <row r="8" spans="1:7">
      <c r="A8" s="3" t="s">
        <v>135</v>
      </c>
      <c r="B8" s="3">
        <v>26</v>
      </c>
      <c r="C8" s="3" t="s">
        <v>125</v>
      </c>
      <c r="D8" s="3">
        <v>55</v>
      </c>
      <c r="E8" s="6">
        <v>45446</v>
      </c>
      <c r="F8" s="3">
        <v>75</v>
      </c>
      <c r="G8" s="11" t="str">
        <f ca="1" t="shared" si="0"/>
        <v>High-Value Customer, Engaged Customer, </v>
      </c>
    </row>
    <row r="9" spans="1:7">
      <c r="A9" s="3" t="s">
        <v>136</v>
      </c>
      <c r="B9" s="3">
        <v>44</v>
      </c>
      <c r="C9" s="3" t="s">
        <v>125</v>
      </c>
      <c r="D9" s="3">
        <v>75</v>
      </c>
      <c r="E9" s="6">
        <v>45444</v>
      </c>
      <c r="F9" s="3">
        <v>95</v>
      </c>
      <c r="G9" s="11" t="str">
        <f ca="1" t="shared" si="0"/>
        <v>High-Value Customer, Engaged Customer, </v>
      </c>
    </row>
    <row r="10" spans="1:7">
      <c r="A10" s="3" t="s">
        <v>137</v>
      </c>
      <c r="B10" s="3">
        <v>25</v>
      </c>
      <c r="C10" s="3" t="s">
        <v>127</v>
      </c>
      <c r="D10" s="3">
        <v>15</v>
      </c>
      <c r="E10" s="6">
        <v>45432</v>
      </c>
      <c r="F10" s="3">
        <v>30</v>
      </c>
      <c r="G10" s="11" t="str">
        <f ca="1" t="shared" si="0"/>
        <v>No action required</v>
      </c>
    </row>
    <row r="11" spans="1:7">
      <c r="A11" s="3" t="s">
        <v>138</v>
      </c>
      <c r="B11" s="3">
        <v>35</v>
      </c>
      <c r="C11" s="3" t="s">
        <v>127</v>
      </c>
      <c r="D11" s="3">
        <v>5</v>
      </c>
      <c r="E11" s="6">
        <v>45446</v>
      </c>
      <c r="F11" s="3">
        <v>10</v>
      </c>
      <c r="G11" s="11" t="str">
        <f ca="1" t="shared" si="0"/>
        <v>No action required</v>
      </c>
    </row>
    <row r="12" spans="1:9">
      <c r="A12" s="3" t="s">
        <v>139</v>
      </c>
      <c r="B12" s="3">
        <v>28</v>
      </c>
      <c r="C12" s="3" t="s">
        <v>125</v>
      </c>
      <c r="D12" s="3">
        <v>20</v>
      </c>
      <c r="E12" s="6">
        <v>45437</v>
      </c>
      <c r="F12" s="3">
        <v>50</v>
      </c>
      <c r="G12" s="11" t="str">
        <f ca="1" t="shared" si="0"/>
        <v>No action required</v>
      </c>
      <c r="I12" s="13" t="s">
        <v>140</v>
      </c>
    </row>
    <row r="13" spans="1:7">
      <c r="A13" s="3" t="s">
        <v>141</v>
      </c>
      <c r="B13" s="3">
        <v>22</v>
      </c>
      <c r="C13" s="3" t="s">
        <v>125</v>
      </c>
      <c r="D13" s="3">
        <v>8</v>
      </c>
      <c r="E13" s="6">
        <v>45447</v>
      </c>
      <c r="F13" s="3">
        <v>40</v>
      </c>
      <c r="G13" s="11" t="str">
        <f ca="1" t="shared" si="0"/>
        <v>No action required</v>
      </c>
    </row>
    <row r="14" spans="1:7">
      <c r="A14" s="3" t="s">
        <v>142</v>
      </c>
      <c r="B14" s="3">
        <v>60</v>
      </c>
      <c r="C14" s="3" t="s">
        <v>127</v>
      </c>
      <c r="D14" s="3">
        <v>30</v>
      </c>
      <c r="E14" s="6">
        <v>45448</v>
      </c>
      <c r="F14" s="3">
        <v>60</v>
      </c>
      <c r="G14" s="11" t="str">
        <f ca="1" t="shared" si="0"/>
        <v>No action required</v>
      </c>
    </row>
    <row r="15" spans="1:7">
      <c r="A15" s="3" t="s">
        <v>143</v>
      </c>
      <c r="B15" s="3">
        <v>45</v>
      </c>
      <c r="C15" s="3" t="s">
        <v>125</v>
      </c>
      <c r="D15" s="3">
        <v>12</v>
      </c>
      <c r="E15" s="6">
        <v>45442</v>
      </c>
      <c r="F15" s="3">
        <v>20</v>
      </c>
      <c r="G15" s="11" t="str">
        <f ca="1" t="shared" si="0"/>
        <v>No action required</v>
      </c>
    </row>
    <row r="16" spans="1:7">
      <c r="A16" s="3" t="s">
        <v>144</v>
      </c>
      <c r="B16" s="3">
        <v>32</v>
      </c>
      <c r="C16" s="3" t="s">
        <v>127</v>
      </c>
      <c r="D16" s="3">
        <v>25</v>
      </c>
      <c r="E16" s="6">
        <v>45449</v>
      </c>
      <c r="F16" s="3">
        <v>70</v>
      </c>
      <c r="G16" s="11" t="str">
        <f ca="1" t="shared" si="0"/>
        <v>No action required</v>
      </c>
    </row>
    <row r="17" spans="1:7">
      <c r="A17" s="3" t="s">
        <v>145</v>
      </c>
      <c r="B17" s="3">
        <v>27</v>
      </c>
      <c r="C17" s="3" t="s">
        <v>127</v>
      </c>
      <c r="D17" s="3">
        <v>10</v>
      </c>
      <c r="E17" s="6">
        <v>45444</v>
      </c>
      <c r="F17" s="3">
        <v>15</v>
      </c>
      <c r="G17" s="11" t="str">
        <f ca="1" t="shared" si="0"/>
        <v>No action required</v>
      </c>
    </row>
    <row r="18" spans="1:7">
      <c r="A18" s="3" t="s">
        <v>146</v>
      </c>
      <c r="B18" s="3">
        <v>52</v>
      </c>
      <c r="C18" s="3" t="s">
        <v>125</v>
      </c>
      <c r="D18" s="3">
        <v>35</v>
      </c>
      <c r="E18" s="6">
        <v>45446</v>
      </c>
      <c r="F18" s="3">
        <v>55</v>
      </c>
      <c r="G18" s="11" t="str">
        <f ca="1" t="shared" si="0"/>
        <v>No action required</v>
      </c>
    </row>
    <row r="19" spans="1:7">
      <c r="A19" s="3" t="s">
        <v>147</v>
      </c>
      <c r="B19" s="3">
        <v>29</v>
      </c>
      <c r="C19" s="3" t="s">
        <v>125</v>
      </c>
      <c r="D19" s="3">
        <v>18</v>
      </c>
      <c r="E19" s="6">
        <v>45438</v>
      </c>
      <c r="F19" s="3">
        <v>65</v>
      </c>
      <c r="G19" s="11" t="str">
        <f ca="1" t="shared" si="0"/>
        <v>No action required</v>
      </c>
    </row>
    <row r="20" spans="1:7">
      <c r="A20" s="3" t="s">
        <v>148</v>
      </c>
      <c r="B20" s="3">
        <v>48</v>
      </c>
      <c r="C20" s="3" t="s">
        <v>127</v>
      </c>
      <c r="D20" s="3">
        <v>22</v>
      </c>
      <c r="E20" s="6">
        <v>45445</v>
      </c>
      <c r="F20" s="3">
        <v>25</v>
      </c>
      <c r="G20" s="11" t="str">
        <f ca="1" t="shared" si="0"/>
        <v>No action required</v>
      </c>
    </row>
    <row r="21" spans="1:7">
      <c r="A21" s="3" t="s">
        <v>149</v>
      </c>
      <c r="B21" s="3">
        <v>54</v>
      </c>
      <c r="C21" s="3" t="s">
        <v>127</v>
      </c>
      <c r="D21" s="3">
        <v>13</v>
      </c>
      <c r="E21" s="6">
        <v>45441</v>
      </c>
      <c r="F21" s="3">
        <v>35</v>
      </c>
      <c r="G21" s="11" t="str">
        <f ca="1" t="shared" si="0"/>
        <v>No action required</v>
      </c>
    </row>
    <row r="22" spans="1:7">
      <c r="A22" s="3" t="s">
        <v>150</v>
      </c>
      <c r="B22" s="3">
        <v>39</v>
      </c>
      <c r="C22" s="3" t="s">
        <v>125</v>
      </c>
      <c r="D22" s="3">
        <v>40</v>
      </c>
      <c r="E22" s="6">
        <v>45447</v>
      </c>
      <c r="F22" s="3">
        <v>50</v>
      </c>
      <c r="G22" s="11" t="str">
        <f ca="1" t="shared" si="0"/>
        <v>No action required</v>
      </c>
    </row>
    <row r="23" spans="1:7">
      <c r="A23" s="3" t="s">
        <v>151</v>
      </c>
      <c r="B23" s="3">
        <v>31</v>
      </c>
      <c r="C23" s="3" t="s">
        <v>127</v>
      </c>
      <c r="D23" s="3">
        <v>17</v>
      </c>
      <c r="E23" s="6">
        <v>45449</v>
      </c>
      <c r="F23" s="3">
        <v>20</v>
      </c>
      <c r="G23" s="11" t="str">
        <f ca="1" t="shared" si="0"/>
        <v>No action required</v>
      </c>
    </row>
    <row r="24" spans="1:7">
      <c r="A24" s="3" t="s">
        <v>152</v>
      </c>
      <c r="B24" s="3">
        <v>37</v>
      </c>
      <c r="C24" s="3" t="s">
        <v>127</v>
      </c>
      <c r="D24" s="3">
        <v>5</v>
      </c>
      <c r="E24" s="6">
        <v>45445</v>
      </c>
      <c r="F24" s="3">
        <v>30</v>
      </c>
      <c r="G24" s="11" t="str">
        <f ca="1" t="shared" si="0"/>
        <v>No action required</v>
      </c>
    </row>
    <row r="25" spans="1:7">
      <c r="A25" s="3" t="s">
        <v>153</v>
      </c>
      <c r="B25" s="3">
        <v>30</v>
      </c>
      <c r="C25" s="3" t="s">
        <v>127</v>
      </c>
      <c r="D25" s="3">
        <v>28</v>
      </c>
      <c r="E25" s="6">
        <v>45442</v>
      </c>
      <c r="F25" s="3">
        <v>55</v>
      </c>
      <c r="G25" s="11" t="str">
        <f ca="1" t="shared" si="0"/>
        <v>No action required</v>
      </c>
    </row>
    <row r="26" spans="1:7">
      <c r="A26" s="3" t="s">
        <v>154</v>
      </c>
      <c r="B26" s="3">
        <v>36</v>
      </c>
      <c r="C26" s="3" t="s">
        <v>125</v>
      </c>
      <c r="D26" s="3">
        <v>20</v>
      </c>
      <c r="E26" s="6">
        <v>45443</v>
      </c>
      <c r="F26" s="3">
        <v>45</v>
      </c>
      <c r="G26" s="11" t="str">
        <f ca="1" t="shared" si="0"/>
        <v>No action required</v>
      </c>
    </row>
  </sheetData>
  <sortState ref="A2:G26">
    <sortCondition ref="G2:G26"/>
  </sortState>
  <mergeCells count="1">
    <mergeCell ref="L3:Q3"/>
  </mergeCells>
  <pageMargins left="0.7" right="0.7" top="0.75" bottom="0.75" header="0.3" footer="0.3"/>
  <headerFooter/>
  <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6"/>
  <sheetViews>
    <sheetView showGridLines="0" workbookViewId="0">
      <selection activeCell="H3" sqref="H3"/>
    </sheetView>
  </sheetViews>
  <sheetFormatPr defaultColWidth="11" defaultRowHeight="15"/>
  <cols>
    <col min="2" max="2" width="14.1287878787879" customWidth="1"/>
    <col min="3" max="3" width="12.1287878787879" customWidth="1"/>
    <col min="4" max="4" width="19.8787878787879" customWidth="1"/>
    <col min="5" max="5" width="23" customWidth="1"/>
  </cols>
  <sheetData>
    <row r="1" ht="18" spans="1:7">
      <c r="A1" s="2" t="s">
        <v>155</v>
      </c>
      <c r="B1" s="2" t="s">
        <v>156</v>
      </c>
      <c r="C1" s="2" t="s">
        <v>157</v>
      </c>
      <c r="D1" s="2" t="s">
        <v>158</v>
      </c>
      <c r="E1" s="2" t="s">
        <v>159</v>
      </c>
      <c r="F1" s="2" t="s">
        <v>160</v>
      </c>
      <c r="G1" s="2"/>
    </row>
    <row r="2" ht="18" spans="1:7">
      <c r="A2" s="3">
        <v>1</v>
      </c>
      <c r="B2" s="3" t="s">
        <v>161</v>
      </c>
      <c r="C2" s="3">
        <v>15</v>
      </c>
      <c r="D2" s="3">
        <v>20</v>
      </c>
      <c r="E2" s="3">
        <v>5</v>
      </c>
      <c r="F2" s="3" t="str">
        <f>IF(OR(C2&lt;=D2,AND(C2&gt;D2,E2&gt;5)),"Y","N")</f>
        <v>Y</v>
      </c>
      <c r="G2" s="3"/>
    </row>
    <row r="3" ht="18" spans="1:18">
      <c r="A3" s="3">
        <v>2</v>
      </c>
      <c r="B3" s="3" t="s">
        <v>162</v>
      </c>
      <c r="C3" s="3">
        <v>50</v>
      </c>
      <c r="D3" s="3">
        <v>30</v>
      </c>
      <c r="E3" s="3">
        <v>3</v>
      </c>
      <c r="F3" s="3" t="str">
        <f t="shared" ref="F3:F26" si="0">IF(OR(C3&lt;=D3,AND(C3&gt;D3,E3&gt;5)),"Y","N")</f>
        <v>N</v>
      </c>
      <c r="G3" s="3"/>
      <c r="M3" s="2" t="s">
        <v>60</v>
      </c>
      <c r="N3" s="2"/>
      <c r="O3" s="2"/>
      <c r="P3" s="2"/>
      <c r="Q3" s="2"/>
      <c r="R3" s="2"/>
    </row>
    <row r="4" ht="18" spans="1:18">
      <c r="A4" s="3">
        <v>3</v>
      </c>
      <c r="B4" s="3" t="s">
        <v>163</v>
      </c>
      <c r="C4" s="3">
        <v>5</v>
      </c>
      <c r="D4" s="3">
        <v>10</v>
      </c>
      <c r="E4" s="3">
        <v>2</v>
      </c>
      <c r="F4" s="3" t="str">
        <f t="shared" si="0"/>
        <v>Y</v>
      </c>
      <c r="G4" s="3"/>
      <c r="M4" s="5" t="s">
        <v>164</v>
      </c>
      <c r="N4" s="5"/>
      <c r="O4" s="5"/>
      <c r="P4" s="5"/>
      <c r="Q4" s="5"/>
      <c r="R4" s="5"/>
    </row>
    <row r="5" ht="18" spans="1:18">
      <c r="A5" s="3">
        <v>4</v>
      </c>
      <c r="B5" s="3" t="s">
        <v>165</v>
      </c>
      <c r="C5" s="3">
        <v>25</v>
      </c>
      <c r="D5" s="3">
        <v>25</v>
      </c>
      <c r="E5" s="3">
        <v>4</v>
      </c>
      <c r="F5" s="3" t="str">
        <f t="shared" si="0"/>
        <v>Y</v>
      </c>
      <c r="G5" s="3"/>
      <c r="M5" s="5"/>
      <c r="N5" s="5"/>
      <c r="O5" s="5"/>
      <c r="P5" s="5"/>
      <c r="Q5" s="5"/>
      <c r="R5" s="5"/>
    </row>
    <row r="6" ht="18" spans="1:18">
      <c r="A6" s="3">
        <v>5</v>
      </c>
      <c r="B6" s="3" t="s">
        <v>166</v>
      </c>
      <c r="C6" s="3">
        <v>45</v>
      </c>
      <c r="D6" s="3">
        <v>40</v>
      </c>
      <c r="E6" s="3">
        <v>6</v>
      </c>
      <c r="F6" s="3" t="str">
        <f t="shared" si="0"/>
        <v>Y</v>
      </c>
      <c r="G6" s="3"/>
      <c r="M6" s="5" t="s">
        <v>167</v>
      </c>
      <c r="N6" s="5"/>
      <c r="O6" s="5"/>
      <c r="P6" s="5"/>
      <c r="Q6" s="5"/>
      <c r="R6" s="5"/>
    </row>
    <row r="7" ht="18" spans="1:18">
      <c r="A7" s="3">
        <v>6</v>
      </c>
      <c r="B7" s="3" t="s">
        <v>168</v>
      </c>
      <c r="C7" s="3">
        <v>30</v>
      </c>
      <c r="D7" s="3">
        <v>35</v>
      </c>
      <c r="E7" s="3">
        <v>5</v>
      </c>
      <c r="F7" s="3" t="str">
        <f t="shared" si="0"/>
        <v>Y</v>
      </c>
      <c r="G7" s="3"/>
      <c r="M7" s="5"/>
      <c r="N7" s="5"/>
      <c r="O7" s="5"/>
      <c r="P7" s="5"/>
      <c r="Q7" s="5"/>
      <c r="R7" s="5"/>
    </row>
    <row r="8" ht="18" spans="1:18">
      <c r="A8" s="3">
        <v>7</v>
      </c>
      <c r="B8" s="3" t="s">
        <v>169</v>
      </c>
      <c r="C8" s="3">
        <v>10</v>
      </c>
      <c r="D8" s="3">
        <v>15</v>
      </c>
      <c r="E8" s="3">
        <v>7</v>
      </c>
      <c r="F8" s="3" t="str">
        <f t="shared" si="0"/>
        <v>Y</v>
      </c>
      <c r="G8" s="3"/>
      <c r="M8" s="5"/>
      <c r="N8" s="5"/>
      <c r="O8" s="5"/>
      <c r="P8" s="5"/>
      <c r="Q8" s="5"/>
      <c r="R8" s="5"/>
    </row>
    <row r="9" ht="18" spans="1:7">
      <c r="A9" s="3">
        <v>8</v>
      </c>
      <c r="B9" s="3" t="s">
        <v>170</v>
      </c>
      <c r="C9" s="3">
        <v>60</v>
      </c>
      <c r="D9" s="3">
        <v>50</v>
      </c>
      <c r="E9" s="3">
        <v>3</v>
      </c>
      <c r="F9" s="3" t="str">
        <f t="shared" si="0"/>
        <v>N</v>
      </c>
      <c r="G9" s="3"/>
    </row>
    <row r="10" ht="18" spans="1:7">
      <c r="A10" s="3">
        <v>9</v>
      </c>
      <c r="B10" s="3" t="s">
        <v>171</v>
      </c>
      <c r="C10" s="3">
        <v>35</v>
      </c>
      <c r="D10" s="3">
        <v>30</v>
      </c>
      <c r="E10" s="3">
        <v>4</v>
      </c>
      <c r="F10" s="3" t="str">
        <f t="shared" si="0"/>
        <v>N</v>
      </c>
      <c r="G10" s="3"/>
    </row>
    <row r="11" ht="18" spans="1:9">
      <c r="A11" s="3">
        <v>10</v>
      </c>
      <c r="B11" s="3" t="s">
        <v>172</v>
      </c>
      <c r="C11" s="3">
        <v>20</v>
      </c>
      <c r="D11" s="3">
        <v>25</v>
      </c>
      <c r="E11" s="3">
        <v>6</v>
      </c>
      <c r="F11" s="3" t="str">
        <f t="shared" si="0"/>
        <v>Y</v>
      </c>
      <c r="G11" s="3"/>
      <c r="I11" s="9" t="s">
        <v>173</v>
      </c>
    </row>
    <row r="12" ht="18" spans="1:7">
      <c r="A12" s="3">
        <v>11</v>
      </c>
      <c r="B12" s="3" t="s">
        <v>174</v>
      </c>
      <c r="C12" s="3">
        <v>55</v>
      </c>
      <c r="D12" s="3">
        <v>40</v>
      </c>
      <c r="E12" s="3">
        <v>3</v>
      </c>
      <c r="F12" s="3" t="str">
        <f t="shared" si="0"/>
        <v>N</v>
      </c>
      <c r="G12" s="3"/>
    </row>
    <row r="13" ht="18" spans="1:7">
      <c r="A13" s="3">
        <v>12</v>
      </c>
      <c r="B13" s="3" t="s">
        <v>175</v>
      </c>
      <c r="C13" s="3">
        <v>12</v>
      </c>
      <c r="D13" s="3">
        <v>15</v>
      </c>
      <c r="E13" s="3">
        <v>4</v>
      </c>
      <c r="F13" s="3" t="str">
        <f t="shared" si="0"/>
        <v>Y</v>
      </c>
      <c r="G13" s="3"/>
    </row>
    <row r="14" ht="18" spans="1:7">
      <c r="A14" s="3">
        <v>13</v>
      </c>
      <c r="B14" s="3" t="s">
        <v>176</v>
      </c>
      <c r="C14" s="3">
        <v>28</v>
      </c>
      <c r="D14" s="3">
        <v>20</v>
      </c>
      <c r="E14" s="3">
        <v>5</v>
      </c>
      <c r="F14" s="3" t="str">
        <f t="shared" si="0"/>
        <v>N</v>
      </c>
      <c r="G14" s="3"/>
    </row>
    <row r="15" ht="18" spans="1:7">
      <c r="A15" s="3">
        <v>14</v>
      </c>
      <c r="B15" s="3" t="s">
        <v>177</v>
      </c>
      <c r="C15" s="3">
        <v>22</v>
      </c>
      <c r="D15" s="3">
        <v>25</v>
      </c>
      <c r="E15" s="3">
        <v>4</v>
      </c>
      <c r="F15" s="3" t="str">
        <f t="shared" si="0"/>
        <v>Y</v>
      </c>
      <c r="G15" s="3"/>
    </row>
    <row r="16" ht="18" spans="1:7">
      <c r="A16" s="3">
        <v>15</v>
      </c>
      <c r="B16" s="3" t="s">
        <v>178</v>
      </c>
      <c r="C16" s="3">
        <v>18</v>
      </c>
      <c r="D16" s="3">
        <v>20</v>
      </c>
      <c r="E16" s="3">
        <v>5</v>
      </c>
      <c r="F16" s="3" t="str">
        <f t="shared" si="0"/>
        <v>Y</v>
      </c>
      <c r="G16" s="3"/>
    </row>
    <row r="17" ht="18" spans="1:7">
      <c r="A17" s="3">
        <v>16</v>
      </c>
      <c r="B17" s="3" t="s">
        <v>179</v>
      </c>
      <c r="C17" s="3">
        <v>50</v>
      </c>
      <c r="D17" s="3">
        <v>30</v>
      </c>
      <c r="E17" s="3">
        <v>3</v>
      </c>
      <c r="F17" s="3" t="str">
        <f t="shared" si="0"/>
        <v>N</v>
      </c>
      <c r="G17" s="3"/>
    </row>
    <row r="18" ht="18" spans="1:7">
      <c r="A18" s="3">
        <v>17</v>
      </c>
      <c r="B18" s="3" t="s">
        <v>180</v>
      </c>
      <c r="C18" s="3">
        <v>40</v>
      </c>
      <c r="D18" s="3">
        <v>35</v>
      </c>
      <c r="E18" s="3">
        <v>6</v>
      </c>
      <c r="F18" s="3" t="str">
        <f t="shared" si="0"/>
        <v>Y</v>
      </c>
      <c r="G18" s="3"/>
    </row>
    <row r="19" ht="18" spans="1:7">
      <c r="A19" s="3">
        <v>18</v>
      </c>
      <c r="B19" s="3" t="s">
        <v>181</v>
      </c>
      <c r="C19" s="3">
        <v>25</v>
      </c>
      <c r="D19" s="3">
        <v>25</v>
      </c>
      <c r="E19" s="3">
        <v>4</v>
      </c>
      <c r="F19" s="3" t="str">
        <f t="shared" si="0"/>
        <v>Y</v>
      </c>
      <c r="G19" s="3"/>
    </row>
    <row r="20" ht="18" spans="1:7">
      <c r="A20" s="3">
        <v>19</v>
      </c>
      <c r="B20" s="3" t="s">
        <v>182</v>
      </c>
      <c r="C20" s="3">
        <v>10</v>
      </c>
      <c r="D20" s="3">
        <v>15</v>
      </c>
      <c r="E20" s="3">
        <v>5</v>
      </c>
      <c r="F20" s="3" t="str">
        <f t="shared" si="0"/>
        <v>Y</v>
      </c>
      <c r="G20" s="3"/>
    </row>
    <row r="21" ht="18" spans="1:7">
      <c r="A21" s="3">
        <v>20</v>
      </c>
      <c r="B21" s="3" t="s">
        <v>183</v>
      </c>
      <c r="C21" s="3">
        <v>55</v>
      </c>
      <c r="D21" s="3">
        <v>40</v>
      </c>
      <c r="E21" s="3">
        <v>3</v>
      </c>
      <c r="F21" s="3" t="str">
        <f t="shared" si="0"/>
        <v>N</v>
      </c>
      <c r="G21" s="3"/>
    </row>
    <row r="22" ht="18" spans="1:7">
      <c r="A22" s="3">
        <v>21</v>
      </c>
      <c r="B22" s="3" t="s">
        <v>184</v>
      </c>
      <c r="C22" s="3">
        <v>15</v>
      </c>
      <c r="D22" s="3">
        <v>20</v>
      </c>
      <c r="E22" s="3">
        <v>4</v>
      </c>
      <c r="F22" s="3" t="str">
        <f t="shared" si="0"/>
        <v>Y</v>
      </c>
      <c r="G22" s="3"/>
    </row>
    <row r="23" ht="18" spans="1:7">
      <c r="A23" s="3">
        <v>22</v>
      </c>
      <c r="B23" s="3" t="s">
        <v>185</v>
      </c>
      <c r="C23" s="3">
        <v>30</v>
      </c>
      <c r="D23" s="3">
        <v>25</v>
      </c>
      <c r="E23" s="3">
        <v>5</v>
      </c>
      <c r="F23" s="3" t="str">
        <f t="shared" si="0"/>
        <v>N</v>
      </c>
      <c r="G23" s="3"/>
    </row>
    <row r="24" ht="18" spans="1:7">
      <c r="A24" s="3">
        <v>23</v>
      </c>
      <c r="B24" s="3" t="s">
        <v>186</v>
      </c>
      <c r="C24" s="3">
        <v>40</v>
      </c>
      <c r="D24" s="3">
        <v>35</v>
      </c>
      <c r="E24" s="3">
        <v>4</v>
      </c>
      <c r="F24" s="3" t="str">
        <f t="shared" si="0"/>
        <v>N</v>
      </c>
      <c r="G24" s="3"/>
    </row>
    <row r="25" ht="18" spans="1:7">
      <c r="A25" s="3">
        <v>24</v>
      </c>
      <c r="B25" s="3" t="s">
        <v>187</v>
      </c>
      <c r="C25" s="3">
        <v>18</v>
      </c>
      <c r="D25" s="3">
        <v>20</v>
      </c>
      <c r="E25" s="3">
        <v>5</v>
      </c>
      <c r="F25" s="3" t="str">
        <f t="shared" si="0"/>
        <v>Y</v>
      </c>
      <c r="G25" s="3"/>
    </row>
    <row r="26" ht="18" spans="1:7">
      <c r="A26" s="3">
        <v>25</v>
      </c>
      <c r="B26" s="3" t="s">
        <v>188</v>
      </c>
      <c r="C26" s="3">
        <v>25</v>
      </c>
      <c r="D26" s="3">
        <v>25</v>
      </c>
      <c r="E26" s="3">
        <v>6</v>
      </c>
      <c r="F26" s="3" t="str">
        <f t="shared" si="0"/>
        <v>Y</v>
      </c>
      <c r="G26" s="3"/>
    </row>
  </sheetData>
  <mergeCells count="3">
    <mergeCell ref="M3:R3"/>
    <mergeCell ref="M4:R5"/>
    <mergeCell ref="M6:R8"/>
  </mergeCells>
  <conditionalFormatting sqref="F2:F26">
    <cfRule type="containsText" dxfId="8" priority="2" operator="between" text="Y">
      <formula>NOT(ISERROR(SEARCH("Y",F2)))</formula>
    </cfRule>
  </conditionalFormatting>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6"/>
  <sheetViews>
    <sheetView showGridLines="0" workbookViewId="0">
      <selection activeCell="F8" sqref="F8"/>
    </sheetView>
  </sheetViews>
  <sheetFormatPr defaultColWidth="11" defaultRowHeight="15"/>
  <cols>
    <col min="1" max="1" width="12.75" customWidth="1"/>
    <col min="2" max="2" width="19.5" customWidth="1"/>
    <col min="3" max="3" width="16.75" customWidth="1"/>
    <col min="4" max="4" width="11.25" customWidth="1"/>
    <col min="5" max="5" width="10.6287878787879" customWidth="1"/>
    <col min="6" max="6" width="23.75" customWidth="1"/>
  </cols>
  <sheetData>
    <row r="1" ht="18" spans="1:6">
      <c r="A1" s="2" t="s">
        <v>88</v>
      </c>
      <c r="B1" s="2" t="s">
        <v>87</v>
      </c>
      <c r="C1" s="2" t="s">
        <v>189</v>
      </c>
      <c r="D1" s="2" t="s">
        <v>190</v>
      </c>
      <c r="E1" s="2" t="s">
        <v>191</v>
      </c>
      <c r="F1" s="2" t="s">
        <v>192</v>
      </c>
    </row>
    <row r="2" ht="18" spans="1:6">
      <c r="A2" s="6">
        <v>45292</v>
      </c>
      <c r="B2" s="3" t="s">
        <v>193</v>
      </c>
      <c r="C2" s="3" t="s">
        <v>194</v>
      </c>
      <c r="D2" s="3" t="s">
        <v>195</v>
      </c>
      <c r="E2" s="3" t="s">
        <v>196</v>
      </c>
      <c r="F2" s="3" t="str">
        <f>IF(AND(ISNUMBER(D2),D2&gt;0),IF(E2="Yes","Valid",IF(E2="No","Invalid: Missing receipt","Invalid: Receipt should be Yes or No")),"Invalid: Amount must be a number and greater than 0")</f>
        <v>Invalid: Amount must be a number and greater than 0</v>
      </c>
    </row>
    <row r="3" ht="18" spans="1:20">
      <c r="A3" s="6">
        <v>45293</v>
      </c>
      <c r="B3" s="3" t="s">
        <v>197</v>
      </c>
      <c r="C3" s="3" t="s">
        <v>198</v>
      </c>
      <c r="D3" s="3">
        <v>45.5</v>
      </c>
      <c r="E3" s="3" t="s">
        <v>199</v>
      </c>
      <c r="F3" s="3" t="str">
        <f>IF(AND(ISNUMBER(D3),D3&gt;0),IF(E3="Yes","Valid",IF(E3="No","Invalid: Missing receipt","Invalid: Receipt should be Yes or No")),"Invalid: Amount must be a number and greater than 0")</f>
        <v>Invalid: Missing receipt</v>
      </c>
      <c r="O3" s="2" t="s">
        <v>60</v>
      </c>
      <c r="P3" s="2"/>
      <c r="Q3" s="2"/>
      <c r="R3" s="2"/>
      <c r="S3" s="2"/>
      <c r="T3" s="2"/>
    </row>
    <row r="4" ht="18" spans="1:20">
      <c r="A4" s="6">
        <v>45294</v>
      </c>
      <c r="B4" s="3" t="s">
        <v>200</v>
      </c>
      <c r="C4" s="3" t="s">
        <v>201</v>
      </c>
      <c r="D4" s="3">
        <v>300</v>
      </c>
      <c r="E4" s="3" t="s">
        <v>196</v>
      </c>
      <c r="F4" s="3" t="str">
        <f t="shared" ref="F2:F26" si="0">IF(AND(ISNUMBER(D4),D4&gt;0),IF(E4="Yes","Valid",IF(E4="No","Invalid: Missing receipt","Invalid: Receipt should be Yes or No")),"Invalid: Amount must be a number and greater than 0")</f>
        <v>Valid</v>
      </c>
      <c r="O4" s="8" t="s">
        <v>202</v>
      </c>
      <c r="P4" s="8"/>
      <c r="Q4" s="8"/>
      <c r="R4" s="8"/>
      <c r="S4" s="8"/>
      <c r="T4" s="8"/>
    </row>
    <row r="5" ht="18" spans="1:20">
      <c r="A5" s="6">
        <v>45295</v>
      </c>
      <c r="B5" s="3" t="s">
        <v>203</v>
      </c>
      <c r="C5" s="3" t="s">
        <v>194</v>
      </c>
      <c r="D5" s="3">
        <v>200.75</v>
      </c>
      <c r="E5" s="3" t="s">
        <v>196</v>
      </c>
      <c r="F5" s="3" t="str">
        <f t="shared" si="0"/>
        <v>Valid</v>
      </c>
      <c r="O5" s="8" t="s">
        <v>204</v>
      </c>
      <c r="P5" s="8"/>
      <c r="Q5" s="8"/>
      <c r="R5" s="8"/>
      <c r="S5" s="8"/>
      <c r="T5" s="8"/>
    </row>
    <row r="6" ht="18" spans="1:20">
      <c r="A6" s="6">
        <v>45296</v>
      </c>
      <c r="B6" s="3" t="s">
        <v>205</v>
      </c>
      <c r="C6" s="3" t="s">
        <v>206</v>
      </c>
      <c r="D6" s="3">
        <v>67.89</v>
      </c>
      <c r="E6" s="3" t="s">
        <v>196</v>
      </c>
      <c r="F6" s="3" t="str">
        <f t="shared" si="0"/>
        <v>Valid</v>
      </c>
      <c r="O6" s="8" t="s">
        <v>207</v>
      </c>
      <c r="P6" s="8"/>
      <c r="Q6" s="8"/>
      <c r="R6" s="8"/>
      <c r="S6" s="8"/>
      <c r="T6" s="8"/>
    </row>
    <row r="7" ht="18" spans="1:20">
      <c r="A7" s="6">
        <v>45297</v>
      </c>
      <c r="B7" s="3" t="s">
        <v>208</v>
      </c>
      <c r="C7" s="3" t="s">
        <v>198</v>
      </c>
      <c r="D7" s="3">
        <v>80</v>
      </c>
      <c r="E7" s="3" t="s">
        <v>199</v>
      </c>
      <c r="F7" s="3" t="str">
        <f t="shared" si="0"/>
        <v>Invalid: Missing receipt</v>
      </c>
      <c r="O7" s="8" t="s">
        <v>209</v>
      </c>
      <c r="P7" s="8"/>
      <c r="Q7" s="8"/>
      <c r="R7" s="8"/>
      <c r="S7" s="8"/>
      <c r="T7" s="8"/>
    </row>
    <row r="8" ht="18" spans="1:20">
      <c r="A8" s="6">
        <v>45298</v>
      </c>
      <c r="B8" s="3" t="s">
        <v>210</v>
      </c>
      <c r="C8" s="3" t="s">
        <v>201</v>
      </c>
      <c r="D8" s="3">
        <v>400.5</v>
      </c>
      <c r="E8" s="3" t="s">
        <v>196</v>
      </c>
      <c r="F8" s="3" t="str">
        <f t="shared" si="0"/>
        <v>Valid</v>
      </c>
      <c r="O8" s="8" t="s">
        <v>211</v>
      </c>
      <c r="P8" s="8"/>
      <c r="Q8" s="8"/>
      <c r="R8" s="8"/>
      <c r="S8" s="8"/>
      <c r="T8" s="8"/>
    </row>
    <row r="9" ht="18" spans="1:6">
      <c r="A9" s="6">
        <v>45299</v>
      </c>
      <c r="B9" s="3" t="s">
        <v>212</v>
      </c>
      <c r="C9" s="3" t="s">
        <v>194</v>
      </c>
      <c r="D9" s="3">
        <v>125.25</v>
      </c>
      <c r="E9" s="3" t="s">
        <v>199</v>
      </c>
      <c r="F9" s="3" t="str">
        <f t="shared" si="0"/>
        <v>Invalid: Missing receipt</v>
      </c>
    </row>
    <row r="10" ht="18" spans="1:6">
      <c r="A10" s="6">
        <v>45300</v>
      </c>
      <c r="B10" s="3" t="s">
        <v>213</v>
      </c>
      <c r="C10" s="3" t="s">
        <v>206</v>
      </c>
      <c r="D10" s="3">
        <v>45.3</v>
      </c>
      <c r="E10" s="3" t="s">
        <v>196</v>
      </c>
      <c r="F10" s="3" t="str">
        <f t="shared" si="0"/>
        <v>Valid</v>
      </c>
    </row>
    <row r="11" ht="18" spans="1:6">
      <c r="A11" s="6">
        <v>45301</v>
      </c>
      <c r="B11" s="3" t="s">
        <v>214</v>
      </c>
      <c r="C11" s="3" t="s">
        <v>198</v>
      </c>
      <c r="D11" s="3">
        <v>60</v>
      </c>
      <c r="E11" s="3" t="s">
        <v>196</v>
      </c>
      <c r="F11" s="3" t="str">
        <f t="shared" si="0"/>
        <v>Valid</v>
      </c>
    </row>
    <row r="12" ht="18" spans="1:9">
      <c r="A12" s="6">
        <v>45302</v>
      </c>
      <c r="B12" s="3" t="s">
        <v>215</v>
      </c>
      <c r="C12" s="3" t="s">
        <v>201</v>
      </c>
      <c r="D12" s="7">
        <v>275.4</v>
      </c>
      <c r="E12" s="3" t="s">
        <v>196</v>
      </c>
      <c r="F12" s="3" t="str">
        <f t="shared" si="0"/>
        <v>Valid</v>
      </c>
      <c r="I12" s="9" t="s">
        <v>216</v>
      </c>
    </row>
    <row r="13" ht="18" spans="1:6">
      <c r="A13" s="6">
        <v>45303</v>
      </c>
      <c r="B13" s="3" t="s">
        <v>217</v>
      </c>
      <c r="C13" s="3" t="s">
        <v>194</v>
      </c>
      <c r="D13" s="3">
        <v>190</v>
      </c>
      <c r="E13" s="3" t="s">
        <v>199</v>
      </c>
      <c r="F13" s="3" t="str">
        <f t="shared" si="0"/>
        <v>Invalid: Missing receipt</v>
      </c>
    </row>
    <row r="14" ht="18" spans="1:6">
      <c r="A14" s="6">
        <v>45304</v>
      </c>
      <c r="B14" s="3" t="s">
        <v>218</v>
      </c>
      <c r="C14" s="3" t="s">
        <v>206</v>
      </c>
      <c r="D14" s="3">
        <v>32.5</v>
      </c>
      <c r="E14" s="3" t="s">
        <v>196</v>
      </c>
      <c r="F14" s="3" t="str">
        <f t="shared" si="0"/>
        <v>Valid</v>
      </c>
    </row>
    <row r="15" ht="18" spans="1:6">
      <c r="A15" s="6">
        <v>45305</v>
      </c>
      <c r="B15" s="3" t="s">
        <v>219</v>
      </c>
      <c r="C15" s="3" t="s">
        <v>198</v>
      </c>
      <c r="D15" s="3">
        <v>40.25</v>
      </c>
      <c r="E15" s="3" t="s">
        <v>196</v>
      </c>
      <c r="F15" s="3" t="str">
        <f t="shared" si="0"/>
        <v>Valid</v>
      </c>
    </row>
    <row r="16" ht="18" spans="1:6">
      <c r="A16" s="6">
        <v>45306</v>
      </c>
      <c r="B16" s="3" t="s">
        <v>220</v>
      </c>
      <c r="C16" s="3" t="s">
        <v>201</v>
      </c>
      <c r="D16" s="3">
        <v>310</v>
      </c>
      <c r="E16" s="3" t="s">
        <v>199</v>
      </c>
      <c r="F16" s="3" t="str">
        <f t="shared" si="0"/>
        <v>Invalid: Missing receipt</v>
      </c>
    </row>
    <row r="17" ht="18" spans="1:6">
      <c r="A17" s="6">
        <v>45307</v>
      </c>
      <c r="B17" s="3" t="s">
        <v>221</v>
      </c>
      <c r="C17" s="3" t="s">
        <v>194</v>
      </c>
      <c r="D17" s="3">
        <v>175.75</v>
      </c>
      <c r="E17" s="3" t="s">
        <v>196</v>
      </c>
      <c r="F17" s="3" t="str">
        <f t="shared" si="0"/>
        <v>Valid</v>
      </c>
    </row>
    <row r="18" ht="18" spans="1:6">
      <c r="A18" s="6">
        <v>45308</v>
      </c>
      <c r="B18" s="3" t="s">
        <v>222</v>
      </c>
      <c r="C18" s="3" t="s">
        <v>206</v>
      </c>
      <c r="D18" s="3">
        <v>29.99</v>
      </c>
      <c r="E18" s="3" t="s">
        <v>196</v>
      </c>
      <c r="F18" s="3" t="str">
        <f t="shared" si="0"/>
        <v>Valid</v>
      </c>
    </row>
    <row r="19" ht="18" spans="1:6">
      <c r="A19" s="6">
        <v>45309</v>
      </c>
      <c r="B19" s="3" t="s">
        <v>223</v>
      </c>
      <c r="C19" s="3" t="s">
        <v>198</v>
      </c>
      <c r="D19" s="3">
        <v>35</v>
      </c>
      <c r="E19" s="3" t="s">
        <v>196</v>
      </c>
      <c r="F19" s="3" t="str">
        <f t="shared" si="0"/>
        <v>Valid</v>
      </c>
    </row>
    <row r="20" ht="18" spans="1:6">
      <c r="A20" s="6">
        <v>45310</v>
      </c>
      <c r="B20" s="3" t="s">
        <v>224</v>
      </c>
      <c r="C20" s="3" t="s">
        <v>201</v>
      </c>
      <c r="D20" s="3">
        <v>260.2</v>
      </c>
      <c r="E20" s="3" t="s">
        <v>199</v>
      </c>
      <c r="F20" s="3" t="str">
        <f t="shared" si="0"/>
        <v>Invalid: Missing receipt</v>
      </c>
    </row>
    <row r="21" ht="18" spans="1:6">
      <c r="A21" s="6">
        <v>45311</v>
      </c>
      <c r="B21" s="3" t="s">
        <v>225</v>
      </c>
      <c r="C21" s="3" t="s">
        <v>194</v>
      </c>
      <c r="D21" s="3">
        <v>150.5</v>
      </c>
      <c r="E21" s="3" t="s">
        <v>196</v>
      </c>
      <c r="F21" s="3" t="str">
        <f t="shared" si="0"/>
        <v>Valid</v>
      </c>
    </row>
    <row r="22" ht="18" spans="1:6">
      <c r="A22" s="6">
        <v>45312</v>
      </c>
      <c r="B22" s="3" t="s">
        <v>226</v>
      </c>
      <c r="C22" s="3" t="s">
        <v>206</v>
      </c>
      <c r="D22" s="3">
        <v>60</v>
      </c>
      <c r="E22" s="3" t="s">
        <v>196</v>
      </c>
      <c r="F22" s="3" t="str">
        <f t="shared" si="0"/>
        <v>Valid</v>
      </c>
    </row>
    <row r="23" ht="18" spans="1:6">
      <c r="A23" s="6">
        <v>45313</v>
      </c>
      <c r="B23" s="3" t="s">
        <v>227</v>
      </c>
      <c r="C23" s="3" t="s">
        <v>198</v>
      </c>
      <c r="D23" s="3">
        <v>50.75</v>
      </c>
      <c r="E23" s="3" t="s">
        <v>199</v>
      </c>
      <c r="F23" s="3" t="str">
        <f t="shared" si="0"/>
        <v>Invalid: Missing receipt</v>
      </c>
    </row>
    <row r="24" ht="18" spans="1:6">
      <c r="A24" s="6">
        <v>45314</v>
      </c>
      <c r="B24" s="3" t="s">
        <v>228</v>
      </c>
      <c r="C24" s="3" t="s">
        <v>201</v>
      </c>
      <c r="D24" s="3">
        <v>330</v>
      </c>
      <c r="E24" s="3" t="s">
        <v>196</v>
      </c>
      <c r="F24" s="3" t="str">
        <f t="shared" si="0"/>
        <v>Valid</v>
      </c>
    </row>
    <row r="25" ht="18" spans="1:6">
      <c r="A25" s="6">
        <v>45315</v>
      </c>
      <c r="B25" s="3" t="s">
        <v>229</v>
      </c>
      <c r="C25" s="3" t="s">
        <v>194</v>
      </c>
      <c r="D25" s="3">
        <v>140.6</v>
      </c>
      <c r="E25" s="3" t="s">
        <v>196</v>
      </c>
      <c r="F25" s="3" t="str">
        <f t="shared" si="0"/>
        <v>Valid</v>
      </c>
    </row>
    <row r="26" ht="18" spans="1:6">
      <c r="A26" s="6">
        <v>45316</v>
      </c>
      <c r="B26" s="3" t="s">
        <v>230</v>
      </c>
      <c r="C26" s="3" t="s">
        <v>206</v>
      </c>
      <c r="D26" s="3">
        <v>55.4</v>
      </c>
      <c r="E26" s="3" t="s">
        <v>196</v>
      </c>
      <c r="F26" s="3" t="str">
        <f t="shared" si="0"/>
        <v>Valid</v>
      </c>
    </row>
  </sheetData>
  <mergeCells count="6">
    <mergeCell ref="O3:T3"/>
    <mergeCell ref="O4:T4"/>
    <mergeCell ref="O5:T5"/>
    <mergeCell ref="O6:T6"/>
    <mergeCell ref="O7:T7"/>
    <mergeCell ref="O8:T8"/>
  </mergeCells>
  <pageMargins left="0.7" right="0.7" top="0.75" bottom="0.75" header="0.3" footer="0.3"/>
  <headerFooter/>
  <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6"/>
  <sheetViews>
    <sheetView showGridLines="0" workbookViewId="0">
      <selection activeCell="G14" sqref="G14"/>
    </sheetView>
  </sheetViews>
  <sheetFormatPr defaultColWidth="11" defaultRowHeight="15"/>
  <cols>
    <col min="1" max="1" width="5.87878787878788" customWidth="1"/>
    <col min="2" max="2" width="8" customWidth="1"/>
    <col min="3" max="3" width="15" customWidth="1"/>
    <col min="4" max="4" width="17.8787878787879" customWidth="1"/>
    <col min="5" max="5" width="20" customWidth="1"/>
  </cols>
  <sheetData>
    <row r="1" ht="18" spans="1:5">
      <c r="A1" s="2" t="s">
        <v>231</v>
      </c>
      <c r="B1" s="2" t="s">
        <v>232</v>
      </c>
      <c r="C1" s="2" t="s">
        <v>233</v>
      </c>
      <c r="D1" s="2" t="s">
        <v>234</v>
      </c>
      <c r="E1" s="2" t="s">
        <v>235</v>
      </c>
    </row>
    <row r="2" ht="18" spans="1:4">
      <c r="A2" s="3">
        <v>2024</v>
      </c>
      <c r="B2" s="3" t="s">
        <v>236</v>
      </c>
      <c r="C2" s="3" t="s">
        <v>237</v>
      </c>
      <c r="D2" s="3" t="s">
        <v>110</v>
      </c>
    </row>
    <row r="3" ht="18" spans="1:4">
      <c r="A3" s="3">
        <v>2024</v>
      </c>
      <c r="B3" s="3" t="s">
        <v>238</v>
      </c>
      <c r="C3" s="3" t="s">
        <v>239</v>
      </c>
      <c r="D3" s="3" t="s">
        <v>111</v>
      </c>
    </row>
    <row r="4" ht="18" spans="1:19">
      <c r="A4" s="3">
        <v>2024</v>
      </c>
      <c r="B4" s="3" t="s">
        <v>240</v>
      </c>
      <c r="C4" s="3" t="s">
        <v>241</v>
      </c>
      <c r="D4" s="3" t="s">
        <v>112</v>
      </c>
      <c r="N4" s="2" t="s">
        <v>60</v>
      </c>
      <c r="O4" s="2"/>
      <c r="P4" s="2"/>
      <c r="Q4" s="2"/>
      <c r="R4" s="2"/>
      <c r="S4" s="2"/>
    </row>
    <row r="5" ht="18" spans="1:19">
      <c r="A5" s="3">
        <v>2024</v>
      </c>
      <c r="B5" s="3" t="s">
        <v>242</v>
      </c>
      <c r="C5" s="3" t="s">
        <v>243</v>
      </c>
      <c r="D5" s="3" t="s">
        <v>110</v>
      </c>
      <c r="N5" s="5" t="s">
        <v>244</v>
      </c>
      <c r="O5" s="5"/>
      <c r="P5" s="5"/>
      <c r="Q5" s="5"/>
      <c r="R5" s="5"/>
      <c r="S5" s="5"/>
    </row>
    <row r="6" ht="18" spans="1:19">
      <c r="A6" s="3">
        <v>2024</v>
      </c>
      <c r="B6" s="3" t="s">
        <v>245</v>
      </c>
      <c r="C6" s="3" t="s">
        <v>246</v>
      </c>
      <c r="D6" s="3" t="s">
        <v>111</v>
      </c>
      <c r="N6" s="5"/>
      <c r="O6" s="5"/>
      <c r="P6" s="5"/>
      <c r="Q6" s="5"/>
      <c r="R6" s="5"/>
      <c r="S6" s="5"/>
    </row>
    <row r="7" ht="18" spans="1:14">
      <c r="A7" s="3">
        <v>2024</v>
      </c>
      <c r="B7" s="3" t="s">
        <v>247</v>
      </c>
      <c r="C7" s="3" t="s">
        <v>248</v>
      </c>
      <c r="D7" s="3" t="s">
        <v>112</v>
      </c>
      <c r="N7" t="s">
        <v>249</v>
      </c>
    </row>
    <row r="8" ht="18" spans="1:14">
      <c r="A8" s="3">
        <v>2024</v>
      </c>
      <c r="B8" s="3" t="s">
        <v>250</v>
      </c>
      <c r="C8" s="3" t="s">
        <v>251</v>
      </c>
      <c r="D8" s="3" t="s">
        <v>110</v>
      </c>
      <c r="N8" t="s">
        <v>252</v>
      </c>
    </row>
    <row r="9" ht="18" spans="1:14">
      <c r="A9" s="3">
        <v>2024</v>
      </c>
      <c r="B9" s="3" t="s">
        <v>253</v>
      </c>
      <c r="C9" s="3" t="s">
        <v>254</v>
      </c>
      <c r="D9" s="3" t="s">
        <v>111</v>
      </c>
      <c r="N9" t="s">
        <v>255</v>
      </c>
    </row>
    <row r="10" ht="18" spans="1:4">
      <c r="A10" s="3">
        <v>2024</v>
      </c>
      <c r="B10" s="3" t="s">
        <v>256</v>
      </c>
      <c r="C10" s="3" t="s">
        <v>257</v>
      </c>
      <c r="D10" s="3" t="s">
        <v>112</v>
      </c>
    </row>
    <row r="11" ht="18" spans="1:4">
      <c r="A11" s="3">
        <v>2024</v>
      </c>
      <c r="B11" s="3" t="s">
        <v>258</v>
      </c>
      <c r="C11" s="3" t="s">
        <v>259</v>
      </c>
      <c r="D11" s="3" t="s">
        <v>110</v>
      </c>
    </row>
    <row r="12" ht="18" spans="1:4">
      <c r="A12" s="3">
        <v>2024</v>
      </c>
      <c r="B12" s="3" t="s">
        <v>260</v>
      </c>
      <c r="C12" s="3" t="s">
        <v>261</v>
      </c>
      <c r="D12" s="3" t="s">
        <v>111</v>
      </c>
    </row>
    <row r="13" ht="18" spans="1:4">
      <c r="A13" s="3">
        <v>2024</v>
      </c>
      <c r="B13" s="3" t="s">
        <v>262</v>
      </c>
      <c r="C13" s="3" t="s">
        <v>263</v>
      </c>
      <c r="D13" s="3" t="s">
        <v>112</v>
      </c>
    </row>
    <row r="14" ht="18" spans="1:4">
      <c r="A14" s="3">
        <v>2025</v>
      </c>
      <c r="B14" s="3" t="s">
        <v>236</v>
      </c>
      <c r="C14" s="3" t="s">
        <v>264</v>
      </c>
      <c r="D14" s="3" t="s">
        <v>110</v>
      </c>
    </row>
    <row r="15" ht="18" spans="1:4">
      <c r="A15" s="3">
        <v>2025</v>
      </c>
      <c r="B15" s="3" t="s">
        <v>238</v>
      </c>
      <c r="C15" s="3" t="s">
        <v>265</v>
      </c>
      <c r="D15" s="3" t="s">
        <v>111</v>
      </c>
    </row>
    <row r="16" ht="18" spans="1:4">
      <c r="A16" s="3">
        <v>2025</v>
      </c>
      <c r="B16" s="3" t="s">
        <v>240</v>
      </c>
      <c r="C16" s="3" t="s">
        <v>266</v>
      </c>
      <c r="D16" s="3" t="s">
        <v>112</v>
      </c>
    </row>
    <row r="17" ht="18" spans="1:4">
      <c r="A17" s="3">
        <v>2025</v>
      </c>
      <c r="B17" s="3" t="s">
        <v>242</v>
      </c>
      <c r="C17" s="3" t="s">
        <v>267</v>
      </c>
      <c r="D17" s="3" t="s">
        <v>110</v>
      </c>
    </row>
    <row r="18" ht="18" spans="1:4">
      <c r="A18" s="3">
        <v>2025</v>
      </c>
      <c r="B18" s="3" t="s">
        <v>245</v>
      </c>
      <c r="C18" s="3" t="s">
        <v>268</v>
      </c>
      <c r="D18" s="3" t="s">
        <v>111</v>
      </c>
    </row>
    <row r="19" ht="18" spans="1:4">
      <c r="A19" s="3">
        <v>2025</v>
      </c>
      <c r="B19" s="3" t="s">
        <v>247</v>
      </c>
      <c r="C19" s="3" t="s">
        <v>269</v>
      </c>
      <c r="D19" s="3" t="s">
        <v>112</v>
      </c>
    </row>
    <row r="20" ht="18" spans="1:4">
      <c r="A20" s="3">
        <v>2025</v>
      </c>
      <c r="B20" s="3" t="s">
        <v>250</v>
      </c>
      <c r="C20" s="3" t="s">
        <v>270</v>
      </c>
      <c r="D20" s="3" t="s">
        <v>110</v>
      </c>
    </row>
    <row r="21" ht="18" spans="1:4">
      <c r="A21" s="3">
        <v>2025</v>
      </c>
      <c r="B21" s="3" t="s">
        <v>253</v>
      </c>
      <c r="C21" s="3" t="s">
        <v>271</v>
      </c>
      <c r="D21" s="3" t="s">
        <v>111</v>
      </c>
    </row>
    <row r="22" ht="18" spans="1:4">
      <c r="A22" s="3">
        <v>2025</v>
      </c>
      <c r="B22" s="3" t="s">
        <v>256</v>
      </c>
      <c r="C22" s="3" t="s">
        <v>272</v>
      </c>
      <c r="D22" s="3" t="s">
        <v>112</v>
      </c>
    </row>
    <row r="23" ht="18" spans="1:4">
      <c r="A23" s="3">
        <v>2025</v>
      </c>
      <c r="B23" s="3" t="s">
        <v>258</v>
      </c>
      <c r="C23" s="3" t="s">
        <v>273</v>
      </c>
      <c r="D23" s="3" t="s">
        <v>110</v>
      </c>
    </row>
    <row r="24" ht="18" spans="1:4">
      <c r="A24" s="3">
        <v>2025</v>
      </c>
      <c r="B24" s="3" t="s">
        <v>260</v>
      </c>
      <c r="C24" s="3" t="s">
        <v>274</v>
      </c>
      <c r="D24" s="3" t="s">
        <v>111</v>
      </c>
    </row>
    <row r="25" ht="18" spans="1:4">
      <c r="A25" s="3">
        <v>2025</v>
      </c>
      <c r="B25" s="3" t="s">
        <v>262</v>
      </c>
      <c r="C25" s="3" t="s">
        <v>275</v>
      </c>
      <c r="D25" s="3" t="s">
        <v>112</v>
      </c>
    </row>
    <row r="26" ht="18" spans="1:4">
      <c r="A26" s="3">
        <v>2026</v>
      </c>
      <c r="B26" s="3" t="s">
        <v>236</v>
      </c>
      <c r="C26" s="3" t="s">
        <v>276</v>
      </c>
      <c r="D26" s="3" t="s">
        <v>110</v>
      </c>
    </row>
    <row r="27" ht="18" spans="1:4">
      <c r="A27" s="3">
        <v>2026</v>
      </c>
      <c r="B27" s="3" t="s">
        <v>238</v>
      </c>
      <c r="C27" s="3" t="s">
        <v>277</v>
      </c>
      <c r="D27" s="3" t="s">
        <v>111</v>
      </c>
    </row>
    <row r="28" ht="18" spans="1:4">
      <c r="A28" s="3">
        <v>2026</v>
      </c>
      <c r="B28" s="3" t="s">
        <v>240</v>
      </c>
      <c r="C28" s="3" t="s">
        <v>278</v>
      </c>
      <c r="D28" s="3" t="s">
        <v>112</v>
      </c>
    </row>
    <row r="29" ht="18" spans="1:4">
      <c r="A29" s="3">
        <v>2026</v>
      </c>
      <c r="B29" s="3" t="s">
        <v>242</v>
      </c>
      <c r="C29" s="3" t="s">
        <v>279</v>
      </c>
      <c r="D29" s="3" t="s">
        <v>110</v>
      </c>
    </row>
    <row r="30" ht="18" spans="1:4">
      <c r="A30" s="3">
        <v>2026</v>
      </c>
      <c r="B30" s="3" t="s">
        <v>245</v>
      </c>
      <c r="C30" s="3" t="s">
        <v>280</v>
      </c>
      <c r="D30" s="3" t="s">
        <v>111</v>
      </c>
    </row>
    <row r="31" ht="18" spans="1:4">
      <c r="A31" s="3">
        <v>2026</v>
      </c>
      <c r="B31" s="3" t="s">
        <v>247</v>
      </c>
      <c r="C31" s="3" t="s">
        <v>281</v>
      </c>
      <c r="D31" s="3" t="s">
        <v>112</v>
      </c>
    </row>
    <row r="32" ht="18" spans="1:4">
      <c r="A32" s="3">
        <v>2026</v>
      </c>
      <c r="B32" s="3" t="s">
        <v>250</v>
      </c>
      <c r="C32" s="3" t="s">
        <v>282</v>
      </c>
      <c r="D32" s="3" t="s">
        <v>110</v>
      </c>
    </row>
    <row r="33" ht="18" spans="1:4">
      <c r="A33" s="3">
        <v>2026</v>
      </c>
      <c r="B33" s="3" t="s">
        <v>253</v>
      </c>
      <c r="C33" s="3" t="s">
        <v>283</v>
      </c>
      <c r="D33" s="3" t="s">
        <v>111</v>
      </c>
    </row>
    <row r="34" ht="18" spans="1:4">
      <c r="A34" s="3">
        <v>2026</v>
      </c>
      <c r="B34" s="3" t="s">
        <v>256</v>
      </c>
      <c r="C34" s="3" t="s">
        <v>284</v>
      </c>
      <c r="D34" s="3" t="s">
        <v>112</v>
      </c>
    </row>
    <row r="35" ht="18" spans="1:4">
      <c r="A35" s="3">
        <v>2026</v>
      </c>
      <c r="B35" s="3" t="s">
        <v>258</v>
      </c>
      <c r="C35" s="3" t="s">
        <v>285</v>
      </c>
      <c r="D35" s="3" t="s">
        <v>110</v>
      </c>
    </row>
    <row r="36" ht="18" spans="1:4">
      <c r="A36" s="3">
        <v>2026</v>
      </c>
      <c r="B36" s="3" t="s">
        <v>260</v>
      </c>
      <c r="C36" s="3" t="s">
        <v>286</v>
      </c>
      <c r="D36" s="3" t="s">
        <v>111</v>
      </c>
    </row>
    <row r="37" ht="18" spans="1:4">
      <c r="A37" s="3">
        <v>2026</v>
      </c>
      <c r="B37" s="3" t="s">
        <v>262</v>
      </c>
      <c r="C37" s="3" t="s">
        <v>287</v>
      </c>
      <c r="D37" s="3" t="s">
        <v>112</v>
      </c>
    </row>
    <row r="38" ht="18" spans="1:4">
      <c r="A38" s="3">
        <v>2027</v>
      </c>
      <c r="B38" s="3" t="s">
        <v>236</v>
      </c>
      <c r="C38" s="3" t="s">
        <v>288</v>
      </c>
      <c r="D38" s="3" t="s">
        <v>110</v>
      </c>
    </row>
    <row r="39" ht="18" spans="1:4">
      <c r="A39" s="3">
        <v>2027</v>
      </c>
      <c r="B39" s="3" t="s">
        <v>238</v>
      </c>
      <c r="C39" s="3" t="s">
        <v>289</v>
      </c>
      <c r="D39" s="3" t="s">
        <v>111</v>
      </c>
    </row>
    <row r="40" ht="18" spans="1:4">
      <c r="A40" s="3">
        <v>2027</v>
      </c>
      <c r="B40" s="3" t="s">
        <v>240</v>
      </c>
      <c r="C40" s="3" t="s">
        <v>290</v>
      </c>
      <c r="D40" s="3" t="s">
        <v>112</v>
      </c>
    </row>
    <row r="41" ht="18" spans="1:4">
      <c r="A41" s="3">
        <v>2027</v>
      </c>
      <c r="B41" s="3" t="s">
        <v>242</v>
      </c>
      <c r="C41" s="3" t="s">
        <v>291</v>
      </c>
      <c r="D41" s="3" t="s">
        <v>110</v>
      </c>
    </row>
    <row r="42" ht="18" spans="1:4">
      <c r="A42" s="3">
        <v>2027</v>
      </c>
      <c r="B42" s="3" t="s">
        <v>245</v>
      </c>
      <c r="C42" s="3" t="s">
        <v>292</v>
      </c>
      <c r="D42" s="3" t="s">
        <v>111</v>
      </c>
    </row>
    <row r="43" ht="18" spans="1:4">
      <c r="A43" s="3">
        <v>2027</v>
      </c>
      <c r="B43" s="3" t="s">
        <v>247</v>
      </c>
      <c r="C43" s="3" t="s">
        <v>293</v>
      </c>
      <c r="D43" s="3" t="s">
        <v>112</v>
      </c>
    </row>
    <row r="44" ht="18" spans="1:4">
      <c r="A44" s="3">
        <v>2027</v>
      </c>
      <c r="B44" s="3" t="s">
        <v>250</v>
      </c>
      <c r="C44" s="3" t="s">
        <v>294</v>
      </c>
      <c r="D44" s="3" t="s">
        <v>110</v>
      </c>
    </row>
    <row r="45" ht="18" spans="1:4">
      <c r="A45" s="3">
        <v>2027</v>
      </c>
      <c r="B45" s="3" t="s">
        <v>253</v>
      </c>
      <c r="C45" s="3" t="s">
        <v>295</v>
      </c>
      <c r="D45" s="3" t="s">
        <v>111</v>
      </c>
    </row>
    <row r="46" ht="18" spans="1:4">
      <c r="A46" s="3">
        <v>2027</v>
      </c>
      <c r="B46" s="3" t="s">
        <v>256</v>
      </c>
      <c r="C46" s="3" t="s">
        <v>296</v>
      </c>
      <c r="D46" s="3" t="s">
        <v>112</v>
      </c>
    </row>
  </sheetData>
  <mergeCells count="2">
    <mergeCell ref="N4:S4"/>
    <mergeCell ref="N5:S6"/>
  </mergeCells>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2"/>
  <sheetViews>
    <sheetView showGridLines="0" workbookViewId="0">
      <selection activeCell="A2" sqref="A2"/>
    </sheetView>
  </sheetViews>
  <sheetFormatPr defaultColWidth="11" defaultRowHeight="15"/>
  <cols>
    <col min="1" max="1" width="17.1287878787879" customWidth="1"/>
    <col min="2" max="2" width="13.3787878787879" customWidth="1"/>
    <col min="3" max="3" width="10.5" customWidth="1"/>
    <col min="4" max="4" width="12.8787878787879" customWidth="1"/>
    <col min="5" max="5" width="21" customWidth="1"/>
    <col min="6" max="6" width="8.12878787878788" customWidth="1"/>
    <col min="11" max="11" width="49.6287878787879" customWidth="1"/>
  </cols>
  <sheetData>
    <row r="1" ht="18" spans="1:11">
      <c r="A1" s="2" t="s">
        <v>297</v>
      </c>
      <c r="B1" s="2" t="s">
        <v>298</v>
      </c>
      <c r="C1" s="2" t="s">
        <v>299</v>
      </c>
      <c r="D1" s="2" t="s">
        <v>300</v>
      </c>
      <c r="E1" s="2" t="s">
        <v>301</v>
      </c>
      <c r="F1" s="2" t="s">
        <v>302</v>
      </c>
      <c r="K1" t="s">
        <v>303</v>
      </c>
    </row>
    <row r="2" ht="18" spans="1:11">
      <c r="A2" s="3" t="s">
        <v>304</v>
      </c>
      <c r="B2" s="3">
        <v>120</v>
      </c>
      <c r="C2" s="3">
        <v>1500</v>
      </c>
      <c r="D2" s="3">
        <v>4000</v>
      </c>
      <c r="E2" s="3"/>
      <c r="F2" s="3"/>
      <c r="K2" t="s">
        <v>305</v>
      </c>
    </row>
    <row r="3" ht="18" spans="1:11">
      <c r="A3" s="3" t="s">
        <v>306</v>
      </c>
      <c r="B3" s="3">
        <v>85</v>
      </c>
      <c r="C3" s="3">
        <v>1000</v>
      </c>
      <c r="D3" s="3">
        <v>2500</v>
      </c>
      <c r="E3" s="3"/>
      <c r="F3" s="3"/>
      <c r="K3" t="s">
        <v>307</v>
      </c>
    </row>
    <row r="4" ht="18" spans="1:11">
      <c r="A4" s="3" t="s">
        <v>308</v>
      </c>
      <c r="B4" s="3">
        <v>60</v>
      </c>
      <c r="C4" s="3">
        <v>800</v>
      </c>
      <c r="D4" s="3">
        <v>1800</v>
      </c>
      <c r="E4" s="3"/>
      <c r="F4" s="3"/>
      <c r="K4" t="s">
        <v>309</v>
      </c>
    </row>
    <row r="5" ht="18" spans="1:11">
      <c r="A5" s="3" t="s">
        <v>310</v>
      </c>
      <c r="B5" s="3">
        <v>150</v>
      </c>
      <c r="C5" s="3">
        <v>2000</v>
      </c>
      <c r="D5" s="3">
        <v>5000</v>
      </c>
      <c r="E5" s="3"/>
      <c r="F5" s="3"/>
      <c r="K5" t="s">
        <v>311</v>
      </c>
    </row>
    <row r="6" ht="18" spans="1:11">
      <c r="A6" s="3" t="s">
        <v>312</v>
      </c>
      <c r="B6" s="3">
        <v>200</v>
      </c>
      <c r="C6" s="3">
        <v>2500</v>
      </c>
      <c r="D6" s="3">
        <v>7000</v>
      </c>
      <c r="E6" s="3"/>
      <c r="F6" s="3"/>
      <c r="K6" t="s">
        <v>313</v>
      </c>
    </row>
    <row r="7" ht="18" spans="1:6">
      <c r="A7" s="3" t="s">
        <v>314</v>
      </c>
      <c r="B7" s="3">
        <v>95</v>
      </c>
      <c r="C7" s="3">
        <v>1100</v>
      </c>
      <c r="D7" s="3">
        <v>3000</v>
      </c>
      <c r="E7" s="3"/>
      <c r="F7" s="3"/>
    </row>
    <row r="8" ht="18" spans="1:6">
      <c r="A8" s="3" t="s">
        <v>315</v>
      </c>
      <c r="B8" s="3">
        <v>130</v>
      </c>
      <c r="C8" s="3">
        <v>1600</v>
      </c>
      <c r="D8" s="3">
        <v>4200</v>
      </c>
      <c r="E8" s="3"/>
      <c r="F8" s="3"/>
    </row>
    <row r="9" ht="18" spans="1:6">
      <c r="A9" s="3" t="s">
        <v>316</v>
      </c>
      <c r="B9" s="3">
        <v>70</v>
      </c>
      <c r="C9" s="3">
        <v>900</v>
      </c>
      <c r="D9" s="3">
        <v>2100</v>
      </c>
      <c r="E9" s="3"/>
      <c r="F9" s="3"/>
    </row>
    <row r="10" ht="18" spans="1:6">
      <c r="A10" s="3" t="s">
        <v>317</v>
      </c>
      <c r="B10" s="3">
        <v>145</v>
      </c>
      <c r="C10" s="3">
        <v>1900</v>
      </c>
      <c r="D10" s="3">
        <v>4800</v>
      </c>
      <c r="E10" s="3"/>
      <c r="F10" s="3"/>
    </row>
    <row r="11" ht="18" spans="1:6">
      <c r="A11" s="3" t="s">
        <v>318</v>
      </c>
      <c r="B11" s="3">
        <v>155</v>
      </c>
      <c r="C11" s="3">
        <v>2100</v>
      </c>
      <c r="D11" s="3">
        <v>5300</v>
      </c>
      <c r="E11" s="3"/>
      <c r="F11" s="3"/>
    </row>
    <row r="12" ht="18" spans="1:6">
      <c r="A12" s="3" t="s">
        <v>319</v>
      </c>
      <c r="B12" s="3">
        <v>65</v>
      </c>
      <c r="C12" s="3">
        <v>850</v>
      </c>
      <c r="D12" s="3">
        <v>2000</v>
      </c>
      <c r="E12" s="3"/>
      <c r="F12" s="3"/>
    </row>
    <row r="13" ht="18" spans="1:6">
      <c r="A13" s="3" t="s">
        <v>320</v>
      </c>
      <c r="B13" s="3">
        <v>110</v>
      </c>
      <c r="C13" s="3">
        <v>1300</v>
      </c>
      <c r="D13" s="3">
        <v>3400</v>
      </c>
      <c r="E13" s="3"/>
      <c r="F13" s="3"/>
    </row>
    <row r="14" ht="18" spans="1:6">
      <c r="A14" s="3" t="s">
        <v>321</v>
      </c>
      <c r="B14" s="3">
        <v>125</v>
      </c>
      <c r="C14" s="3">
        <v>1400</v>
      </c>
      <c r="D14" s="3">
        <v>3700</v>
      </c>
      <c r="E14" s="3"/>
      <c r="F14" s="3"/>
    </row>
    <row r="15" ht="18" spans="1:6">
      <c r="A15" s="3" t="s">
        <v>322</v>
      </c>
      <c r="B15" s="3">
        <v>90</v>
      </c>
      <c r="C15" s="3">
        <v>950</v>
      </c>
      <c r="D15" s="3">
        <v>2800</v>
      </c>
      <c r="E15" s="3"/>
      <c r="F15" s="3"/>
    </row>
    <row r="16" ht="18" spans="1:6">
      <c r="A16" s="3" t="s">
        <v>323</v>
      </c>
      <c r="B16" s="3">
        <v>135</v>
      </c>
      <c r="C16" s="3">
        <v>1750</v>
      </c>
      <c r="D16" s="3">
        <v>4500</v>
      </c>
      <c r="E16" s="3"/>
      <c r="F16" s="3"/>
    </row>
    <row r="17" ht="18" spans="1:6">
      <c r="A17" s="3" t="s">
        <v>324</v>
      </c>
      <c r="B17" s="3">
        <v>75</v>
      </c>
      <c r="C17" s="3">
        <v>920</v>
      </c>
      <c r="D17" s="3">
        <v>2400</v>
      </c>
      <c r="E17" s="3"/>
      <c r="F17" s="3"/>
    </row>
    <row r="18" ht="18" spans="1:6">
      <c r="A18" s="3" t="s">
        <v>325</v>
      </c>
      <c r="B18" s="3">
        <v>140</v>
      </c>
      <c r="C18" s="3">
        <v>1800</v>
      </c>
      <c r="D18" s="3">
        <v>4700</v>
      </c>
      <c r="E18" s="3"/>
      <c r="F18" s="3"/>
    </row>
    <row r="19" ht="18" spans="1:6">
      <c r="A19" s="3" t="s">
        <v>326</v>
      </c>
      <c r="B19" s="3">
        <v>115</v>
      </c>
      <c r="C19" s="3">
        <v>1250</v>
      </c>
      <c r="D19" s="3">
        <v>3200</v>
      </c>
      <c r="E19" s="3"/>
      <c r="F19" s="3"/>
    </row>
    <row r="20" ht="18" spans="1:6">
      <c r="A20" s="3" t="s">
        <v>327</v>
      </c>
      <c r="B20" s="3">
        <v>100</v>
      </c>
      <c r="C20" s="3">
        <v>1100</v>
      </c>
      <c r="D20" s="3">
        <v>3100</v>
      </c>
      <c r="E20" s="3"/>
      <c r="F20" s="3"/>
    </row>
    <row r="21" ht="18" spans="1:6">
      <c r="A21" s="3" t="s">
        <v>328</v>
      </c>
      <c r="B21" s="3">
        <v>105</v>
      </c>
      <c r="C21" s="3">
        <v>1200</v>
      </c>
      <c r="D21" s="3">
        <v>3300</v>
      </c>
      <c r="E21" s="3"/>
      <c r="F21" s="3"/>
    </row>
    <row r="22" ht="18" spans="1:6">
      <c r="A22" s="3" t="s">
        <v>329</v>
      </c>
      <c r="B22" s="3">
        <v>80</v>
      </c>
      <c r="C22" s="3">
        <v>850</v>
      </c>
      <c r="D22" s="3">
        <v>2500</v>
      </c>
      <c r="E22" s="3"/>
      <c r="F22" s="3"/>
    </row>
    <row r="23" ht="18" spans="1:6">
      <c r="A23" s="3" t="s">
        <v>330</v>
      </c>
      <c r="B23" s="3">
        <v>95</v>
      </c>
      <c r="C23" s="3">
        <v>1000</v>
      </c>
      <c r="D23" s="3">
        <v>2900</v>
      </c>
      <c r="E23" s="3"/>
      <c r="F23" s="3"/>
    </row>
    <row r="24" ht="18" spans="1:6">
      <c r="A24" s="3" t="s">
        <v>331</v>
      </c>
      <c r="B24" s="3">
        <v>125</v>
      </c>
      <c r="C24" s="3">
        <v>1500</v>
      </c>
      <c r="D24" s="3">
        <v>4100</v>
      </c>
      <c r="E24" s="3"/>
      <c r="F24" s="3"/>
    </row>
    <row r="25" ht="18" spans="1:6">
      <c r="A25" s="3" t="s">
        <v>332</v>
      </c>
      <c r="B25" s="3">
        <v>70</v>
      </c>
      <c r="C25" s="3">
        <v>800</v>
      </c>
      <c r="D25" s="3">
        <v>2200</v>
      </c>
      <c r="E25" s="3"/>
      <c r="F25" s="3"/>
    </row>
    <row r="26" ht="18" spans="1:6">
      <c r="A26" s="3" t="s">
        <v>333</v>
      </c>
      <c r="B26" s="3">
        <v>130</v>
      </c>
      <c r="C26" s="3">
        <v>1600</v>
      </c>
      <c r="D26" s="3">
        <v>4400</v>
      </c>
      <c r="E26" s="3"/>
      <c r="F26" s="3"/>
    </row>
    <row r="27" ht="18" spans="1:6">
      <c r="A27" s="3" t="s">
        <v>334</v>
      </c>
      <c r="B27" s="3">
        <v>150</v>
      </c>
      <c r="C27" s="3">
        <v>1900</v>
      </c>
      <c r="D27" s="3">
        <v>5100</v>
      </c>
      <c r="E27" s="3"/>
      <c r="F27" s="3"/>
    </row>
    <row r="28" ht="18" spans="1:6">
      <c r="A28" s="3" t="s">
        <v>335</v>
      </c>
      <c r="B28" s="3">
        <v>85</v>
      </c>
      <c r="C28" s="3">
        <v>900</v>
      </c>
      <c r="D28" s="3">
        <v>2700</v>
      </c>
      <c r="E28" s="3"/>
      <c r="F28" s="3"/>
    </row>
    <row r="29" ht="18" spans="1:6">
      <c r="A29" s="3" t="s">
        <v>336</v>
      </c>
      <c r="B29" s="3">
        <v>100</v>
      </c>
      <c r="C29" s="3">
        <v>1050</v>
      </c>
      <c r="D29" s="3">
        <v>3100</v>
      </c>
      <c r="E29" s="3"/>
      <c r="F29" s="3"/>
    </row>
    <row r="30" ht="18" spans="1:6">
      <c r="A30" s="3" t="s">
        <v>337</v>
      </c>
      <c r="B30" s="3">
        <v>110</v>
      </c>
      <c r="C30" s="3">
        <v>1200</v>
      </c>
      <c r="D30" s="3">
        <v>3500</v>
      </c>
      <c r="E30" s="3"/>
      <c r="F30" s="3"/>
    </row>
    <row r="31" ht="18" spans="1:6">
      <c r="A31" s="3" t="s">
        <v>338</v>
      </c>
      <c r="B31" s="3">
        <v>95</v>
      </c>
      <c r="C31" s="3">
        <v>1000</v>
      </c>
      <c r="D31" s="3">
        <v>2900</v>
      </c>
      <c r="E31" s="3"/>
      <c r="F31" s="3"/>
    </row>
    <row r="32" ht="18" spans="1:6">
      <c r="A32" s="3" t="s">
        <v>339</v>
      </c>
      <c r="B32" s="3">
        <v>125</v>
      </c>
      <c r="C32" s="3">
        <v>1500</v>
      </c>
      <c r="D32" s="3">
        <v>4300</v>
      </c>
      <c r="E32" s="3"/>
      <c r="F32" s="3"/>
    </row>
    <row r="33" ht="18" spans="1:6">
      <c r="A33" s="3" t="s">
        <v>340</v>
      </c>
      <c r="B33" s="3">
        <v>90</v>
      </c>
      <c r="C33" s="3">
        <v>950</v>
      </c>
      <c r="D33" s="3">
        <v>2800</v>
      </c>
      <c r="E33" s="3"/>
      <c r="F33" s="3"/>
    </row>
    <row r="34" ht="18" spans="1:6">
      <c r="A34" s="3" t="s">
        <v>341</v>
      </c>
      <c r="B34" s="3">
        <v>140</v>
      </c>
      <c r="C34" s="3">
        <v>1800</v>
      </c>
      <c r="D34" s="3">
        <v>4700</v>
      </c>
      <c r="E34" s="3"/>
      <c r="F34" s="3"/>
    </row>
    <row r="35" ht="18" spans="1:6">
      <c r="A35" s="3" t="s">
        <v>342</v>
      </c>
      <c r="B35" s="3">
        <v>70</v>
      </c>
      <c r="C35" s="3">
        <v>850</v>
      </c>
      <c r="D35" s="3">
        <v>2100</v>
      </c>
      <c r="E35" s="3"/>
      <c r="F35" s="3"/>
    </row>
    <row r="36" ht="18" spans="1:6">
      <c r="A36" s="3" t="s">
        <v>343</v>
      </c>
      <c r="B36" s="3">
        <v>145</v>
      </c>
      <c r="C36" s="3">
        <v>1900</v>
      </c>
      <c r="D36" s="3">
        <v>4800</v>
      </c>
      <c r="E36" s="3"/>
      <c r="F36" s="3"/>
    </row>
    <row r="37" ht="18" spans="1:6">
      <c r="A37" s="3" t="s">
        <v>344</v>
      </c>
      <c r="B37" s="3">
        <v>155</v>
      </c>
      <c r="C37" s="3">
        <v>2100</v>
      </c>
      <c r="D37" s="3">
        <v>5300</v>
      </c>
      <c r="E37" s="3"/>
      <c r="F37" s="3"/>
    </row>
    <row r="38" ht="18" spans="1:6">
      <c r="A38" s="3" t="s">
        <v>345</v>
      </c>
      <c r="B38" s="3">
        <v>80</v>
      </c>
      <c r="C38" s="3">
        <v>900</v>
      </c>
      <c r="D38" s="3">
        <v>2400</v>
      </c>
      <c r="E38" s="3"/>
      <c r="F38" s="3"/>
    </row>
    <row r="39" ht="18" spans="1:6">
      <c r="A39" s="3" t="s">
        <v>346</v>
      </c>
      <c r="B39" s="3">
        <v>120</v>
      </c>
      <c r="C39" s="3">
        <v>1300</v>
      </c>
      <c r="D39" s="3">
        <v>4000</v>
      </c>
      <c r="E39" s="3"/>
      <c r="F39" s="3"/>
    </row>
    <row r="40" ht="18" spans="1:6">
      <c r="A40" s="3" t="s">
        <v>347</v>
      </c>
      <c r="B40" s="3">
        <v>135</v>
      </c>
      <c r="C40" s="3">
        <v>1600</v>
      </c>
      <c r="D40" s="3">
        <v>4400</v>
      </c>
      <c r="E40" s="3"/>
      <c r="F40" s="3"/>
    </row>
    <row r="41" ht="18" spans="1:6">
      <c r="A41" s="3" t="s">
        <v>348</v>
      </c>
      <c r="B41" s="3">
        <v>150</v>
      </c>
      <c r="C41" s="3">
        <v>2000</v>
      </c>
      <c r="D41" s="3">
        <v>5000</v>
      </c>
      <c r="E41" s="3"/>
      <c r="F41" s="3"/>
    </row>
    <row r="42" ht="18" spans="1:6">
      <c r="A42" s="3" t="s">
        <v>349</v>
      </c>
      <c r="B42" s="3">
        <v>90</v>
      </c>
      <c r="C42" s="3">
        <v>1000</v>
      </c>
      <c r="D42" s="3">
        <v>2800</v>
      </c>
      <c r="E42" s="3"/>
      <c r="F42" s="3"/>
    </row>
    <row r="43" ht="18" spans="1:6">
      <c r="A43" s="3" t="s">
        <v>350</v>
      </c>
      <c r="B43" s="3">
        <v>105</v>
      </c>
      <c r="C43" s="3">
        <v>1200</v>
      </c>
      <c r="D43" s="3">
        <v>3300</v>
      </c>
      <c r="E43" s="3"/>
      <c r="F43" s="3"/>
    </row>
    <row r="44" ht="18" spans="1:6">
      <c r="A44" s="3" t="s">
        <v>351</v>
      </c>
      <c r="B44" s="3">
        <v>95</v>
      </c>
      <c r="C44" s="3">
        <v>1050</v>
      </c>
      <c r="D44" s="3">
        <v>3000</v>
      </c>
      <c r="E44" s="3"/>
      <c r="F44" s="3"/>
    </row>
    <row r="45" ht="18" spans="1:6">
      <c r="A45" s="3" t="s">
        <v>352</v>
      </c>
      <c r="B45" s="3">
        <v>85</v>
      </c>
      <c r="C45" s="3">
        <v>950</v>
      </c>
      <c r="D45" s="3">
        <v>2700</v>
      </c>
      <c r="E45" s="3"/>
      <c r="F45" s="3"/>
    </row>
    <row r="46" ht="18" spans="1:6">
      <c r="A46" s="3" t="s">
        <v>353</v>
      </c>
      <c r="B46" s="3">
        <v>100</v>
      </c>
      <c r="C46" s="3">
        <v>1150</v>
      </c>
      <c r="D46" s="3">
        <v>3200</v>
      </c>
      <c r="E46" s="3"/>
      <c r="F46" s="3"/>
    </row>
    <row r="47" ht="18" spans="1:6">
      <c r="A47" s="3" t="s">
        <v>354</v>
      </c>
      <c r="B47" s="3">
        <v>75</v>
      </c>
      <c r="C47" s="3">
        <v>850</v>
      </c>
      <c r="D47" s="3">
        <v>2200</v>
      </c>
      <c r="E47" s="3"/>
      <c r="F47" s="3"/>
    </row>
    <row r="48" ht="18" spans="1:6">
      <c r="A48" s="3" t="s">
        <v>355</v>
      </c>
      <c r="B48" s="3">
        <v>110</v>
      </c>
      <c r="C48" s="3">
        <v>1300</v>
      </c>
      <c r="D48" s="3">
        <v>3400</v>
      </c>
      <c r="E48" s="3"/>
      <c r="F48" s="3"/>
    </row>
    <row r="49" ht="18" spans="1:6">
      <c r="A49" s="3" t="s">
        <v>356</v>
      </c>
      <c r="B49" s="3">
        <v>140</v>
      </c>
      <c r="C49" s="3">
        <v>1700</v>
      </c>
      <c r="D49" s="3">
        <v>4600</v>
      </c>
      <c r="E49" s="3"/>
      <c r="F49" s="3"/>
    </row>
    <row r="50" ht="18" spans="1:6">
      <c r="A50" s="3" t="s">
        <v>357</v>
      </c>
      <c r="B50" s="3">
        <v>120</v>
      </c>
      <c r="C50" s="3">
        <v>1500</v>
      </c>
      <c r="D50" s="3">
        <v>4000</v>
      </c>
      <c r="E50" s="3"/>
      <c r="F50" s="3"/>
    </row>
    <row r="51" ht="18" spans="1:6">
      <c r="A51" s="3" t="s">
        <v>358</v>
      </c>
      <c r="B51" s="3">
        <v>95</v>
      </c>
      <c r="C51" s="3">
        <v>1000</v>
      </c>
      <c r="D51" s="3">
        <v>2900</v>
      </c>
      <c r="E51" s="3"/>
      <c r="F51" s="3"/>
    </row>
    <row r="52" ht="18" spans="1:6">
      <c r="A52" s="3" t="s">
        <v>359</v>
      </c>
      <c r="B52" s="3">
        <v>100</v>
      </c>
      <c r="C52" s="3">
        <v>1050</v>
      </c>
      <c r="D52" s="3">
        <v>3100</v>
      </c>
      <c r="E52" s="3"/>
      <c r="F52" s="3"/>
    </row>
  </sheetData>
  <pageMargins left="0.7" right="0.7" top="0.75" bottom="0.75" header="0.3" footer="0.3"/>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52"/>
  <sheetViews>
    <sheetView showGridLines="0" workbookViewId="0">
      <selection activeCell="A3" sqref="A3"/>
    </sheetView>
  </sheetViews>
  <sheetFormatPr defaultColWidth="11" defaultRowHeight="15"/>
  <cols>
    <col min="1" max="1" width="13.5" customWidth="1"/>
    <col min="2" max="3" width="9.5" customWidth="1"/>
    <col min="4" max="4" width="13" customWidth="1"/>
    <col min="5" max="5" width="10.5" customWidth="1"/>
    <col min="6" max="6" width="7.12878787878788" customWidth="1"/>
    <col min="7" max="7" width="10.1287878787879" customWidth="1"/>
    <col min="8" max="8" width="8.62878787878788" customWidth="1"/>
    <col min="9" max="9" width="6.37878787878788" customWidth="1"/>
    <col min="10" max="10" width="13.5" customWidth="1"/>
    <col min="11" max="12" width="6.87878787878788" customWidth="1"/>
    <col min="13" max="13" width="6.62878787878788" customWidth="1"/>
    <col min="14" max="15" width="7" customWidth="1"/>
    <col min="16" max="16" width="8.87878787878788" customWidth="1"/>
    <col min="17" max="18" width="9.5" customWidth="1"/>
    <col min="19" max="19" width="13" customWidth="1"/>
    <col min="20" max="20" width="10.5" customWidth="1"/>
    <col min="21" max="21" width="7.12878787878788" customWidth="1"/>
    <col min="22" max="22" width="10.1287878787879" customWidth="1"/>
    <col min="23" max="23" width="8.62878787878788" customWidth="1"/>
    <col min="25" max="25" width="13.5" customWidth="1"/>
    <col min="26" max="26" width="17.1287878787879" customWidth="1"/>
    <col min="27" max="27" width="8.87878787878788" customWidth="1"/>
  </cols>
  <sheetData>
    <row r="1" ht="17.4" spans="1:27">
      <c r="A1" s="1" t="s">
        <v>360</v>
      </c>
      <c r="B1" s="1"/>
      <c r="C1" s="1"/>
      <c r="D1" s="1"/>
      <c r="E1" s="1"/>
      <c r="F1" s="1"/>
      <c r="G1" s="1"/>
      <c r="H1" s="1"/>
      <c r="J1" s="1" t="s">
        <v>361</v>
      </c>
      <c r="K1" s="1"/>
      <c r="L1" s="1"/>
      <c r="M1" s="1"/>
      <c r="N1" s="1"/>
      <c r="P1" s="4" t="s">
        <v>362</v>
      </c>
      <c r="Q1" s="4"/>
      <c r="R1" s="4"/>
      <c r="S1" s="4"/>
      <c r="T1" s="4"/>
      <c r="U1" s="4"/>
      <c r="V1" s="4"/>
      <c r="W1" s="4"/>
      <c r="Y1" s="1" t="s">
        <v>363</v>
      </c>
      <c r="Z1" s="1"/>
      <c r="AA1" s="1"/>
    </row>
    <row r="2" ht="18" spans="1:27">
      <c r="A2" s="2" t="s">
        <v>364</v>
      </c>
      <c r="B2" s="2" t="s">
        <v>365</v>
      </c>
      <c r="C2" s="2" t="s">
        <v>366</v>
      </c>
      <c r="D2" s="2" t="s">
        <v>367</v>
      </c>
      <c r="E2" s="2" t="s">
        <v>368</v>
      </c>
      <c r="F2" s="2" t="s">
        <v>369</v>
      </c>
      <c r="G2" s="2" t="s">
        <v>370</v>
      </c>
      <c r="H2" s="2" t="s">
        <v>371</v>
      </c>
      <c r="J2" s="2" t="s">
        <v>364</v>
      </c>
      <c r="K2" s="2" t="s">
        <v>372</v>
      </c>
      <c r="L2" s="2" t="s">
        <v>373</v>
      </c>
      <c r="M2" s="2" t="s">
        <v>374</v>
      </c>
      <c r="N2" s="2" t="s">
        <v>375</v>
      </c>
      <c r="O2" s="3"/>
      <c r="P2" s="2" t="s">
        <v>376</v>
      </c>
      <c r="Q2" s="2" t="s">
        <v>365</v>
      </c>
      <c r="R2" s="2" t="s">
        <v>366</v>
      </c>
      <c r="S2" s="2" t="s">
        <v>367</v>
      </c>
      <c r="T2" s="2" t="s">
        <v>368</v>
      </c>
      <c r="U2" s="2" t="s">
        <v>369</v>
      </c>
      <c r="V2" s="2" t="s">
        <v>370</v>
      </c>
      <c r="W2" s="2" t="s">
        <v>371</v>
      </c>
      <c r="Y2" s="2" t="s">
        <v>364</v>
      </c>
      <c r="Z2" s="2" t="s">
        <v>87</v>
      </c>
      <c r="AA2" s="2" t="s">
        <v>376</v>
      </c>
    </row>
    <row r="3" ht="18" spans="1:27">
      <c r="A3" s="3">
        <v>1</v>
      </c>
      <c r="B3" s="3">
        <v>1</v>
      </c>
      <c r="C3" s="3">
        <v>0</v>
      </c>
      <c r="D3" s="3">
        <v>1</v>
      </c>
      <c r="E3" s="3">
        <v>1</v>
      </c>
      <c r="F3" s="3">
        <v>1</v>
      </c>
      <c r="G3" s="3">
        <v>0</v>
      </c>
      <c r="H3" s="3">
        <v>0</v>
      </c>
      <c r="J3" s="3">
        <v>1</v>
      </c>
      <c r="K3" s="3"/>
      <c r="L3" s="3"/>
      <c r="M3" s="3"/>
      <c r="N3" s="3"/>
      <c r="O3" s="3"/>
      <c r="P3" s="3" t="s">
        <v>377</v>
      </c>
      <c r="Q3" s="3">
        <v>5</v>
      </c>
      <c r="R3" s="3">
        <v>4</v>
      </c>
      <c r="S3" s="3">
        <v>5</v>
      </c>
      <c r="T3" s="3">
        <v>4</v>
      </c>
      <c r="U3" s="3">
        <v>5</v>
      </c>
      <c r="V3" s="3">
        <v>3</v>
      </c>
      <c r="W3" s="3">
        <v>4</v>
      </c>
      <c r="Y3" s="3">
        <v>1</v>
      </c>
      <c r="Z3" s="3" t="s">
        <v>378</v>
      </c>
      <c r="AA3" s="3" t="s">
        <v>377</v>
      </c>
    </row>
    <row r="4" ht="18" spans="1:27">
      <c r="A4" s="3">
        <v>2</v>
      </c>
      <c r="B4" s="3">
        <v>1</v>
      </c>
      <c r="C4" s="3">
        <v>1</v>
      </c>
      <c r="D4" s="3">
        <v>1</v>
      </c>
      <c r="E4" s="3">
        <v>0</v>
      </c>
      <c r="F4" s="3">
        <v>1</v>
      </c>
      <c r="G4" s="3">
        <v>1</v>
      </c>
      <c r="H4" s="3">
        <v>0</v>
      </c>
      <c r="J4" s="3">
        <v>2</v>
      </c>
      <c r="K4" s="3"/>
      <c r="L4" s="3"/>
      <c r="M4" s="3"/>
      <c r="N4" s="3"/>
      <c r="O4" s="3"/>
      <c r="P4" s="3" t="s">
        <v>379</v>
      </c>
      <c r="Q4" s="3">
        <v>3</v>
      </c>
      <c r="R4" s="3">
        <v>3</v>
      </c>
      <c r="S4" s="3">
        <v>3</v>
      </c>
      <c r="T4" s="3">
        <v>3</v>
      </c>
      <c r="U4" s="3">
        <v>3</v>
      </c>
      <c r="V4" s="3">
        <v>2</v>
      </c>
      <c r="W4" s="3">
        <v>2</v>
      </c>
      <c r="Y4" s="3">
        <v>2</v>
      </c>
      <c r="Z4" s="3" t="s">
        <v>380</v>
      </c>
      <c r="AA4" s="3" t="s">
        <v>379</v>
      </c>
    </row>
    <row r="5" ht="18" spans="1:27">
      <c r="A5" s="3">
        <v>3</v>
      </c>
      <c r="B5" s="3">
        <v>0</v>
      </c>
      <c r="C5" s="3">
        <v>1</v>
      </c>
      <c r="D5" s="3">
        <v>1</v>
      </c>
      <c r="E5" s="3">
        <v>1</v>
      </c>
      <c r="F5" s="3">
        <v>0</v>
      </c>
      <c r="G5" s="3">
        <v>0</v>
      </c>
      <c r="H5" s="3">
        <v>1</v>
      </c>
      <c r="J5" s="3">
        <v>3</v>
      </c>
      <c r="K5" s="3"/>
      <c r="L5" s="3"/>
      <c r="M5" s="3"/>
      <c r="N5" s="3"/>
      <c r="O5" s="3"/>
      <c r="P5" s="3" t="s">
        <v>381</v>
      </c>
      <c r="Q5" s="3">
        <v>2</v>
      </c>
      <c r="R5" s="3">
        <v>2</v>
      </c>
      <c r="S5" s="3">
        <v>2</v>
      </c>
      <c r="T5" s="3">
        <v>2</v>
      </c>
      <c r="U5" s="3">
        <v>2</v>
      </c>
      <c r="V5" s="3">
        <v>1</v>
      </c>
      <c r="W5" s="3">
        <v>1</v>
      </c>
      <c r="Y5" s="3">
        <v>3</v>
      </c>
      <c r="Z5" s="3" t="s">
        <v>200</v>
      </c>
      <c r="AA5" s="3" t="s">
        <v>377</v>
      </c>
    </row>
    <row r="6" ht="18" spans="1:27">
      <c r="A6" s="3">
        <v>4</v>
      </c>
      <c r="B6" s="3">
        <v>1</v>
      </c>
      <c r="C6" s="3">
        <v>0</v>
      </c>
      <c r="D6" s="3">
        <v>1</v>
      </c>
      <c r="E6" s="3">
        <v>1</v>
      </c>
      <c r="F6" s="3">
        <v>0</v>
      </c>
      <c r="G6" s="3">
        <v>1</v>
      </c>
      <c r="H6" s="3">
        <v>0</v>
      </c>
      <c r="J6" s="3">
        <v>4</v>
      </c>
      <c r="K6" s="3"/>
      <c r="L6" s="3"/>
      <c r="M6" s="3"/>
      <c r="N6" s="3"/>
      <c r="O6" s="3"/>
      <c r="Y6" s="3">
        <v>4</v>
      </c>
      <c r="Z6" s="3" t="s">
        <v>382</v>
      </c>
      <c r="AA6" s="3" t="s">
        <v>381</v>
      </c>
    </row>
    <row r="7" ht="18" spans="1:27">
      <c r="A7" s="3">
        <v>5</v>
      </c>
      <c r="B7" s="3">
        <v>1</v>
      </c>
      <c r="C7" s="3">
        <v>1</v>
      </c>
      <c r="D7" s="3">
        <v>0</v>
      </c>
      <c r="E7" s="3">
        <v>0</v>
      </c>
      <c r="F7" s="3">
        <v>1</v>
      </c>
      <c r="G7" s="3">
        <v>1</v>
      </c>
      <c r="H7" s="3">
        <v>1</v>
      </c>
      <c r="J7" s="3">
        <v>5</v>
      </c>
      <c r="K7" s="3"/>
      <c r="L7" s="3"/>
      <c r="M7" s="3"/>
      <c r="N7" s="3"/>
      <c r="O7" s="3"/>
      <c r="Y7" s="3">
        <v>5</v>
      </c>
      <c r="Z7" s="3" t="s">
        <v>383</v>
      </c>
      <c r="AA7" s="3" t="s">
        <v>377</v>
      </c>
    </row>
    <row r="8" ht="18" spans="1:27">
      <c r="A8" s="3">
        <v>6</v>
      </c>
      <c r="B8" s="3">
        <v>0</v>
      </c>
      <c r="C8" s="3">
        <v>1</v>
      </c>
      <c r="D8" s="3">
        <v>1</v>
      </c>
      <c r="E8" s="3">
        <v>1</v>
      </c>
      <c r="F8" s="3">
        <v>1</v>
      </c>
      <c r="G8" s="3">
        <v>0</v>
      </c>
      <c r="H8" s="3">
        <v>1</v>
      </c>
      <c r="J8" s="3">
        <v>6</v>
      </c>
      <c r="K8" s="3"/>
      <c r="L8" s="3"/>
      <c r="M8" s="3"/>
      <c r="N8" s="3"/>
      <c r="O8" s="3"/>
      <c r="Y8" s="3">
        <v>6</v>
      </c>
      <c r="Z8" s="3" t="s">
        <v>384</v>
      </c>
      <c r="AA8" s="3" t="s">
        <v>379</v>
      </c>
    </row>
    <row r="9" ht="18" spans="1:27">
      <c r="A9" s="3">
        <v>7</v>
      </c>
      <c r="B9" s="3">
        <v>1</v>
      </c>
      <c r="C9" s="3">
        <v>0</v>
      </c>
      <c r="D9" s="3">
        <v>1</v>
      </c>
      <c r="E9" s="3">
        <v>0</v>
      </c>
      <c r="F9" s="3">
        <v>1</v>
      </c>
      <c r="G9" s="3">
        <v>1</v>
      </c>
      <c r="H9" s="3">
        <v>1</v>
      </c>
      <c r="J9" s="3">
        <v>7</v>
      </c>
      <c r="K9" s="3"/>
      <c r="L9" s="3"/>
      <c r="M9" s="3"/>
      <c r="N9" s="3"/>
      <c r="O9" s="3"/>
      <c r="Y9" s="3">
        <v>7</v>
      </c>
      <c r="Z9" s="3" t="s">
        <v>385</v>
      </c>
      <c r="AA9" s="3" t="s">
        <v>377</v>
      </c>
    </row>
    <row r="10" ht="18" spans="1:27">
      <c r="A10" s="3">
        <v>8</v>
      </c>
      <c r="B10" s="3">
        <v>1</v>
      </c>
      <c r="C10" s="3">
        <v>1</v>
      </c>
      <c r="D10" s="3">
        <v>0</v>
      </c>
      <c r="E10" s="3">
        <v>1</v>
      </c>
      <c r="F10" s="3">
        <v>1</v>
      </c>
      <c r="G10" s="3">
        <v>0</v>
      </c>
      <c r="H10" s="3">
        <v>0</v>
      </c>
      <c r="J10" s="3">
        <v>8</v>
      </c>
      <c r="K10" s="3"/>
      <c r="L10" s="3"/>
      <c r="M10" s="3"/>
      <c r="N10" s="3"/>
      <c r="O10" s="3"/>
      <c r="Y10" s="3">
        <v>8</v>
      </c>
      <c r="Z10" s="3" t="s">
        <v>386</v>
      </c>
      <c r="AA10" s="3" t="s">
        <v>381</v>
      </c>
    </row>
    <row r="11" ht="18" spans="1:27">
      <c r="A11" s="3">
        <v>9</v>
      </c>
      <c r="B11" s="3">
        <v>1</v>
      </c>
      <c r="C11" s="3">
        <v>1</v>
      </c>
      <c r="D11" s="3">
        <v>1</v>
      </c>
      <c r="E11" s="3">
        <v>0</v>
      </c>
      <c r="F11" s="3">
        <v>0</v>
      </c>
      <c r="G11" s="3">
        <v>1</v>
      </c>
      <c r="H11" s="3">
        <v>1</v>
      </c>
      <c r="J11" s="3">
        <v>9</v>
      </c>
      <c r="K11" s="3"/>
      <c r="L11" s="3"/>
      <c r="M11" s="3"/>
      <c r="N11" s="3"/>
      <c r="O11" s="3"/>
      <c r="Y11" s="3">
        <v>9</v>
      </c>
      <c r="Z11" s="3" t="s">
        <v>387</v>
      </c>
      <c r="AA11" s="3" t="s">
        <v>377</v>
      </c>
    </row>
    <row r="12" ht="18" spans="1:27">
      <c r="A12" s="3">
        <v>10</v>
      </c>
      <c r="B12" s="3">
        <v>0</v>
      </c>
      <c r="C12" s="3">
        <v>1</v>
      </c>
      <c r="D12" s="3">
        <v>0</v>
      </c>
      <c r="E12" s="3">
        <v>1</v>
      </c>
      <c r="F12" s="3">
        <v>1</v>
      </c>
      <c r="G12" s="3">
        <v>1</v>
      </c>
      <c r="H12" s="3">
        <v>1</v>
      </c>
      <c r="J12" s="3">
        <v>10</v>
      </c>
      <c r="K12" s="3"/>
      <c r="L12" s="3"/>
      <c r="M12" s="3"/>
      <c r="N12" s="3"/>
      <c r="O12" s="3"/>
      <c r="Y12" s="3">
        <v>10</v>
      </c>
      <c r="Z12" s="3" t="s">
        <v>388</v>
      </c>
      <c r="AA12" s="3" t="s">
        <v>379</v>
      </c>
    </row>
    <row r="13" ht="18" spans="1:27">
      <c r="A13" s="3">
        <v>11</v>
      </c>
      <c r="B13" s="3">
        <v>1</v>
      </c>
      <c r="C13" s="3">
        <v>1</v>
      </c>
      <c r="D13" s="3">
        <v>1</v>
      </c>
      <c r="E13" s="3">
        <v>0</v>
      </c>
      <c r="F13" s="3">
        <v>1</v>
      </c>
      <c r="G13" s="3">
        <v>1</v>
      </c>
      <c r="H13" s="3">
        <v>0</v>
      </c>
      <c r="J13" s="3">
        <v>11</v>
      </c>
      <c r="K13" s="3"/>
      <c r="L13" s="3"/>
      <c r="M13" s="3"/>
      <c r="N13" s="3"/>
      <c r="O13" s="3"/>
      <c r="Y13" s="3">
        <v>11</v>
      </c>
      <c r="Z13" s="3" t="s">
        <v>389</v>
      </c>
      <c r="AA13" s="3" t="s">
        <v>377</v>
      </c>
    </row>
    <row r="14" ht="18" spans="1:27">
      <c r="A14" s="3">
        <v>12</v>
      </c>
      <c r="B14" s="3">
        <v>0</v>
      </c>
      <c r="C14" s="3">
        <v>1</v>
      </c>
      <c r="D14" s="3">
        <v>1</v>
      </c>
      <c r="E14" s="3">
        <v>1</v>
      </c>
      <c r="F14" s="3">
        <v>0</v>
      </c>
      <c r="G14" s="3">
        <v>0</v>
      </c>
      <c r="H14" s="3">
        <v>1</v>
      </c>
      <c r="J14" s="3">
        <v>12</v>
      </c>
      <c r="K14" s="3"/>
      <c r="L14" s="3"/>
      <c r="M14" s="3"/>
      <c r="N14" s="3"/>
      <c r="O14" s="3"/>
      <c r="Y14" s="3">
        <v>12</v>
      </c>
      <c r="Z14" s="3" t="s">
        <v>390</v>
      </c>
      <c r="AA14" s="3" t="s">
        <v>379</v>
      </c>
    </row>
    <row r="15" ht="18" spans="1:27">
      <c r="A15" s="3">
        <v>13</v>
      </c>
      <c r="B15" s="3">
        <v>1</v>
      </c>
      <c r="C15" s="3">
        <v>0</v>
      </c>
      <c r="D15" s="3">
        <v>1</v>
      </c>
      <c r="E15" s="3">
        <v>1</v>
      </c>
      <c r="F15" s="3">
        <v>0</v>
      </c>
      <c r="G15" s="3">
        <v>1</v>
      </c>
      <c r="H15" s="3">
        <v>0</v>
      </c>
      <c r="J15" s="3">
        <v>13</v>
      </c>
      <c r="K15" s="3"/>
      <c r="L15" s="3"/>
      <c r="M15" s="3"/>
      <c r="N15" s="3"/>
      <c r="O15" s="3"/>
      <c r="Y15" s="3">
        <v>13</v>
      </c>
      <c r="Z15" s="3" t="s">
        <v>391</v>
      </c>
      <c r="AA15" s="3" t="s">
        <v>377</v>
      </c>
    </row>
    <row r="16" ht="18" spans="1:27">
      <c r="A16" s="3">
        <v>14</v>
      </c>
      <c r="B16" s="3">
        <v>1</v>
      </c>
      <c r="C16" s="3">
        <v>1</v>
      </c>
      <c r="D16" s="3">
        <v>0</v>
      </c>
      <c r="E16" s="3">
        <v>0</v>
      </c>
      <c r="F16" s="3">
        <v>1</v>
      </c>
      <c r="G16" s="3">
        <v>1</v>
      </c>
      <c r="H16" s="3">
        <v>1</v>
      </c>
      <c r="J16" s="3">
        <v>14</v>
      </c>
      <c r="K16" s="3"/>
      <c r="L16" s="3"/>
      <c r="M16" s="3"/>
      <c r="N16" s="3"/>
      <c r="O16" s="3"/>
      <c r="Y16" s="3">
        <v>14</v>
      </c>
      <c r="Z16" s="3" t="s">
        <v>392</v>
      </c>
      <c r="AA16" s="3" t="s">
        <v>381</v>
      </c>
    </row>
    <row r="17" ht="18" spans="1:27">
      <c r="A17" s="3">
        <v>15</v>
      </c>
      <c r="B17" s="3">
        <v>1</v>
      </c>
      <c r="C17" s="3">
        <v>0</v>
      </c>
      <c r="D17" s="3">
        <v>1</v>
      </c>
      <c r="E17" s="3">
        <v>0</v>
      </c>
      <c r="F17" s="3">
        <v>1</v>
      </c>
      <c r="G17" s="3">
        <v>1</v>
      </c>
      <c r="H17" s="3">
        <v>1</v>
      </c>
      <c r="J17" s="3">
        <v>15</v>
      </c>
      <c r="K17" s="3"/>
      <c r="L17" s="3"/>
      <c r="M17" s="3"/>
      <c r="N17" s="3"/>
      <c r="O17" s="3"/>
      <c r="Y17" s="3">
        <v>15</v>
      </c>
      <c r="Z17" s="3" t="s">
        <v>393</v>
      </c>
      <c r="AA17" s="3" t="s">
        <v>377</v>
      </c>
    </row>
    <row r="18" ht="18" spans="1:27">
      <c r="A18" s="3">
        <v>16</v>
      </c>
      <c r="B18" s="3">
        <v>1</v>
      </c>
      <c r="C18" s="3">
        <v>1</v>
      </c>
      <c r="D18" s="3">
        <v>0</v>
      </c>
      <c r="E18" s="3">
        <v>1</v>
      </c>
      <c r="F18" s="3">
        <v>1</v>
      </c>
      <c r="G18" s="3">
        <v>0</v>
      </c>
      <c r="H18" s="3">
        <v>0</v>
      </c>
      <c r="J18" s="3">
        <v>16</v>
      </c>
      <c r="K18" s="3"/>
      <c r="L18" s="3"/>
      <c r="M18" s="3"/>
      <c r="N18" s="3"/>
      <c r="O18" s="3"/>
      <c r="Y18" s="3">
        <v>16</v>
      </c>
      <c r="Z18" s="3" t="s">
        <v>394</v>
      </c>
      <c r="AA18" s="3" t="s">
        <v>379</v>
      </c>
    </row>
    <row r="19" ht="18" spans="1:27">
      <c r="A19" s="3">
        <v>17</v>
      </c>
      <c r="B19" s="3">
        <v>1</v>
      </c>
      <c r="C19" s="3">
        <v>1</v>
      </c>
      <c r="D19" s="3">
        <v>1</v>
      </c>
      <c r="E19" s="3">
        <v>0</v>
      </c>
      <c r="F19" s="3">
        <v>0</v>
      </c>
      <c r="G19" s="3">
        <v>1</v>
      </c>
      <c r="H19" s="3">
        <v>1</v>
      </c>
      <c r="J19" s="3">
        <v>17</v>
      </c>
      <c r="K19" s="3"/>
      <c r="L19" s="3"/>
      <c r="M19" s="3"/>
      <c r="N19" s="3"/>
      <c r="O19" s="3"/>
      <c r="Y19" s="3">
        <v>17</v>
      </c>
      <c r="Z19" s="3" t="s">
        <v>395</v>
      </c>
      <c r="AA19" s="3" t="s">
        <v>377</v>
      </c>
    </row>
    <row r="20" ht="18" spans="1:27">
      <c r="A20" s="3">
        <v>18</v>
      </c>
      <c r="B20" s="3">
        <v>0</v>
      </c>
      <c r="C20" s="3">
        <v>1</v>
      </c>
      <c r="D20" s="3">
        <v>0</v>
      </c>
      <c r="E20" s="3">
        <v>1</v>
      </c>
      <c r="F20" s="3">
        <v>1</v>
      </c>
      <c r="G20" s="3">
        <v>1</v>
      </c>
      <c r="H20" s="3">
        <v>1</v>
      </c>
      <c r="J20" s="3">
        <v>18</v>
      </c>
      <c r="K20" s="3"/>
      <c r="L20" s="3"/>
      <c r="M20" s="3"/>
      <c r="N20" s="3"/>
      <c r="O20" s="3"/>
      <c r="Y20" s="3">
        <v>18</v>
      </c>
      <c r="Z20" s="3" t="s">
        <v>396</v>
      </c>
      <c r="AA20" s="3" t="s">
        <v>381</v>
      </c>
    </row>
    <row r="21" ht="18" spans="1:27">
      <c r="A21" s="3">
        <v>19</v>
      </c>
      <c r="B21" s="3">
        <v>1</v>
      </c>
      <c r="C21" s="3">
        <v>0</v>
      </c>
      <c r="D21" s="3">
        <v>1</v>
      </c>
      <c r="E21" s="3">
        <v>1</v>
      </c>
      <c r="F21" s="3">
        <v>0</v>
      </c>
      <c r="G21" s="3">
        <v>1</v>
      </c>
      <c r="H21" s="3">
        <v>0</v>
      </c>
      <c r="J21" s="3">
        <v>19</v>
      </c>
      <c r="K21" s="3"/>
      <c r="L21" s="3"/>
      <c r="M21" s="3"/>
      <c r="N21" s="3"/>
      <c r="O21" s="3"/>
      <c r="Y21" s="3">
        <v>19</v>
      </c>
      <c r="Z21" s="3" t="s">
        <v>397</v>
      </c>
      <c r="AA21" s="3" t="s">
        <v>377</v>
      </c>
    </row>
    <row r="22" ht="18" spans="1:27">
      <c r="A22" s="3">
        <v>20</v>
      </c>
      <c r="B22" s="3">
        <v>1</v>
      </c>
      <c r="C22" s="3">
        <v>1</v>
      </c>
      <c r="D22" s="3">
        <v>0</v>
      </c>
      <c r="E22" s="3">
        <v>0</v>
      </c>
      <c r="F22" s="3">
        <v>1</v>
      </c>
      <c r="G22" s="3">
        <v>1</v>
      </c>
      <c r="H22" s="3">
        <v>1</v>
      </c>
      <c r="J22" s="3">
        <v>20</v>
      </c>
      <c r="K22" s="3"/>
      <c r="L22" s="3"/>
      <c r="M22" s="3"/>
      <c r="N22" s="3"/>
      <c r="O22" s="3"/>
      <c r="Y22" s="3">
        <v>20</v>
      </c>
      <c r="Z22" s="3" t="s">
        <v>398</v>
      </c>
      <c r="AA22" s="3" t="s">
        <v>379</v>
      </c>
    </row>
    <row r="23" ht="18" spans="1:27">
      <c r="A23" s="3">
        <v>21</v>
      </c>
      <c r="B23" s="3">
        <v>0</v>
      </c>
      <c r="C23" s="3">
        <v>1</v>
      </c>
      <c r="D23" s="3">
        <v>1</v>
      </c>
      <c r="E23" s="3">
        <v>1</v>
      </c>
      <c r="F23" s="3">
        <v>1</v>
      </c>
      <c r="G23" s="3">
        <v>0</v>
      </c>
      <c r="H23" s="3">
        <v>1</v>
      </c>
      <c r="J23" s="3">
        <v>21</v>
      </c>
      <c r="K23" s="3"/>
      <c r="L23" s="3"/>
      <c r="M23" s="3"/>
      <c r="N23" s="3"/>
      <c r="O23" s="3"/>
      <c r="Y23" s="3">
        <v>21</v>
      </c>
      <c r="Z23" s="3" t="s">
        <v>399</v>
      </c>
      <c r="AA23" s="3" t="s">
        <v>377</v>
      </c>
    </row>
    <row r="24" ht="18" spans="1:27">
      <c r="A24" s="3">
        <v>22</v>
      </c>
      <c r="B24" s="3">
        <v>1</v>
      </c>
      <c r="C24" s="3">
        <v>0</v>
      </c>
      <c r="D24" s="3">
        <v>1</v>
      </c>
      <c r="E24" s="3">
        <v>0</v>
      </c>
      <c r="F24" s="3">
        <v>1</v>
      </c>
      <c r="G24" s="3">
        <v>1</v>
      </c>
      <c r="H24" s="3">
        <v>1</v>
      </c>
      <c r="J24" s="3">
        <v>22</v>
      </c>
      <c r="K24" s="3"/>
      <c r="L24" s="3"/>
      <c r="M24" s="3"/>
      <c r="N24" s="3"/>
      <c r="O24" s="3"/>
      <c r="Y24" s="3">
        <v>22</v>
      </c>
      <c r="Z24" s="3" t="s">
        <v>400</v>
      </c>
      <c r="AA24" s="3" t="s">
        <v>379</v>
      </c>
    </row>
    <row r="25" ht="18" spans="1:27">
      <c r="A25" s="3">
        <v>23</v>
      </c>
      <c r="B25" s="3">
        <v>1</v>
      </c>
      <c r="C25" s="3">
        <v>1</v>
      </c>
      <c r="D25" s="3">
        <v>0</v>
      </c>
      <c r="E25" s="3">
        <v>1</v>
      </c>
      <c r="F25" s="3">
        <v>1</v>
      </c>
      <c r="G25" s="3">
        <v>0</v>
      </c>
      <c r="H25" s="3">
        <v>0</v>
      </c>
      <c r="J25" s="3">
        <v>23</v>
      </c>
      <c r="K25" s="3"/>
      <c r="L25" s="3"/>
      <c r="M25" s="3"/>
      <c r="N25" s="3"/>
      <c r="O25" s="3"/>
      <c r="Y25" s="3">
        <v>23</v>
      </c>
      <c r="Z25" s="3" t="s">
        <v>401</v>
      </c>
      <c r="AA25" s="3" t="s">
        <v>377</v>
      </c>
    </row>
    <row r="26" ht="18" spans="1:27">
      <c r="A26" s="3">
        <v>24</v>
      </c>
      <c r="B26" s="3">
        <v>1</v>
      </c>
      <c r="C26" s="3">
        <v>1</v>
      </c>
      <c r="D26" s="3">
        <v>1</v>
      </c>
      <c r="E26" s="3">
        <v>0</v>
      </c>
      <c r="F26" s="3">
        <v>0</v>
      </c>
      <c r="G26" s="3">
        <v>1</v>
      </c>
      <c r="H26" s="3">
        <v>1</v>
      </c>
      <c r="J26" s="3">
        <v>24</v>
      </c>
      <c r="K26" s="3"/>
      <c r="L26" s="3"/>
      <c r="M26" s="3"/>
      <c r="N26" s="3"/>
      <c r="O26" s="3"/>
      <c r="Y26" s="3">
        <v>24</v>
      </c>
      <c r="Z26" s="3" t="s">
        <v>402</v>
      </c>
      <c r="AA26" s="3" t="s">
        <v>381</v>
      </c>
    </row>
    <row r="27" ht="18" spans="1:27">
      <c r="A27" s="3">
        <v>25</v>
      </c>
      <c r="B27" s="3">
        <v>0</v>
      </c>
      <c r="C27" s="3">
        <v>1</v>
      </c>
      <c r="D27" s="3">
        <v>0</v>
      </c>
      <c r="E27" s="3">
        <v>1</v>
      </c>
      <c r="F27" s="3">
        <v>1</v>
      </c>
      <c r="G27" s="3">
        <v>1</v>
      </c>
      <c r="H27" s="3">
        <v>1</v>
      </c>
      <c r="J27" s="3">
        <v>25</v>
      </c>
      <c r="K27" s="3"/>
      <c r="L27" s="3"/>
      <c r="M27" s="3"/>
      <c r="N27" s="3"/>
      <c r="O27" s="3"/>
      <c r="Y27" s="3">
        <v>25</v>
      </c>
      <c r="Z27" s="3" t="s">
        <v>403</v>
      </c>
      <c r="AA27" s="3" t="s">
        <v>377</v>
      </c>
    </row>
    <row r="28" ht="18" spans="1:27">
      <c r="A28" s="3">
        <v>26</v>
      </c>
      <c r="B28" s="3">
        <v>1</v>
      </c>
      <c r="C28" s="3">
        <v>0</v>
      </c>
      <c r="D28" s="3">
        <v>1</v>
      </c>
      <c r="E28" s="3">
        <v>1</v>
      </c>
      <c r="F28" s="3">
        <v>0</v>
      </c>
      <c r="G28" s="3">
        <v>1</v>
      </c>
      <c r="H28" s="3">
        <v>0</v>
      </c>
      <c r="J28" s="3">
        <v>26</v>
      </c>
      <c r="K28" s="3"/>
      <c r="L28" s="3"/>
      <c r="M28" s="3"/>
      <c r="N28" s="3"/>
      <c r="O28" s="3"/>
      <c r="Y28" s="3">
        <v>26</v>
      </c>
      <c r="Z28" s="3" t="s">
        <v>404</v>
      </c>
      <c r="AA28" s="3" t="s">
        <v>379</v>
      </c>
    </row>
    <row r="29" ht="18" spans="1:27">
      <c r="A29" s="3">
        <v>27</v>
      </c>
      <c r="B29" s="3">
        <v>1</v>
      </c>
      <c r="C29" s="3">
        <v>1</v>
      </c>
      <c r="D29" s="3">
        <v>0</v>
      </c>
      <c r="E29" s="3">
        <v>0</v>
      </c>
      <c r="F29" s="3">
        <v>1</v>
      </c>
      <c r="G29" s="3">
        <v>1</v>
      </c>
      <c r="H29" s="3">
        <v>1</v>
      </c>
      <c r="J29" s="3">
        <v>27</v>
      </c>
      <c r="K29" s="3"/>
      <c r="L29" s="3"/>
      <c r="M29" s="3"/>
      <c r="N29" s="3"/>
      <c r="O29" s="3"/>
      <c r="Y29" s="3">
        <v>27</v>
      </c>
      <c r="Z29" s="3" t="s">
        <v>405</v>
      </c>
      <c r="AA29" s="3" t="s">
        <v>377</v>
      </c>
    </row>
    <row r="30" ht="18" spans="1:27">
      <c r="A30" s="3">
        <v>28</v>
      </c>
      <c r="B30" s="3">
        <v>0</v>
      </c>
      <c r="C30" s="3">
        <v>1</v>
      </c>
      <c r="D30" s="3">
        <v>1</v>
      </c>
      <c r="E30" s="3">
        <v>1</v>
      </c>
      <c r="F30" s="3">
        <v>1</v>
      </c>
      <c r="G30" s="3">
        <v>0</v>
      </c>
      <c r="H30" s="3">
        <v>1</v>
      </c>
      <c r="J30" s="3">
        <v>28</v>
      </c>
      <c r="K30" s="3"/>
      <c r="L30" s="3"/>
      <c r="M30" s="3"/>
      <c r="N30" s="3"/>
      <c r="O30" s="3"/>
      <c r="Y30" s="3">
        <v>28</v>
      </c>
      <c r="Z30" s="3" t="s">
        <v>406</v>
      </c>
      <c r="AA30" s="3" t="s">
        <v>381</v>
      </c>
    </row>
    <row r="31" ht="18" spans="1:27">
      <c r="A31" s="3">
        <v>29</v>
      </c>
      <c r="B31" s="3">
        <v>1</v>
      </c>
      <c r="C31" s="3">
        <v>0</v>
      </c>
      <c r="D31" s="3">
        <v>1</v>
      </c>
      <c r="E31" s="3">
        <v>0</v>
      </c>
      <c r="F31" s="3">
        <v>1</v>
      </c>
      <c r="G31" s="3">
        <v>1</v>
      </c>
      <c r="H31" s="3">
        <v>1</v>
      </c>
      <c r="J31" s="3">
        <v>29</v>
      </c>
      <c r="K31" s="3"/>
      <c r="L31" s="3"/>
      <c r="M31" s="3"/>
      <c r="N31" s="3"/>
      <c r="O31" s="3"/>
      <c r="Y31" s="3">
        <v>29</v>
      </c>
      <c r="Z31" s="3" t="s">
        <v>407</v>
      </c>
      <c r="AA31" s="3" t="s">
        <v>377</v>
      </c>
    </row>
    <row r="32" ht="18" spans="1:27">
      <c r="A32" s="3">
        <v>30</v>
      </c>
      <c r="B32" s="3">
        <v>1</v>
      </c>
      <c r="C32" s="3">
        <v>1</v>
      </c>
      <c r="D32" s="3">
        <v>0</v>
      </c>
      <c r="E32" s="3">
        <v>1</v>
      </c>
      <c r="F32" s="3">
        <v>1</v>
      </c>
      <c r="G32" s="3">
        <v>0</v>
      </c>
      <c r="H32" s="3">
        <v>0</v>
      </c>
      <c r="J32" s="3">
        <v>30</v>
      </c>
      <c r="K32" s="3"/>
      <c r="L32" s="3"/>
      <c r="M32" s="3"/>
      <c r="N32" s="3"/>
      <c r="O32" s="3"/>
      <c r="Y32" s="3">
        <v>30</v>
      </c>
      <c r="Z32" s="3" t="s">
        <v>408</v>
      </c>
      <c r="AA32" s="3" t="s">
        <v>379</v>
      </c>
    </row>
    <row r="33" ht="18" spans="1:27">
      <c r="A33" s="3">
        <v>31</v>
      </c>
      <c r="B33" s="3">
        <v>1</v>
      </c>
      <c r="C33" s="3">
        <v>1</v>
      </c>
      <c r="D33" s="3">
        <v>1</v>
      </c>
      <c r="E33" s="3">
        <v>0</v>
      </c>
      <c r="F33" s="3">
        <v>0</v>
      </c>
      <c r="G33" s="3">
        <v>1</v>
      </c>
      <c r="H33" s="3">
        <v>1</v>
      </c>
      <c r="J33" s="3">
        <v>31</v>
      </c>
      <c r="K33" s="3"/>
      <c r="L33" s="3"/>
      <c r="M33" s="3"/>
      <c r="N33" s="3"/>
      <c r="O33" s="3"/>
      <c r="Y33" s="3">
        <v>31</v>
      </c>
      <c r="Z33" s="3" t="s">
        <v>409</v>
      </c>
      <c r="AA33" s="3" t="s">
        <v>377</v>
      </c>
    </row>
    <row r="34" ht="18" spans="1:27">
      <c r="A34" s="3">
        <v>32</v>
      </c>
      <c r="B34" s="3">
        <v>0</v>
      </c>
      <c r="C34" s="3">
        <v>1</v>
      </c>
      <c r="D34" s="3">
        <v>0</v>
      </c>
      <c r="E34" s="3">
        <v>1</v>
      </c>
      <c r="F34" s="3">
        <v>1</v>
      </c>
      <c r="G34" s="3">
        <v>1</v>
      </c>
      <c r="H34" s="3">
        <v>1</v>
      </c>
      <c r="J34" s="3">
        <v>32</v>
      </c>
      <c r="K34" s="3"/>
      <c r="L34" s="3"/>
      <c r="M34" s="3"/>
      <c r="N34" s="3"/>
      <c r="O34" s="3"/>
      <c r="Y34" s="3">
        <v>32</v>
      </c>
      <c r="Z34" s="3" t="s">
        <v>410</v>
      </c>
      <c r="AA34" s="3" t="s">
        <v>381</v>
      </c>
    </row>
    <row r="35" ht="18" spans="1:27">
      <c r="A35" s="3">
        <v>33</v>
      </c>
      <c r="B35" s="3">
        <v>1</v>
      </c>
      <c r="C35" s="3">
        <v>0</v>
      </c>
      <c r="D35" s="3">
        <v>1</v>
      </c>
      <c r="E35" s="3">
        <v>1</v>
      </c>
      <c r="F35" s="3">
        <v>0</v>
      </c>
      <c r="G35" s="3">
        <v>1</v>
      </c>
      <c r="H35" s="3">
        <v>0</v>
      </c>
      <c r="J35" s="3">
        <v>33</v>
      </c>
      <c r="K35" s="3"/>
      <c r="L35" s="3"/>
      <c r="M35" s="3"/>
      <c r="N35" s="3"/>
      <c r="O35" s="3"/>
      <c r="Y35" s="3">
        <v>33</v>
      </c>
      <c r="Z35" s="3" t="s">
        <v>411</v>
      </c>
      <c r="AA35" s="3" t="s">
        <v>377</v>
      </c>
    </row>
    <row r="36" ht="18" spans="1:27">
      <c r="A36" s="3">
        <v>34</v>
      </c>
      <c r="B36" s="3">
        <v>1</v>
      </c>
      <c r="C36" s="3">
        <v>1</v>
      </c>
      <c r="D36" s="3">
        <v>0</v>
      </c>
      <c r="E36" s="3">
        <v>0</v>
      </c>
      <c r="F36" s="3">
        <v>1</v>
      </c>
      <c r="G36" s="3">
        <v>1</v>
      </c>
      <c r="H36" s="3">
        <v>1</v>
      </c>
      <c r="J36" s="3">
        <v>34</v>
      </c>
      <c r="K36" s="3"/>
      <c r="L36" s="3"/>
      <c r="M36" s="3"/>
      <c r="N36" s="3"/>
      <c r="O36" s="3"/>
      <c r="Y36" s="3">
        <v>34</v>
      </c>
      <c r="Z36" s="3" t="s">
        <v>412</v>
      </c>
      <c r="AA36" s="3" t="s">
        <v>379</v>
      </c>
    </row>
    <row r="37" ht="18" spans="1:27">
      <c r="A37" s="3">
        <v>35</v>
      </c>
      <c r="B37" s="3">
        <v>1</v>
      </c>
      <c r="C37" s="3">
        <v>1</v>
      </c>
      <c r="D37" s="3">
        <v>1</v>
      </c>
      <c r="E37" s="3">
        <v>0</v>
      </c>
      <c r="F37" s="3">
        <v>0</v>
      </c>
      <c r="G37" s="3">
        <v>1</v>
      </c>
      <c r="H37" s="3">
        <v>1</v>
      </c>
      <c r="J37" s="3">
        <v>35</v>
      </c>
      <c r="K37" s="3"/>
      <c r="L37" s="3"/>
      <c r="M37" s="3"/>
      <c r="N37" s="3"/>
      <c r="O37" s="3"/>
      <c r="Y37" s="3">
        <v>35</v>
      </c>
      <c r="Z37" s="3" t="s">
        <v>413</v>
      </c>
      <c r="AA37" s="3" t="s">
        <v>377</v>
      </c>
    </row>
    <row r="38" ht="18" spans="1:27">
      <c r="A38" s="3">
        <v>36</v>
      </c>
      <c r="B38" s="3">
        <v>0</v>
      </c>
      <c r="C38" s="3">
        <v>1</v>
      </c>
      <c r="D38" s="3">
        <v>0</v>
      </c>
      <c r="E38" s="3">
        <v>1</v>
      </c>
      <c r="F38" s="3">
        <v>1</v>
      </c>
      <c r="G38" s="3">
        <v>1</v>
      </c>
      <c r="H38" s="3">
        <v>1</v>
      </c>
      <c r="J38" s="3">
        <v>36</v>
      </c>
      <c r="K38" s="3"/>
      <c r="L38" s="3"/>
      <c r="M38" s="3"/>
      <c r="N38" s="3"/>
      <c r="O38" s="3"/>
      <c r="Y38" s="3">
        <v>36</v>
      </c>
      <c r="Z38" s="3" t="s">
        <v>414</v>
      </c>
      <c r="AA38" s="3" t="s">
        <v>381</v>
      </c>
    </row>
    <row r="39" ht="18" spans="1:27">
      <c r="A39" s="3">
        <v>37</v>
      </c>
      <c r="B39" s="3">
        <v>1</v>
      </c>
      <c r="C39" s="3">
        <v>0</v>
      </c>
      <c r="D39" s="3">
        <v>1</v>
      </c>
      <c r="E39" s="3">
        <v>1</v>
      </c>
      <c r="F39" s="3">
        <v>0</v>
      </c>
      <c r="G39" s="3">
        <v>1</v>
      </c>
      <c r="H39" s="3">
        <v>0</v>
      </c>
      <c r="J39" s="3">
        <v>37</v>
      </c>
      <c r="K39" s="3"/>
      <c r="L39" s="3"/>
      <c r="M39" s="3"/>
      <c r="N39" s="3"/>
      <c r="O39" s="3"/>
      <c r="Y39" s="3">
        <v>37</v>
      </c>
      <c r="Z39" s="3" t="s">
        <v>415</v>
      </c>
      <c r="AA39" s="3" t="s">
        <v>377</v>
      </c>
    </row>
    <row r="40" ht="18" spans="1:27">
      <c r="A40" s="3">
        <v>38</v>
      </c>
      <c r="B40" s="3">
        <v>1</v>
      </c>
      <c r="C40" s="3">
        <v>1</v>
      </c>
      <c r="D40" s="3">
        <v>0</v>
      </c>
      <c r="E40" s="3">
        <v>0</v>
      </c>
      <c r="F40" s="3">
        <v>1</v>
      </c>
      <c r="G40" s="3">
        <v>1</v>
      </c>
      <c r="H40" s="3">
        <v>1</v>
      </c>
      <c r="J40" s="3">
        <v>38</v>
      </c>
      <c r="K40" s="3"/>
      <c r="L40" s="3"/>
      <c r="M40" s="3"/>
      <c r="N40" s="3"/>
      <c r="O40" s="3"/>
      <c r="Y40" s="3">
        <v>38</v>
      </c>
      <c r="Z40" s="3" t="s">
        <v>416</v>
      </c>
      <c r="AA40" s="3" t="s">
        <v>379</v>
      </c>
    </row>
    <row r="41" ht="18" spans="1:27">
      <c r="A41" s="3">
        <v>39</v>
      </c>
      <c r="B41" s="3">
        <v>0</v>
      </c>
      <c r="C41" s="3">
        <v>1</v>
      </c>
      <c r="D41" s="3">
        <v>1</v>
      </c>
      <c r="E41" s="3">
        <v>1</v>
      </c>
      <c r="F41" s="3">
        <v>1</v>
      </c>
      <c r="G41" s="3">
        <v>0</v>
      </c>
      <c r="H41" s="3">
        <v>1</v>
      </c>
      <c r="J41" s="3">
        <v>39</v>
      </c>
      <c r="K41" s="3"/>
      <c r="L41" s="3"/>
      <c r="M41" s="3"/>
      <c r="N41" s="3"/>
      <c r="O41" s="3"/>
      <c r="Y41" s="3">
        <v>39</v>
      </c>
      <c r="Z41" s="3" t="s">
        <v>417</v>
      </c>
      <c r="AA41" s="3" t="s">
        <v>377</v>
      </c>
    </row>
    <row r="42" ht="18" spans="1:27">
      <c r="A42" s="3">
        <v>40</v>
      </c>
      <c r="B42" s="3">
        <v>1</v>
      </c>
      <c r="C42" s="3">
        <v>0</v>
      </c>
      <c r="D42" s="3">
        <v>1</v>
      </c>
      <c r="E42" s="3">
        <v>0</v>
      </c>
      <c r="F42" s="3">
        <v>1</v>
      </c>
      <c r="G42" s="3">
        <v>1</v>
      </c>
      <c r="H42" s="3">
        <v>1</v>
      </c>
      <c r="J42" s="3">
        <v>40</v>
      </c>
      <c r="K42" s="3"/>
      <c r="L42" s="3"/>
      <c r="M42" s="3"/>
      <c r="N42" s="3"/>
      <c r="O42" s="3"/>
      <c r="Y42" s="3">
        <v>40</v>
      </c>
      <c r="Z42" s="3" t="s">
        <v>418</v>
      </c>
      <c r="AA42" s="3" t="s">
        <v>381</v>
      </c>
    </row>
    <row r="43" ht="18" spans="1:27">
      <c r="A43" s="3">
        <v>41</v>
      </c>
      <c r="B43" s="3">
        <v>1</v>
      </c>
      <c r="C43" s="3">
        <v>1</v>
      </c>
      <c r="D43" s="3">
        <v>0</v>
      </c>
      <c r="E43" s="3">
        <v>1</v>
      </c>
      <c r="F43" s="3">
        <v>1</v>
      </c>
      <c r="G43" s="3">
        <v>0</v>
      </c>
      <c r="H43" s="3">
        <v>0</v>
      </c>
      <c r="J43" s="3">
        <v>41</v>
      </c>
      <c r="K43" s="3"/>
      <c r="L43" s="3"/>
      <c r="M43" s="3"/>
      <c r="N43" s="3"/>
      <c r="O43" s="3"/>
      <c r="Y43" s="3">
        <v>41</v>
      </c>
      <c r="Z43" s="3" t="s">
        <v>419</v>
      </c>
      <c r="AA43" s="3" t="s">
        <v>377</v>
      </c>
    </row>
    <row r="44" ht="18" spans="1:27">
      <c r="A44" s="3">
        <v>42</v>
      </c>
      <c r="B44" s="3">
        <v>1</v>
      </c>
      <c r="C44" s="3">
        <v>1</v>
      </c>
      <c r="D44" s="3">
        <v>1</v>
      </c>
      <c r="E44" s="3">
        <v>0</v>
      </c>
      <c r="F44" s="3">
        <v>0</v>
      </c>
      <c r="G44" s="3">
        <v>1</v>
      </c>
      <c r="H44" s="3">
        <v>1</v>
      </c>
      <c r="J44" s="3">
        <v>42</v>
      </c>
      <c r="K44" s="3"/>
      <c r="L44" s="3"/>
      <c r="M44" s="3"/>
      <c r="N44" s="3"/>
      <c r="O44" s="3"/>
      <c r="Y44" s="3">
        <v>42</v>
      </c>
      <c r="Z44" s="3" t="s">
        <v>420</v>
      </c>
      <c r="AA44" s="3" t="s">
        <v>379</v>
      </c>
    </row>
    <row r="45" ht="18" spans="1:27">
      <c r="A45" s="3">
        <v>43</v>
      </c>
      <c r="B45" s="3">
        <v>0</v>
      </c>
      <c r="C45" s="3">
        <v>1</v>
      </c>
      <c r="D45" s="3">
        <v>0</v>
      </c>
      <c r="E45" s="3">
        <v>1</v>
      </c>
      <c r="F45" s="3">
        <v>1</v>
      </c>
      <c r="G45" s="3">
        <v>1</v>
      </c>
      <c r="H45" s="3">
        <v>1</v>
      </c>
      <c r="J45" s="3">
        <v>43</v>
      </c>
      <c r="K45" s="3"/>
      <c r="L45" s="3"/>
      <c r="M45" s="3"/>
      <c r="N45" s="3"/>
      <c r="O45" s="3"/>
      <c r="Y45" s="3">
        <v>43</v>
      </c>
      <c r="Z45" s="3" t="s">
        <v>421</v>
      </c>
      <c r="AA45" s="3" t="s">
        <v>377</v>
      </c>
    </row>
    <row r="46" ht="18" spans="1:27">
      <c r="A46" s="3">
        <v>44</v>
      </c>
      <c r="B46" s="3">
        <v>1</v>
      </c>
      <c r="C46" s="3">
        <v>0</v>
      </c>
      <c r="D46" s="3">
        <v>1</v>
      </c>
      <c r="E46" s="3">
        <v>1</v>
      </c>
      <c r="F46" s="3">
        <v>0</v>
      </c>
      <c r="G46" s="3">
        <v>1</v>
      </c>
      <c r="H46" s="3">
        <v>0</v>
      </c>
      <c r="J46" s="3">
        <v>44</v>
      </c>
      <c r="K46" s="3"/>
      <c r="L46" s="3"/>
      <c r="M46" s="3"/>
      <c r="N46" s="3"/>
      <c r="O46" s="3"/>
      <c r="Y46" s="3">
        <v>44</v>
      </c>
      <c r="Z46" s="3" t="s">
        <v>422</v>
      </c>
      <c r="AA46" s="3" t="s">
        <v>381</v>
      </c>
    </row>
    <row r="47" ht="18" spans="1:27">
      <c r="A47" s="3">
        <v>45</v>
      </c>
      <c r="B47" s="3">
        <v>1</v>
      </c>
      <c r="C47" s="3">
        <v>1</v>
      </c>
      <c r="D47" s="3">
        <v>0</v>
      </c>
      <c r="E47" s="3">
        <v>0</v>
      </c>
      <c r="F47" s="3">
        <v>1</v>
      </c>
      <c r="G47" s="3">
        <v>1</v>
      </c>
      <c r="H47" s="3">
        <v>1</v>
      </c>
      <c r="J47" s="3">
        <v>45</v>
      </c>
      <c r="K47" s="3"/>
      <c r="L47" s="3"/>
      <c r="M47" s="3"/>
      <c r="N47" s="3"/>
      <c r="O47" s="3"/>
      <c r="Y47" s="3">
        <v>45</v>
      </c>
      <c r="Z47" s="3" t="s">
        <v>423</v>
      </c>
      <c r="AA47" s="3" t="s">
        <v>377</v>
      </c>
    </row>
    <row r="48" ht="18" spans="1:27">
      <c r="A48" s="3">
        <v>46</v>
      </c>
      <c r="B48" s="3">
        <v>1</v>
      </c>
      <c r="C48" s="3">
        <v>1</v>
      </c>
      <c r="D48" s="3">
        <v>1</v>
      </c>
      <c r="E48" s="3">
        <v>0</v>
      </c>
      <c r="F48" s="3">
        <v>0</v>
      </c>
      <c r="G48" s="3">
        <v>1</v>
      </c>
      <c r="H48" s="3">
        <v>1</v>
      </c>
      <c r="J48" s="3">
        <v>46</v>
      </c>
      <c r="K48" s="3"/>
      <c r="L48" s="3"/>
      <c r="M48" s="3"/>
      <c r="N48" s="3"/>
      <c r="O48" s="3"/>
      <c r="Y48" s="3">
        <v>46</v>
      </c>
      <c r="Z48" s="3" t="s">
        <v>424</v>
      </c>
      <c r="AA48" s="3" t="s">
        <v>379</v>
      </c>
    </row>
    <row r="49" ht="18" spans="1:27">
      <c r="A49" s="3">
        <v>47</v>
      </c>
      <c r="B49" s="3">
        <v>0</v>
      </c>
      <c r="C49" s="3">
        <v>1</v>
      </c>
      <c r="D49" s="3">
        <v>0</v>
      </c>
      <c r="E49" s="3">
        <v>1</v>
      </c>
      <c r="F49" s="3">
        <v>1</v>
      </c>
      <c r="G49" s="3">
        <v>1</v>
      </c>
      <c r="H49" s="3">
        <v>1</v>
      </c>
      <c r="J49" s="3">
        <v>47</v>
      </c>
      <c r="K49" s="3"/>
      <c r="L49" s="3"/>
      <c r="M49" s="3"/>
      <c r="N49" s="3"/>
      <c r="O49" s="3"/>
      <c r="Y49" s="3">
        <v>47</v>
      </c>
      <c r="Z49" s="3" t="s">
        <v>425</v>
      </c>
      <c r="AA49" s="3" t="s">
        <v>377</v>
      </c>
    </row>
    <row r="50" ht="18" spans="1:27">
      <c r="A50" s="3">
        <v>48</v>
      </c>
      <c r="B50" s="3">
        <v>1</v>
      </c>
      <c r="C50" s="3">
        <v>0</v>
      </c>
      <c r="D50" s="3">
        <v>1</v>
      </c>
      <c r="E50" s="3">
        <v>1</v>
      </c>
      <c r="F50" s="3">
        <v>0</v>
      </c>
      <c r="G50" s="3">
        <v>1</v>
      </c>
      <c r="H50" s="3">
        <v>0</v>
      </c>
      <c r="J50" s="3">
        <v>48</v>
      </c>
      <c r="K50" s="3"/>
      <c r="L50" s="3"/>
      <c r="M50" s="3"/>
      <c r="N50" s="3"/>
      <c r="O50" s="3"/>
      <c r="Y50" s="3">
        <v>48</v>
      </c>
      <c r="Z50" s="3" t="s">
        <v>426</v>
      </c>
      <c r="AA50" s="3" t="s">
        <v>381</v>
      </c>
    </row>
    <row r="51" ht="18" spans="1:27">
      <c r="A51" s="3">
        <v>49</v>
      </c>
      <c r="B51" s="3">
        <v>1</v>
      </c>
      <c r="C51" s="3">
        <v>1</v>
      </c>
      <c r="D51" s="3">
        <v>0</v>
      </c>
      <c r="E51" s="3">
        <v>0</v>
      </c>
      <c r="F51" s="3">
        <v>1</v>
      </c>
      <c r="G51" s="3">
        <v>1</v>
      </c>
      <c r="H51" s="3">
        <v>1</v>
      </c>
      <c r="J51" s="3">
        <v>49</v>
      </c>
      <c r="K51" s="3"/>
      <c r="L51" s="3"/>
      <c r="M51" s="3"/>
      <c r="N51" s="3"/>
      <c r="O51" s="3"/>
      <c r="Y51" s="3">
        <v>49</v>
      </c>
      <c r="Z51" s="3" t="s">
        <v>427</v>
      </c>
      <c r="AA51" s="3" t="s">
        <v>377</v>
      </c>
    </row>
    <row r="52" ht="18" spans="1:27">
      <c r="A52" s="3">
        <v>50</v>
      </c>
      <c r="B52" s="3">
        <v>0</v>
      </c>
      <c r="C52" s="3">
        <v>1</v>
      </c>
      <c r="D52" s="3">
        <v>1</v>
      </c>
      <c r="E52" s="3">
        <v>1</v>
      </c>
      <c r="F52" s="3">
        <v>1</v>
      </c>
      <c r="G52" s="3">
        <v>0</v>
      </c>
      <c r="H52" s="3">
        <v>1</v>
      </c>
      <c r="J52" s="3">
        <v>50</v>
      </c>
      <c r="K52" s="3"/>
      <c r="L52" s="3"/>
      <c r="M52" s="3"/>
      <c r="N52" s="3"/>
      <c r="O52" s="3"/>
      <c r="Y52" s="3">
        <v>50</v>
      </c>
      <c r="Z52" s="3" t="s">
        <v>428</v>
      </c>
      <c r="AA52" s="3" t="s">
        <v>379</v>
      </c>
    </row>
  </sheetData>
  <mergeCells count="4">
    <mergeCell ref="A1:H1"/>
    <mergeCell ref="J1:N1"/>
    <mergeCell ref="P1:W1"/>
    <mergeCell ref="Y1:AA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12</vt:i4>
      </vt:variant>
    </vt:vector>
  </HeadingPairs>
  <TitlesOfParts>
    <vt:vector size="12" baseType="lpstr">
      <vt:lpstr>Navigation</vt:lpstr>
      <vt:lpstr>Counting Words of sentences</vt:lpstr>
      <vt:lpstr>Project Deadline Alert</vt:lpstr>
      <vt:lpstr>Profit Margin Calculation</vt:lpstr>
      <vt:lpstr>Employee Attendance</vt:lpstr>
      <vt:lpstr>Dynamic Pricing Model</vt:lpstr>
      <vt:lpstr>Customer Segmentation</vt:lpstr>
      <vt:lpstr>Inventory Management</vt:lpstr>
      <vt:lpstr>Expense Report Validation</vt:lpstr>
      <vt:lpstr>Financial Forecasting</vt:lpstr>
      <vt:lpstr>Marketing Campaign Analysis</vt:lpstr>
      <vt:lpstr>Employee Scheduling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Kadhiravan Jayachandiran</dc:creator>
  <cp:lastModifiedBy>saswa</cp:lastModifiedBy>
  <dcterms:created xsi:type="dcterms:W3CDTF">2024-06-04T08:54:00Z</dcterms:created>
  <dcterms:modified xsi:type="dcterms:W3CDTF">2025-06-22T07:08:50Z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5227B5F52B8C4BA3ABF6D6E1EA7E8062_12</vt:lpwstr>
  </property>
  <property fmtid="{D5CDD505-2E9C-101B-9397-08002B2CF9AE}" pid="3" name="KSOProductBuildVer">
    <vt:lpwstr>2057-12.2.0.21601</vt:lpwstr>
  </property>
</Properties>
</file>