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Your Excel Guy\Product\Excel\Version 7\Advanced Excel Functions\Practice Files\"/>
    </mc:Choice>
  </mc:AlternateContent>
  <xr:revisionPtr revIDLastSave="0" documentId="8_{F962CE6B-B8C3-4ED7-BA65-A9D1FC0B31A9}" xr6:coauthVersionLast="47" xr6:coauthVersionMax="47" xr10:uidLastSave="{00000000-0000-0000-0000-000000000000}"/>
  <bookViews>
    <workbookView xWindow="-120" yWindow="-120" windowWidth="20730" windowHeight="11760" firstSheet="2" activeTab="2" xr2:uid="{7D65AE5E-B855-4ACF-991B-4713640FBF75}"/>
  </bookViews>
  <sheets>
    <sheet name="Date" sheetId="15" r:id="rId1"/>
    <sheet name="Time" sheetId="43" r:id="rId2"/>
    <sheet name="Days" sheetId="42" r:id="rId3"/>
    <sheet name="IFS" sheetId="1" state="hidden" r:id="rId4"/>
  </sheets>
  <definedNames>
    <definedName name="_xlnm._FilterDatabase" localSheetId="0" hidden="1">Date!$B$3:$E$15</definedName>
    <definedName name="_xlnm._FilterDatabase" localSheetId="2" hidden="1">Days!$B$3:$E$15</definedName>
    <definedName name="_xlnm._FilterDatabase" localSheetId="1" hidden="1">Time!$B$3:$E$15</definedName>
    <definedName name="Z_0458C18D_9EF5_4516_9145_CA54D8EB1865_.wvu.FilterData" localSheetId="0" hidden="1">Date!$B$3:$E$15</definedName>
    <definedName name="Z_0458C18D_9EF5_4516_9145_CA54D8EB1865_.wvu.FilterData" localSheetId="2" hidden="1">Days!$B$3:$E$15</definedName>
    <definedName name="Z_0458C18D_9EF5_4516_9145_CA54D8EB1865_.wvu.FilterData" localSheetId="1" hidden="1">Time!$B$3:$E$15</definedName>
    <definedName name="Z_08E755F8_82E9_4D95_862B_81F55FBDDDF6_.wvu.FilterData" localSheetId="0" hidden="1">Date!$B$3:$E$15</definedName>
    <definedName name="Z_08E755F8_82E9_4D95_862B_81F55FBDDDF6_.wvu.FilterData" localSheetId="2" hidden="1">Days!$B$3:$E$15</definedName>
    <definedName name="Z_08E755F8_82E9_4D95_862B_81F55FBDDDF6_.wvu.FilterData" localSheetId="1" hidden="1">Time!$B$3:$E$15</definedName>
    <definedName name="Z_0BF42E77_7016_4BE4_A5AB_A49974630D91_.wvu.FilterData" localSheetId="0" hidden="1">Date!$B$3:$E$15</definedName>
    <definedName name="Z_0BF42E77_7016_4BE4_A5AB_A49974630D91_.wvu.FilterData" localSheetId="2" hidden="1">Days!$B$3:$E$15</definedName>
    <definedName name="Z_0BF42E77_7016_4BE4_A5AB_A49974630D91_.wvu.FilterData" localSheetId="1" hidden="1">Time!$B$3:$E$15</definedName>
    <definedName name="Z_0E02FCC8_6440_4859_9F6B_C77617EF5D89_.wvu.FilterData" localSheetId="0" hidden="1">Date!$B$3:$E$15</definedName>
    <definedName name="Z_0E02FCC8_6440_4859_9F6B_C77617EF5D89_.wvu.FilterData" localSheetId="2" hidden="1">Days!$B$3:$E$15</definedName>
    <definedName name="Z_0E02FCC8_6440_4859_9F6B_C77617EF5D89_.wvu.FilterData" localSheetId="1" hidden="1">Time!$B$3:$E$15</definedName>
    <definedName name="Z_86D36E03_787A_41EB_85FF_8BB8A222055B_.wvu.FilterData" localSheetId="0" hidden="1">Date!$B$3:$E$15</definedName>
    <definedName name="Z_86D36E03_787A_41EB_85FF_8BB8A222055B_.wvu.FilterData" localSheetId="2" hidden="1">Days!$B$3:$E$15</definedName>
    <definedName name="Z_86D36E03_787A_41EB_85FF_8BB8A222055B_.wvu.FilterData" localSheetId="1" hidden="1">Time!$B$3:$E$15</definedName>
    <definedName name="Z_B19B24CB_B859_49E3_8AE0_2D671510EE4F_.wvu.FilterData" localSheetId="0" hidden="1">Date!$B$3:$E$15</definedName>
    <definedName name="Z_B19B24CB_B859_49E3_8AE0_2D671510EE4F_.wvu.FilterData" localSheetId="2" hidden="1">Days!$B$3:$E$15</definedName>
    <definedName name="Z_B19B24CB_B859_49E3_8AE0_2D671510EE4F_.wvu.FilterData" localSheetId="1" hidden="1">Time!$B$3:$E$15</definedName>
    <definedName name="Z_C453A932_6110_4A84_A9C2_26C809391387_.wvu.FilterData" localSheetId="0" hidden="1">Date!$B$3:$E$15</definedName>
    <definedName name="Z_C453A932_6110_4A84_A9C2_26C809391387_.wvu.FilterData" localSheetId="2" hidden="1">Days!$B$3:$E$15</definedName>
    <definedName name="Z_C453A932_6110_4A84_A9C2_26C809391387_.wvu.FilterData" localSheetId="1" hidden="1">Time!$B$3:$E$15</definedName>
    <definedName name="Z_D9413B31_FDB2_4AE8_80A8_7F09954E703C_.wvu.FilterData" localSheetId="0" hidden="1">Date!$B$3:$E$15</definedName>
    <definedName name="Z_D9413B31_FDB2_4AE8_80A8_7F09954E703C_.wvu.FilterData" localSheetId="2" hidden="1">Days!$B$3:$E$15</definedName>
    <definedName name="Z_D9413B31_FDB2_4AE8_80A8_7F09954E703C_.wvu.FilterData" localSheetId="1" hidden="1">Time!$B$3:$E$15</definedName>
    <definedName name="Z_DFE0B66A_2DCB_4802_A91B_F836707AD43C_.wvu.FilterData" localSheetId="0" hidden="1">Date!$B$3:$E$15</definedName>
    <definedName name="Z_DFE0B66A_2DCB_4802_A91B_F836707AD43C_.wvu.FilterData" localSheetId="2" hidden="1">Days!$B$3:$E$15</definedName>
    <definedName name="Z_DFE0B66A_2DCB_4802_A91B_F836707AD43C_.wvu.FilterData" localSheetId="1" hidden="1">Time!$B$3:$E$15</definedName>
    <definedName name="Z_EE811897_5BF5_4321_9879_5B7EDF90A350_.wvu.FilterData" localSheetId="0" hidden="1">Date!$B$3:$E$15</definedName>
    <definedName name="Z_EE811897_5BF5_4321_9879_5B7EDF90A350_.wvu.FilterData" localSheetId="2" hidden="1">Days!$B$3:$E$15</definedName>
    <definedName name="Z_EE811897_5BF5_4321_9879_5B7EDF90A350_.wvu.FilterData" localSheetId="1" hidden="1">Time!$B$3:$E$15</definedName>
    <definedName name="Z_FF03E81F_A9A8_4546_A9C3_77A6EEA02ED9_.wvu.FilterData" localSheetId="0" hidden="1">Date!$B$3:$E$15</definedName>
    <definedName name="Z_FF03E81F_A9A8_4546_A9C3_77A6EEA02ED9_.wvu.FilterData" localSheetId="2" hidden="1">Days!$B$3:$E$15</definedName>
    <definedName name="Z_FF03E81F_A9A8_4546_A9C3_77A6EEA02ED9_.wvu.FilterData" localSheetId="1" hidden="1">Time!$B$3:$E$15</definedName>
  </definedNames>
  <calcPr calcId="191028"/>
  <customWorkbookViews>
    <customWorkbookView name="if3" guid="{86D36E03-787A-41EB-85FF-8BB8A222055B}" maximized="1" xWindow="-8" yWindow="-8" windowWidth="1382" windowHeight="784" activeSheetId="36"/>
    <customWorkbookView name="if2" guid="{08E755F8-82E9-4D95-862B-81F55FBDDDF6}" maximized="1" xWindow="-8" yWindow="-8" windowWidth="1382" windowHeight="784" activeSheetId="36"/>
    <customWorkbookView name="if1" guid="{C453A932-6110-4A84-A9C2-26C809391387}" maximized="1" xWindow="-8" yWindow="-8" windowWidth="1382" windowHeight="784" activeSheetId="36"/>
    <customWorkbookView name="maxifs8" guid="{0BF42E77-7016-4BE4-A5AB-A49974630D91}" maximized="1" xWindow="-8" yWindow="-8" windowWidth="1382" windowHeight="784" activeSheetId="33"/>
    <customWorkbookView name="maxifs7" guid="{B19B24CB-B859-49E3-8AE0-2D671510EE4F}" maximized="1" xWindow="-8" yWindow="-8" windowWidth="1382" windowHeight="784" activeSheetId="33"/>
    <customWorkbookView name="maxifs6" guid="{D9413B31-FDB2-4AE8-80A8-7F09954E703C}" maximized="1" xWindow="-8" yWindow="-8" windowWidth="1382" windowHeight="784" activeSheetId="33"/>
    <customWorkbookView name="maxifs5" guid="{FF03E81F-A9A8-4546-A9C3-77A6EEA02ED9}" maximized="1" xWindow="-8" yWindow="-8" windowWidth="1382" windowHeight="784" activeSheetId="33"/>
    <customWorkbookView name="maxifs4" guid="{EE811897-5BF5-4321-9879-5B7EDF90A350}" maximized="1" xWindow="-8" yWindow="-8" windowWidth="1382" windowHeight="784" activeSheetId="33"/>
    <customWorkbookView name="maxifs3" guid="{0E02FCC8-6440-4859-9F6B-C77617EF5D89}" maximized="1" xWindow="-8" yWindow="-8" windowWidth="1382" windowHeight="784" activeSheetId="33"/>
    <customWorkbookView name="maxifs2" guid="{0458C18D-9EF5-4516-9145-CA54D8EB1865}" maximized="1" xWindow="-8" yWindow="-8" windowWidth="1382" windowHeight="784" activeSheetId="33"/>
    <customWorkbookView name="maxifs1" guid="{DFE0B66A-2DCB-4802-A91B-F836707AD43C}" maximized="1" xWindow="-8" yWindow="-8" windowWidth="1382" windowHeight="784" activeSheetId="33"/>
    <customWorkbookView name="concat" guid="{3511E245-32F9-4CFF-8540-6B03C6FAE218}" maximized="1" xWindow="-8" yWindow="-8" windowWidth="1382" windowHeight="784" activeSheetId="43"/>
    <customWorkbookView name="textjoin" guid="{CE50DC7E-3038-4337-BAC8-5B16EE1D95B0}" maximized="1" xWindow="-8" yWindow="-8" windowWidth="1382" windowHeight="784" activeSheetId="43"/>
    <customWorkbookView name="hardconcat" guid="{C908A6D6-4C77-416B-BC46-6F501B5F842F}" maximized="1" xWindow="-8" yWindow="-8" windowWidth="1382" windowHeight="784" activeSheetId="43"/>
    <customWorkbookView name="proper" guid="{C575B46A-1D4C-489C-97AE-5DAB6560E171}" maximized="1" xWindow="-8" yWindow="-8" windowWidth="1382" windowHeight="784" activeSheetId="42"/>
    <customWorkbookView name="lower" guid="{81DEBAD0-6E86-4DFB-8642-C52E8C976BDA}" maximized="1" xWindow="-8" yWindow="-8" windowWidth="1382" windowHeight="784" activeSheetId="42"/>
    <customWorkbookView name="upper" guid="{58306194-C83B-413E-AC5F-AD717216CB21}" maximized="1" xWindow="-8" yWindow="-8" windowWidth="1382" windowHeight="784" activeSheetId="42"/>
    <customWorkbookView name="mid" guid="{E4375DB4-4B74-46BC-A9F2-C5C5055B366F}" maximized="1" xWindow="-8" yWindow="-8" windowWidth="1382" windowHeight="784" activeSheetId="41"/>
    <customWorkbookView name="right" guid="{2CEDB1FB-2942-4B51-BF30-285DCDB05292}" maximized="1" xWindow="-8" yWindow="-8" windowWidth="1382" windowHeight="784" activeSheetId="41"/>
    <customWorkbookView name="left" guid="{DF16608F-40E8-490E-B08D-ED6EEAB8B9EC}" maximized="1" xWindow="-8" yWindow="-8" windowWidth="1382" windowHeight="784" activeSheetId="41"/>
    <customWorkbookView name="mround" guid="{2032DE14-E33D-44B5-9022-A2B48F059704}" maximized="1" xWindow="-8" yWindow="-8" windowWidth="1382" windowHeight="784" activeSheetId="40"/>
    <customWorkbookView name="rounddown" guid="{EE4A95A5-BF42-4BAA-B9EB-84A9230A28F9}" maximized="1" xWindow="-8" yWindow="-8" windowWidth="1382" windowHeight="784" activeSheetId="40"/>
    <customWorkbookView name="roundup" guid="{8BEA0E04-8B9A-4A2D-9B80-4E7685E22D5E}" maximized="1" xWindow="-8" yWindow="-8" windowWidth="1382" windowHeight="784" activeSheetId="40"/>
    <customWorkbookView name="ceiling" guid="{0125BE01-BBC8-4E5A-9A9A-3D1257916B8C}" maximized="1" xWindow="-8" yWindow="-8" windowWidth="1382" windowHeight="784" activeSheetId="35"/>
    <customWorkbookView name="floor" guid="{7A9AB605-DB82-470C-B86B-95E2AB3523F6}" maximized="1" xWindow="-8" yWindow="-8" windowWidth="1382" windowHeight="784" activeSheetId="35"/>
    <customWorkbookView name="minifs8" guid="{FC8D231F-57F9-45EE-9DEF-D7ED111600EB}" maximized="1" xWindow="-8" yWindow="-8" windowWidth="1382" windowHeight="784" activeSheetId="34"/>
    <customWorkbookView name="minifs7" guid="{395DC3D6-3299-4A43-88E2-62703FCC0349}" maximized="1" xWindow="-8" yWindow="-8" windowWidth="1382" windowHeight="784" activeSheetId="34"/>
    <customWorkbookView name="minifs6" guid="{5C8F4C13-387F-42D2-8CB5-92C4886D7919}" maximized="1" xWindow="-8" yWindow="-8" windowWidth="1382" windowHeight="784" activeSheetId="34"/>
    <customWorkbookView name="minifs5" guid="{8A25BF65-C908-4B2F-9805-3CD39BD4330E}" maximized="1" xWindow="-8" yWindow="-8" windowWidth="1382" windowHeight="784" activeSheetId="34"/>
    <customWorkbookView name="minifs4" guid="{F9A03991-7A83-41AE-B603-3D22265CDA22}" maximized="1" xWindow="-8" yWindow="-8" windowWidth="1382" windowHeight="784" activeSheetId="34"/>
    <customWorkbookView name="minifs3" guid="{FEB5A49F-F7F7-412A-BE72-F90F7A4799C8}" maximized="1" xWindow="-8" yWindow="-8" windowWidth="1382" windowHeight="784" activeSheetId="34"/>
    <customWorkbookView name="minifs2" guid="{F518ECB9-5D92-41E0-BFD2-C5175A02444D}" maximized="1" xWindow="-8" yWindow="-8" windowWidth="1382" windowHeight="784" activeSheetId="34"/>
    <customWorkbookView name="minifs1" guid="{BCAB4838-A37A-4BCF-A9C9-CC50C95F58C7}" maximized="1" xWindow="-8" yWindow="-8" windowWidth="1382" windowHeight="784" activeSheetId="34"/>
    <customWorkbookView name="countifs8" guid="{E1A67331-473F-4161-806C-BE35870C93B5}" maximized="1" xWindow="-8" yWindow="-8" windowWidth="1382" windowHeight="784" activeSheetId="31"/>
    <customWorkbookView name="countifs7" guid="{CC562453-1E6B-4010-9E1B-775397A26EFA}" maximized="1" xWindow="-8" yWindow="-8" windowWidth="1382" windowHeight="784" activeSheetId="31"/>
    <customWorkbookView name="countifs6" guid="{644A6A80-0D34-48F6-A071-17016DCD2D6E}" maximized="1" xWindow="-8" yWindow="-8" windowWidth="1382" windowHeight="784" activeSheetId="31"/>
    <customWorkbookView name="countifs5" guid="{C65059E8-30E8-488B-A0E9-1B7961920C81}" maximized="1" xWindow="-8" yWindow="-8" windowWidth="1382" windowHeight="784" activeSheetId="31"/>
    <customWorkbookView name="countifs4" guid="{95D39BA8-2B16-4954-ABAC-09AD33A86339}" maximized="1" xWindow="-8" yWindow="-8" windowWidth="1382" windowHeight="784" activeSheetId="31"/>
    <customWorkbookView name="countifs3" guid="{25A4A7C0-9593-456C-861C-76D101D3FE93}" maximized="1" xWindow="-8" yWindow="-8" windowWidth="1382" windowHeight="784" activeSheetId="31"/>
    <customWorkbookView name="countifs2" guid="{51BA8A3D-4711-49ED-89E2-EBC09DF2AEDC}" maximized="1" xWindow="-8" yWindow="-8" windowWidth="1382" windowHeight="784" activeSheetId="31"/>
    <customWorkbookView name="countifs1" guid="{629A478C-29B1-4F25-A016-63CE32A1627F}" maximized="1" xWindow="-8" yWindow="-8" windowWidth="1382" windowHeight="784" activeSheetId="31"/>
    <customWorkbookView name="averageifs8" guid="{F789A6E6-3D06-4D93-BF02-46FA1A2548B2}" maximized="1" xWindow="-8" yWindow="-8" windowWidth="1382" windowHeight="784" activeSheetId="32"/>
    <customWorkbookView name="averageifs7" guid="{15D7A002-B247-4A6B-A16B-61BDD9B0066A}" maximized="1" xWindow="-8" yWindow="-8" windowWidth="1382" windowHeight="784" activeSheetId="32"/>
    <customWorkbookView name="averageifs6" guid="{9AFCAA87-4888-4976-A7C9-C06A34CB6C97}" maximized="1" xWindow="-8" yWindow="-8" windowWidth="1382" windowHeight="784" activeSheetId="32"/>
    <customWorkbookView name="averageifs5" guid="{E4FF7DB9-14DF-49DB-9F59-1898DDED4DCE}" maximized="1" xWindow="-8" yWindow="-8" windowWidth="1382" windowHeight="784" activeSheetId="32"/>
    <customWorkbookView name="averageifs4" guid="{EC7537C6-1678-41C1-B788-EF4AFFECF769}" maximized="1" xWindow="-8" yWindow="-8" windowWidth="1382" windowHeight="784" activeSheetId="32"/>
    <customWorkbookView name="averageifs3" guid="{1920E7A3-1C9F-4320-81BB-D11544051025}" maximized="1" xWindow="-8" yWindow="-8" windowWidth="1382" windowHeight="784" activeSheetId="32"/>
    <customWorkbookView name="averageifs2" guid="{02D27969-4CD1-473E-A0E8-856AB0664DE8}" maximized="1" xWindow="-8" yWindow="-8" windowWidth="1382" windowHeight="784" activeSheetId="32"/>
    <customWorkbookView name="averageifs1" guid="{422703F6-63C4-435C-AFE7-1030286678F6}" maximized="1" xWindow="-8" yWindow="-8" windowWidth="1382" windowHeight="784" activeSheetId="32"/>
    <customWorkbookView name="sumifs8" guid="{F3CB97AD-592C-4B6E-8AE3-1CD47479060C}" maximized="1" xWindow="-8" yWindow="-8" windowWidth="1382" windowHeight="784" activeSheetId="25"/>
    <customWorkbookView name="sumifs7" guid="{19DA6E7F-8950-4769-9BBE-2798EFA465A3}" maximized="1" xWindow="-8" yWindow="-8" windowWidth="1382" windowHeight="784" activeSheetId="25"/>
    <customWorkbookView name="sumifs6" guid="{47C01131-7443-4080-A2BB-6B6AA35C6913}" maximized="1" xWindow="-8" yWindow="-8" windowWidth="1382" windowHeight="784" activeSheetId="25"/>
    <customWorkbookView name="sumifs5" guid="{C7330417-67A9-44CF-917F-5F5E2F191AD4}" maximized="1" xWindow="-8" yWindow="-8" windowWidth="1382" windowHeight="784" activeSheetId="25"/>
    <customWorkbookView name="sumifs4" guid="{EBA5E9C4-A2DB-4DF0-BF75-1243E968318E}" maximized="1" xWindow="-8" yWindow="-8" windowWidth="1382" windowHeight="784" activeSheetId="25"/>
    <customWorkbookView name="sumifs3" guid="{7A7FC9A5-F2B5-4894-82BC-4528575F10D4}" maximized="1" xWindow="-8" yWindow="-8" windowWidth="1382" windowHeight="784" activeSheetId="25"/>
    <customWorkbookView name="sumifs2" guid="{6194C141-D0A1-4D58-BA55-90A184525AC3}" maximized="1" xWindow="-8" yWindow="-8" windowWidth="1382" windowHeight="784" activeSheetId="25"/>
    <customWorkbookView name="sumifs1" guid="{A5292A6B-6F92-4AB3-B051-EF87F39FC489}" maximized="1" xWindow="-8" yWindow="-8" windowWidth="1382" windowHeight="784" activeSheetId="25"/>
    <customWorkbookView name="sumif1" guid="{C090DFAD-A23A-4678-87F2-095D84EBDDE8}" maximized="1" xWindow="-8" yWindow="-8" windowWidth="1382" windowHeight="744" activeSheetId="15"/>
    <customWorkbookView name="sumif2" guid="{4F11E31F-E14C-416D-BB97-C8CE74658FBE}" maximized="1" xWindow="-8" yWindow="-8" windowWidth="1382" windowHeight="744" activeSheetId="15"/>
    <customWorkbookView name="sumif3" guid="{F2A17A28-A3DF-492D-BAE9-AAEF2A13397B}" maximized="1" xWindow="-8" yWindow="-8" windowWidth="1382" windowHeight="744" activeSheetId="15"/>
    <customWorkbookView name="sumif4" guid="{8F332A92-7271-4FEC-B085-C15AA232FE21}" maximized="1" xWindow="-8" yWindow="-8" windowWidth="1382" windowHeight="744" activeSheetId="15"/>
    <customWorkbookView name="sumif5" guid="{6B1EB7F4-EF59-450E-A531-475C3A6E6150}" maximized="1" xWindow="-8" yWindow="-8" windowWidth="1382" windowHeight="744" activeSheetId="15"/>
    <customWorkbookView name="sumif6" guid="{8EBF087E-11C5-42EE-B564-FAEE72C86C17}" maximized="1" xWindow="-8" yWindow="-8" windowWidth="1382" windowHeight="744" activeSheetId="15"/>
    <customWorkbookView name="averageif1" guid="{F716839F-5448-40FC-95BC-286199FD6764}" maximized="1" xWindow="-8" yWindow="-8" windowWidth="1382" windowHeight="744" activeSheetId="23"/>
    <customWorkbookView name="averageif2" guid="{E712F22D-DF79-4936-B86B-186E637372BF}" maximized="1" xWindow="-8" yWindow="-8" windowWidth="1382" windowHeight="744" activeSheetId="23"/>
    <customWorkbookView name="averageif3" guid="{672B3D91-11D6-418C-A856-9FF74CE5E6FB}" maximized="1" xWindow="-8" yWindow="-8" windowWidth="1382" windowHeight="744" activeSheetId="23"/>
    <customWorkbookView name="averageif4" guid="{5B4753E1-B7DC-40C2-A28F-B07A6CB075FE}" maximized="1" xWindow="-8" yWindow="-8" windowWidth="1382" windowHeight="744" activeSheetId="23"/>
    <customWorkbookView name="averageif5" guid="{EF2006E2-DE9B-4938-AD6F-8255BE7D529F}" maximized="1" xWindow="-8" yWindow="-8" windowWidth="1382" windowHeight="744" activeSheetId="23"/>
    <customWorkbookView name="averageif6" guid="{0BFB30CE-F6D9-44B3-99BA-62858BF46600}" maximized="1" xWindow="-8" yWindow="-8" windowWidth="1382" windowHeight="744" activeSheetId="23"/>
    <customWorkbookView name="countif1" guid="{E3977DAC-58A9-43A5-A2CD-037AE84A3934}" maximized="1" xWindow="-8" yWindow="-8" windowWidth="1382" windowHeight="744" activeSheetId="24"/>
    <customWorkbookView name="countif2" guid="{E18774DE-EF27-4708-91D7-FE2A7EE4C992}" maximized="1" xWindow="-8" yWindow="-8" windowWidth="1382" windowHeight="744" activeSheetId="24"/>
    <customWorkbookView name="countif3" guid="{F102CDDA-1DB7-4BD5-8A8F-CD5640485596}" maximized="1" xWindow="-8" yWindow="-8" windowWidth="1382" windowHeight="744" activeSheetId="24"/>
    <customWorkbookView name="countif4" guid="{A3C7F73E-8288-4122-801A-9A426BB0DFB8}" maximized="1" xWindow="-8" yWindow="-8" windowWidth="1382" windowHeight="744" activeSheetId="24"/>
    <customWorkbookView name="countif5" guid="{C1FEC2CE-0AE0-4F12-8438-BD3D230D3830}" maximized="1" xWindow="-8" yWindow="-8" windowWidth="1382" windowHeight="744" activeSheetId="24"/>
    <customWorkbookView name="countif6" guid="{576A445C-3D9A-438D-AC68-B679E3D65634}" maximized="1" xWindow="-8" yWindow="-8" windowWidth="1382" windowHeight="744" activeSheetId="24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42" l="1"/>
  <c r="F5" i="42"/>
  <c r="F6" i="42"/>
  <c r="F7" i="42"/>
  <c r="F8" i="42"/>
  <c r="F9" i="42"/>
  <c r="F10" i="42"/>
  <c r="F11" i="42"/>
  <c r="F13" i="42"/>
  <c r="F14" i="42"/>
  <c r="F15" i="42"/>
  <c r="F12" i="42"/>
  <c r="H2" i="43"/>
  <c r="F44" i="43"/>
  <c r="F45" i="43"/>
  <c r="F46" i="43"/>
  <c r="F47" i="43"/>
  <c r="F48" i="43"/>
  <c r="F49" i="43"/>
  <c r="F50" i="43"/>
  <c r="F51" i="43"/>
  <c r="F52" i="43"/>
  <c r="F53" i="43"/>
  <c r="F54" i="43"/>
  <c r="F43" i="43"/>
  <c r="F21" i="43"/>
  <c r="F22" i="43"/>
  <c r="F23" i="43"/>
  <c r="F24" i="43"/>
  <c r="F25" i="43"/>
  <c r="F26" i="43"/>
  <c r="F27" i="43"/>
  <c r="F28" i="43"/>
  <c r="F29" i="43"/>
  <c r="F30" i="43"/>
  <c r="F31" i="43"/>
  <c r="F20" i="43"/>
  <c r="G5" i="43"/>
  <c r="G6" i="43"/>
  <c r="G7" i="43"/>
  <c r="G8" i="43"/>
  <c r="G9" i="43"/>
  <c r="G10" i="43"/>
  <c r="G11" i="43"/>
  <c r="G12" i="43"/>
  <c r="G13" i="43"/>
  <c r="G14" i="43"/>
  <c r="G15" i="43"/>
  <c r="G4" i="43"/>
  <c r="I45" i="15"/>
  <c r="I44" i="15"/>
  <c r="I43" i="15"/>
  <c r="F43" i="15"/>
  <c r="F21" i="15"/>
  <c r="F22" i="15"/>
  <c r="F23" i="15"/>
  <c r="F24" i="15"/>
  <c r="F25" i="15"/>
  <c r="F26" i="15"/>
  <c r="F27" i="15"/>
  <c r="F28" i="15"/>
  <c r="F29" i="15"/>
  <c r="F30" i="15"/>
  <c r="F31" i="15"/>
  <c r="F20" i="15"/>
  <c r="F5" i="15"/>
  <c r="F6" i="15"/>
  <c r="F7" i="15"/>
  <c r="F8" i="15"/>
  <c r="F9" i="15"/>
  <c r="F10" i="15"/>
  <c r="F11" i="15"/>
  <c r="F12" i="15"/>
  <c r="F13" i="15"/>
  <c r="F14" i="15"/>
  <c r="F15" i="15"/>
  <c r="F4" i="15"/>
  <c r="H1" i="15"/>
  <c r="G1" i="15"/>
  <c r="G1" i="42"/>
  <c r="M46" i="43"/>
  <c r="M23" i="43"/>
  <c r="M7" i="43"/>
  <c r="M46" i="42"/>
  <c r="M23" i="42"/>
  <c r="M7" i="42"/>
  <c r="M46" i="15"/>
  <c r="G2" i="1" a="1"/>
  <c r="G2" i="1" s="1"/>
  <c r="G3" i="1" a="1"/>
  <c r="G3" i="1" s="1"/>
  <c r="G4" i="1" a="1"/>
  <c r="G4" i="1"/>
  <c r="G5" i="1" a="1"/>
  <c r="G5" i="1" s="1"/>
  <c r="G6" i="1" a="1"/>
  <c r="G6" i="1" s="1"/>
  <c r="G7" i="1" a="1"/>
  <c r="G7" i="1" s="1"/>
  <c r="G8" i="1" a="1"/>
  <c r="G8" i="1"/>
  <c r="G9" i="1" a="1"/>
  <c r="G9" i="1" s="1"/>
  <c r="G10" i="1" a="1"/>
  <c r="G10" i="1" s="1"/>
  <c r="G11" i="1" a="1"/>
  <c r="G11" i="1" s="1"/>
  <c r="G12" i="1" a="1"/>
  <c r="G12" i="1"/>
  <c r="G13" i="1" a="1"/>
  <c r="G13" i="1" s="1"/>
  <c r="G14" i="1" a="1"/>
  <c r="G14" i="1" s="1"/>
  <c r="G15" i="1" a="1"/>
  <c r="G15" i="1" s="1"/>
  <c r="G16" i="1" a="1"/>
  <c r="G16" i="1" s="1"/>
  <c r="F43" i="42" l="1"/>
  <c r="F44" i="42"/>
  <c r="F45" i="42"/>
  <c r="F46" i="42"/>
  <c r="F47" i="42"/>
  <c r="F48" i="42"/>
  <c r="F49" i="42"/>
  <c r="F50" i="42"/>
  <c r="F51" i="42"/>
  <c r="F52" i="42"/>
  <c r="F53" i="42"/>
  <c r="F54" i="42"/>
  <c r="F20" i="42"/>
  <c r="F21" i="42"/>
  <c r="F22" i="42"/>
  <c r="F23" i="42"/>
  <c r="F24" i="42"/>
  <c r="F25" i="42"/>
  <c r="F26" i="42"/>
  <c r="F27" i="42"/>
  <c r="F28" i="42"/>
  <c r="F29" i="42"/>
  <c r="F30" i="42"/>
  <c r="F31" i="42"/>
  <c r="M23" i="15"/>
  <c r="M7" i="15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<sst xmlns="http://schemas.openxmlformats.org/spreadsheetml/2006/main" count="317" uniqueCount="62">
  <si>
    <t>Today</t>
  </si>
  <si>
    <t>Vendor</t>
  </si>
  <si>
    <t>Price</t>
  </si>
  <si>
    <t>Status</t>
  </si>
  <si>
    <t>Sale Date</t>
  </si>
  <si>
    <t>Day</t>
  </si>
  <si>
    <t>13/12/2024</t>
  </si>
  <si>
    <t>Amazon</t>
  </si>
  <si>
    <t>Unpaid</t>
  </si>
  <si>
    <t>BigBasket</t>
  </si>
  <si>
    <t>Walmart</t>
  </si>
  <si>
    <t>Lyft</t>
  </si>
  <si>
    <t>Find the Day of the Sale</t>
  </si>
  <si>
    <t>DoorDash</t>
  </si>
  <si>
    <t>Google</t>
  </si>
  <si>
    <t>Month</t>
  </si>
  <si>
    <t>Year</t>
  </si>
  <si>
    <t>Find the Year of the Sale</t>
  </si>
  <si>
    <t>Now</t>
  </si>
  <si>
    <t>Hour</t>
  </si>
  <si>
    <t>Find the Hour of the Sale</t>
  </si>
  <si>
    <t>Minute</t>
  </si>
  <si>
    <t>Find the Minute of the Sale</t>
  </si>
  <si>
    <t>Second</t>
  </si>
  <si>
    <t>Find the Second of the Sale</t>
  </si>
  <si>
    <t>Days its been</t>
  </si>
  <si>
    <t>Find how days it has been since the Sale Date</t>
  </si>
  <si>
    <t>/=DAYS(end_date,start_date) is the syntax</t>
  </si>
  <si>
    <t>Working Days</t>
  </si>
  <si>
    <t>last parameter is range of days which is the holidays in between and we can select a range of days and that will be ignored</t>
  </si>
  <si>
    <t>I used $G$1  as its fixed referencing so that it doesnt change its cell value from G1 to the lower ones as they are blank and has text after some cells.</t>
  </si>
  <si>
    <t>Find the no of Working Days from the Sale Date</t>
  </si>
  <si>
    <t>/=NETWORKDAYS(end_date,start_date) is the syntax</t>
  </si>
  <si>
    <t>in comparison to networkdays this has the last option to mention the weekend criteria)</t>
  </si>
  <si>
    <t>Find the no of Working days after the sale when the week starts on Wednesday</t>
  </si>
  <si>
    <t>Rank</t>
  </si>
  <si>
    <t>Name</t>
  </si>
  <si>
    <t>Net Worth (B)</t>
  </si>
  <si>
    <t>LastChange</t>
  </si>
  <si>
    <t>YTDChange</t>
  </si>
  <si>
    <t>Country</t>
  </si>
  <si>
    <t>Change Type</t>
  </si>
  <si>
    <t xml:space="preserve">Elon Musk </t>
  </si>
  <si>
    <t>UnitedStates</t>
  </si>
  <si>
    <t xml:space="preserve">Jeff Bezos </t>
  </si>
  <si>
    <t xml:space="preserve">Bernard Arnault </t>
  </si>
  <si>
    <t>France</t>
  </si>
  <si>
    <t xml:space="preserve">Bill Gates </t>
  </si>
  <si>
    <t xml:space="preserve">Larry Page </t>
  </si>
  <si>
    <t xml:space="preserve">Sergey Brin </t>
  </si>
  <si>
    <r>
      <rPr>
        <b/>
        <sz val="12"/>
        <rFont val="Calibri"/>
        <family val="2"/>
        <scheme val="minor"/>
      </rPr>
      <t xml:space="preserve">Logic1: 
</t>
    </r>
    <r>
      <rPr>
        <sz val="12"/>
        <rFont val="Calibri"/>
        <family val="2"/>
        <scheme val="minor"/>
      </rPr>
      <t xml:space="preserve">If the networth is Less then 100, then get an output as "Multi Billionaire"
</t>
    </r>
    <r>
      <rPr>
        <b/>
        <sz val="12"/>
        <rFont val="Calibri"/>
        <family val="2"/>
        <scheme val="minor"/>
      </rPr>
      <t xml:space="preserve">Logic 2:
</t>
    </r>
    <r>
      <rPr>
        <sz val="12"/>
        <rFont val="Calibri"/>
        <family val="2"/>
        <scheme val="minor"/>
      </rPr>
      <t>If the networth is over 100, then get an output as "Centi Billionaire"</t>
    </r>
  </si>
  <si>
    <t xml:space="preserve">Mark Zuckerberg </t>
  </si>
  <si>
    <t xml:space="preserve">Steve Ballmer </t>
  </si>
  <si>
    <t xml:space="preserve">Larry Ellison </t>
  </si>
  <si>
    <t xml:space="preserve">Warren Buffett </t>
  </si>
  <si>
    <t xml:space="preserve">Mukesh Ambani </t>
  </si>
  <si>
    <t>India</t>
  </si>
  <si>
    <t>Francoise Bettencourt</t>
  </si>
  <si>
    <t xml:space="preserve">Gautam Adani </t>
  </si>
  <si>
    <t xml:space="preserve">Amancio Ortega </t>
  </si>
  <si>
    <t>Spain</t>
  </si>
  <si>
    <t xml:space="preserve">Jim Walton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</si>
</sst>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 tint="0.249977111117893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595959"/>
      <name val="Calibri"/>
      <family val="2"/>
    </font>
    <font>
      <sz val="14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CF49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BDFFD5"/>
      </left>
      <right style="thin">
        <color rgb="FFBDFFD5"/>
      </right>
      <top style="thin">
        <color rgb="FFBDFFD5"/>
      </top>
      <bottom style="thin">
        <color rgb="FFBDFFD5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4" fillId="0" borderId="0" xfId="0" applyFont="1"/>
    <xf numFmtId="0" fontId="1" fillId="4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/>
    <xf numFmtId="0" fontId="8" fillId="0" borderId="1" xfId="0" applyFont="1" applyBorder="1" applyAlignment="1">
      <alignment horizontal="center" vertical="center" readingOrder="1"/>
    </xf>
    <xf numFmtId="0" fontId="7" fillId="5" borderId="0" xfId="0" applyFont="1" applyFill="1" applyAlignment="1">
      <alignment horizontal="center"/>
    </xf>
    <xf numFmtId="0" fontId="9" fillId="0" borderId="0" xfId="0" applyFont="1" applyAlignment="1">
      <alignment horizontal="center" vertical="center"/>
    </xf>
    <xf numFmtId="22" fontId="8" fillId="0" borderId="1" xfId="0" applyNumberFormat="1" applyFont="1" applyBorder="1" applyAlignment="1">
      <alignment horizontal="center" vertical="center" readingOrder="1"/>
    </xf>
    <xf numFmtId="14" fontId="1" fillId="7" borderId="0" xfId="0" applyNumberFormat="1" applyFont="1" applyFill="1"/>
    <xf numFmtId="14" fontId="7" fillId="7" borderId="0" xfId="0" applyNumberFormat="1" applyFont="1" applyFill="1"/>
    <xf numFmtId="14" fontId="7" fillId="0" borderId="0" xfId="0" applyNumberFormat="1" applyFont="1"/>
    <xf numFmtId="22" fontId="7" fillId="7" borderId="0" xfId="0" applyNumberFormat="1" applyFont="1" applyFill="1"/>
    <xf numFmtId="22" fontId="7" fillId="0" borderId="0" xfId="0" applyNumberFormat="1" applyFont="1"/>
    <xf numFmtId="0" fontId="8" fillId="0" borderId="1" xfId="0" applyNumberFormat="1" applyFont="1" applyBorder="1" applyAlignment="1">
      <alignment horizontal="center" vertical="center" readingOrder="1"/>
    </xf>
    <xf numFmtId="0" fontId="10" fillId="6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1">
    <dxf>
      <font>
        <b/>
        <i val="0"/>
        <color theme="0"/>
      </font>
      <fill>
        <patternFill>
          <bgColor rgb="FF00B050"/>
        </patternFill>
      </fill>
    </dxf>
  </dxfs>
  <tableStyles count="0" defaultTableStyle="TableStyleMedium2" defaultPivotStyle="PivotStyleLight16"/>
  <colors>
    <mruColors>
      <color rgb="FF66FF99"/>
      <color rgb="FFCCFFCC"/>
      <color rgb="FFFFB48F"/>
      <color rgb="FFFCF492"/>
      <color rgb="FFFF97B7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Date!F4"/><Relationship Id="rId2" Type="http://schemas.openxmlformats.org/officeDocument/2006/relationships/hyperlink" Target="#Date!A56"/><Relationship Id="rId1" Type="http://schemas.openxmlformats.org/officeDocument/2006/relationships/hyperlink" Target="#Date!A33"/><Relationship Id="rId4" Type="http://schemas.openxmlformats.org/officeDocument/2006/relationships/hyperlink" Target="#Tim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Time!F4"/><Relationship Id="rId2" Type="http://schemas.openxmlformats.org/officeDocument/2006/relationships/hyperlink" Target="#Time!A56"/><Relationship Id="rId1" Type="http://schemas.openxmlformats.org/officeDocument/2006/relationships/hyperlink" Target="#Time!A33"/><Relationship Id="rId4" Type="http://schemas.openxmlformats.org/officeDocument/2006/relationships/hyperlink" Target="#Days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Days!F4"/><Relationship Id="rId2" Type="http://schemas.openxmlformats.org/officeDocument/2006/relationships/hyperlink" Target="#Days!A54"/><Relationship Id="rId1" Type="http://schemas.openxmlformats.org/officeDocument/2006/relationships/hyperlink" Target="#Days!A32"/><Relationship Id="rId4" Type="http://schemas.openxmlformats.org/officeDocument/2006/relationships/hyperlink" Target="#Dat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920750</xdr:colOff>
      <xdr:row>13</xdr:row>
      <xdr:rowOff>15877</xdr:rowOff>
    </xdr:from>
    <xdr:to>
      <xdr:col>9</xdr:col>
      <xdr:colOff>1039812</xdr:colOff>
      <xdr:row>14</xdr:row>
      <xdr:rowOff>142877</xdr:rowOff>
    </xdr:to>
    <xdr:sp macro="[0]!Sheet1.sumif2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589C8A1-CB53-4874-A90B-2D7E8C71AA0B}"/>
            </a:ext>
          </a:extLst>
        </xdr:cNvPr>
        <xdr:cNvSpPr/>
      </xdr:nvSpPr>
      <xdr:spPr>
        <a:xfrm>
          <a:off x="7493000" y="3143252"/>
          <a:ext cx="1135062" cy="365125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Next Example</a:t>
          </a:r>
        </a:p>
      </xdr:txBody>
    </xdr:sp>
    <xdr:clientData/>
  </xdr:twoCellAnchor>
  <xdr:twoCellAnchor>
    <xdr:from>
      <xdr:col>8</xdr:col>
      <xdr:colOff>627064</xdr:colOff>
      <xdr:row>30</xdr:row>
      <xdr:rowOff>127000</xdr:rowOff>
    </xdr:from>
    <xdr:to>
      <xdr:col>9</xdr:col>
      <xdr:colOff>674688</xdr:colOff>
      <xdr:row>31</xdr:row>
      <xdr:rowOff>230189</xdr:rowOff>
    </xdr:to>
    <xdr:sp macro="[0]!Sheet4.averageif1" textlink="">
      <xdr:nvSpPr>
        <xdr:cNvPr id="9" name="Rectangle: Rounded Corners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2F22DC1-49C5-4F6B-A76F-FDF9F2051E24}"/>
            </a:ext>
          </a:extLst>
        </xdr:cNvPr>
        <xdr:cNvSpPr/>
      </xdr:nvSpPr>
      <xdr:spPr>
        <a:xfrm>
          <a:off x="8001002" y="7302500"/>
          <a:ext cx="1063624" cy="341314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/>
            <a:t>Next</a:t>
          </a:r>
          <a:endParaRPr lang="en-IN" sz="1000" b="1"/>
        </a:p>
      </xdr:txBody>
    </xdr:sp>
    <xdr:clientData/>
  </xdr:twoCellAnchor>
  <xdr:twoCellAnchor>
    <xdr:from>
      <xdr:col>0</xdr:col>
      <xdr:colOff>55563</xdr:colOff>
      <xdr:row>0</xdr:row>
      <xdr:rowOff>23813</xdr:rowOff>
    </xdr:from>
    <xdr:to>
      <xdr:col>1</xdr:col>
      <xdr:colOff>341312</xdr:colOff>
      <xdr:row>1</xdr:row>
      <xdr:rowOff>0</xdr:rowOff>
    </xdr:to>
    <xdr:sp macro="[0]!Sheet1.sumif1" textlink="">
      <xdr:nvSpPr>
        <xdr:cNvPr id="5" name="Rectangle: Rounded Corner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8629397-75F8-49D2-9288-67A71F592CE2}"/>
            </a:ext>
          </a:extLst>
        </xdr:cNvPr>
        <xdr:cNvSpPr/>
      </xdr:nvSpPr>
      <xdr:spPr>
        <a:xfrm>
          <a:off x="55563" y="23813"/>
          <a:ext cx="865187" cy="230187"/>
        </a:xfrm>
        <a:prstGeom prst="roundRect">
          <a:avLst>
            <a:gd name="adj" fmla="val 50000"/>
          </a:avLst>
        </a:prstGeom>
        <a:solidFill>
          <a:srgbClr val="FFB48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200" b="1"/>
            <a:t>Start</a:t>
          </a:r>
        </a:p>
      </xdr:txBody>
    </xdr:sp>
    <xdr:clientData/>
  </xdr:twoCellAnchor>
  <xdr:twoCellAnchor>
    <xdr:from>
      <xdr:col>9</xdr:col>
      <xdr:colOff>0</xdr:colOff>
      <xdr:row>54</xdr:row>
      <xdr:rowOff>0</xdr:rowOff>
    </xdr:from>
    <xdr:to>
      <xdr:col>9</xdr:col>
      <xdr:colOff>1063624</xdr:colOff>
      <xdr:row>55</xdr:row>
      <xdr:rowOff>103189</xdr:rowOff>
    </xdr:to>
    <xdr:sp macro="[0]!Sheet4.averageif1" textlink="">
      <xdr:nvSpPr>
        <xdr:cNvPr id="3" name="Rectangle: Rounded Corners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B49DB03-AA0C-4B20-B82F-989C888EEFA1}"/>
            </a:ext>
          </a:extLst>
        </xdr:cNvPr>
        <xdr:cNvSpPr/>
      </xdr:nvSpPr>
      <xdr:spPr>
        <a:xfrm>
          <a:off x="8389938" y="12890500"/>
          <a:ext cx="1063624" cy="341314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/>
            <a:t>Next</a:t>
          </a:r>
          <a:endParaRPr lang="en-IN" sz="10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920750</xdr:colOff>
      <xdr:row>13</xdr:row>
      <xdr:rowOff>15877</xdr:rowOff>
    </xdr:from>
    <xdr:to>
      <xdr:col>9</xdr:col>
      <xdr:colOff>1039812</xdr:colOff>
      <xdr:row>14</xdr:row>
      <xdr:rowOff>142877</xdr:rowOff>
    </xdr:to>
    <xdr:sp macro="[0]!Sheet1.sumif2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16FABC2-FD5F-4F4F-9859-0CAB02BC2C56}"/>
            </a:ext>
          </a:extLst>
        </xdr:cNvPr>
        <xdr:cNvSpPr/>
      </xdr:nvSpPr>
      <xdr:spPr>
        <a:xfrm>
          <a:off x="8293100" y="3140077"/>
          <a:ext cx="1138237" cy="365125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Next Example</a:t>
          </a:r>
        </a:p>
      </xdr:txBody>
    </xdr:sp>
    <xdr:clientData/>
  </xdr:twoCellAnchor>
  <xdr:twoCellAnchor>
    <xdr:from>
      <xdr:col>8</xdr:col>
      <xdr:colOff>627064</xdr:colOff>
      <xdr:row>30</xdr:row>
      <xdr:rowOff>127000</xdr:rowOff>
    </xdr:from>
    <xdr:to>
      <xdr:col>9</xdr:col>
      <xdr:colOff>674688</xdr:colOff>
      <xdr:row>31</xdr:row>
      <xdr:rowOff>230189</xdr:rowOff>
    </xdr:to>
    <xdr:sp macro="[0]!Sheet4.averageif1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9AC8208-C0FE-493E-B3C7-1B895484BE1A}"/>
            </a:ext>
          </a:extLst>
        </xdr:cNvPr>
        <xdr:cNvSpPr/>
      </xdr:nvSpPr>
      <xdr:spPr>
        <a:xfrm>
          <a:off x="7999414" y="7299325"/>
          <a:ext cx="1066799" cy="341314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/>
            <a:t>Next</a:t>
          </a:r>
          <a:endParaRPr lang="en-IN" sz="1000" b="1"/>
        </a:p>
      </xdr:txBody>
    </xdr:sp>
    <xdr:clientData/>
  </xdr:twoCellAnchor>
  <xdr:twoCellAnchor>
    <xdr:from>
      <xdr:col>0</xdr:col>
      <xdr:colOff>55563</xdr:colOff>
      <xdr:row>0</xdr:row>
      <xdr:rowOff>23813</xdr:rowOff>
    </xdr:from>
    <xdr:to>
      <xdr:col>1</xdr:col>
      <xdr:colOff>341312</xdr:colOff>
      <xdr:row>1</xdr:row>
      <xdr:rowOff>0</xdr:rowOff>
    </xdr:to>
    <xdr:sp macro="[0]!Sheet1.sumif1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D1A36DB-E3BB-40B0-BDA9-57D4F1985D7A}"/>
            </a:ext>
          </a:extLst>
        </xdr:cNvPr>
        <xdr:cNvSpPr/>
      </xdr:nvSpPr>
      <xdr:spPr>
        <a:xfrm>
          <a:off x="55563" y="23813"/>
          <a:ext cx="866774" cy="214312"/>
        </a:xfrm>
        <a:prstGeom prst="roundRect">
          <a:avLst>
            <a:gd name="adj" fmla="val 50000"/>
          </a:avLst>
        </a:prstGeom>
        <a:solidFill>
          <a:srgbClr val="FFB48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200" b="1"/>
            <a:t>Start</a:t>
          </a:r>
        </a:p>
      </xdr:txBody>
    </xdr:sp>
    <xdr:clientData/>
  </xdr:twoCellAnchor>
  <xdr:twoCellAnchor>
    <xdr:from>
      <xdr:col>9</xdr:col>
      <xdr:colOff>0</xdr:colOff>
      <xdr:row>54</xdr:row>
      <xdr:rowOff>0</xdr:rowOff>
    </xdr:from>
    <xdr:to>
      <xdr:col>9</xdr:col>
      <xdr:colOff>1063624</xdr:colOff>
      <xdr:row>55</xdr:row>
      <xdr:rowOff>103189</xdr:rowOff>
    </xdr:to>
    <xdr:sp macro="[0]!Sheet4.averageif1" textlink="">
      <xdr:nvSpPr>
        <xdr:cNvPr id="5" name="Rectangle: Rounded Corner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5AD60EC-7D93-416F-BA47-4BF93489C3BA}"/>
            </a:ext>
          </a:extLst>
        </xdr:cNvPr>
        <xdr:cNvSpPr/>
      </xdr:nvSpPr>
      <xdr:spPr>
        <a:xfrm>
          <a:off x="8391525" y="12887325"/>
          <a:ext cx="1063624" cy="341314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/>
            <a:t>Next</a:t>
          </a:r>
          <a:endParaRPr lang="en-IN" sz="10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920750</xdr:colOff>
      <xdr:row>13</xdr:row>
      <xdr:rowOff>15877</xdr:rowOff>
    </xdr:from>
    <xdr:to>
      <xdr:col>9</xdr:col>
      <xdr:colOff>1039812</xdr:colOff>
      <xdr:row>14</xdr:row>
      <xdr:rowOff>142877</xdr:rowOff>
    </xdr:to>
    <xdr:sp macro="[0]!Sheet1.sumif2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ADD14B-E477-480C-A354-16C0DD567B26}"/>
            </a:ext>
          </a:extLst>
        </xdr:cNvPr>
        <xdr:cNvSpPr/>
      </xdr:nvSpPr>
      <xdr:spPr>
        <a:xfrm>
          <a:off x="8293100" y="3140077"/>
          <a:ext cx="1138237" cy="365125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Next Example</a:t>
          </a:r>
        </a:p>
      </xdr:txBody>
    </xdr:sp>
    <xdr:clientData/>
  </xdr:twoCellAnchor>
  <xdr:twoCellAnchor>
    <xdr:from>
      <xdr:col>8</xdr:col>
      <xdr:colOff>627064</xdr:colOff>
      <xdr:row>30</xdr:row>
      <xdr:rowOff>127000</xdr:rowOff>
    </xdr:from>
    <xdr:to>
      <xdr:col>9</xdr:col>
      <xdr:colOff>674688</xdr:colOff>
      <xdr:row>31</xdr:row>
      <xdr:rowOff>230189</xdr:rowOff>
    </xdr:to>
    <xdr:sp macro="[0]!Sheet4.averageif1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00FCBEF-C357-4B37-A748-4FD94B51CA52}"/>
            </a:ext>
          </a:extLst>
        </xdr:cNvPr>
        <xdr:cNvSpPr/>
      </xdr:nvSpPr>
      <xdr:spPr>
        <a:xfrm>
          <a:off x="7999414" y="7299325"/>
          <a:ext cx="1066799" cy="341314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/>
            <a:t>Next</a:t>
          </a:r>
          <a:endParaRPr lang="en-IN" sz="1000" b="1"/>
        </a:p>
      </xdr:txBody>
    </xdr:sp>
    <xdr:clientData/>
  </xdr:twoCellAnchor>
  <xdr:twoCellAnchor>
    <xdr:from>
      <xdr:col>0</xdr:col>
      <xdr:colOff>55563</xdr:colOff>
      <xdr:row>0</xdr:row>
      <xdr:rowOff>23813</xdr:rowOff>
    </xdr:from>
    <xdr:to>
      <xdr:col>1</xdr:col>
      <xdr:colOff>341312</xdr:colOff>
      <xdr:row>1</xdr:row>
      <xdr:rowOff>0</xdr:rowOff>
    </xdr:to>
    <xdr:sp macro="[0]!Sheet1.sumif1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0FBB01A-EA11-4299-A063-4677A3D5C3AF}"/>
            </a:ext>
          </a:extLst>
        </xdr:cNvPr>
        <xdr:cNvSpPr/>
      </xdr:nvSpPr>
      <xdr:spPr>
        <a:xfrm>
          <a:off x="55563" y="23813"/>
          <a:ext cx="866774" cy="214312"/>
        </a:xfrm>
        <a:prstGeom prst="roundRect">
          <a:avLst>
            <a:gd name="adj" fmla="val 50000"/>
          </a:avLst>
        </a:prstGeom>
        <a:solidFill>
          <a:srgbClr val="FFB48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200" b="1"/>
            <a:t>Start</a:t>
          </a:r>
        </a:p>
      </xdr:txBody>
    </xdr:sp>
    <xdr:clientData/>
  </xdr:twoCellAnchor>
  <xdr:twoCellAnchor>
    <xdr:from>
      <xdr:col>8</xdr:col>
      <xdr:colOff>865188</xdr:colOff>
      <xdr:row>52</xdr:row>
      <xdr:rowOff>174625</xdr:rowOff>
    </xdr:from>
    <xdr:to>
      <xdr:col>9</xdr:col>
      <xdr:colOff>912812</xdr:colOff>
      <xdr:row>54</xdr:row>
      <xdr:rowOff>39689</xdr:rowOff>
    </xdr:to>
    <xdr:sp macro="[0]!Sheet4.averageif1" textlink="">
      <xdr:nvSpPr>
        <xdr:cNvPr id="5" name="Rectangle: Rounded Corner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E8DE3AE-A802-41D7-9957-C3038790076E}"/>
            </a:ext>
          </a:extLst>
        </xdr:cNvPr>
        <xdr:cNvSpPr/>
      </xdr:nvSpPr>
      <xdr:spPr>
        <a:xfrm>
          <a:off x="8239126" y="12588875"/>
          <a:ext cx="1063624" cy="341314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/>
            <a:t>Home</a:t>
          </a:r>
          <a:endParaRPr lang="en-IN" sz="10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printerSettings" Target="../printerSettings/printerSettings26.bin"/><Relationship Id="rId21" Type="http://schemas.openxmlformats.org/officeDocument/2006/relationships/printerSettings" Target="../printerSettings/printerSettings21.bin"/><Relationship Id="rId42" Type="http://schemas.openxmlformats.org/officeDocument/2006/relationships/printerSettings" Target="../printerSettings/printerSettings42.bin"/><Relationship Id="rId47" Type="http://schemas.openxmlformats.org/officeDocument/2006/relationships/printerSettings" Target="../printerSettings/printerSettings47.bin"/><Relationship Id="rId63" Type="http://schemas.openxmlformats.org/officeDocument/2006/relationships/printerSettings" Target="../printerSettings/printerSettings63.bin"/><Relationship Id="rId68" Type="http://schemas.openxmlformats.org/officeDocument/2006/relationships/printerSettings" Target="../printerSettings/printerSettings68.bin"/><Relationship Id="rId16" Type="http://schemas.openxmlformats.org/officeDocument/2006/relationships/printerSettings" Target="../printerSettings/printerSettings16.bin"/><Relationship Id="rId11" Type="http://schemas.openxmlformats.org/officeDocument/2006/relationships/printerSettings" Target="../printerSettings/printerSettings11.bin"/><Relationship Id="rId24" Type="http://schemas.openxmlformats.org/officeDocument/2006/relationships/printerSettings" Target="../printerSettings/printerSettings24.bin"/><Relationship Id="rId32" Type="http://schemas.openxmlformats.org/officeDocument/2006/relationships/printerSettings" Target="../printerSettings/printerSettings32.bin"/><Relationship Id="rId37" Type="http://schemas.openxmlformats.org/officeDocument/2006/relationships/printerSettings" Target="../printerSettings/printerSettings37.bin"/><Relationship Id="rId40" Type="http://schemas.openxmlformats.org/officeDocument/2006/relationships/printerSettings" Target="../printerSettings/printerSettings40.bin"/><Relationship Id="rId45" Type="http://schemas.openxmlformats.org/officeDocument/2006/relationships/printerSettings" Target="../printerSettings/printerSettings45.bin"/><Relationship Id="rId53" Type="http://schemas.openxmlformats.org/officeDocument/2006/relationships/printerSettings" Target="../printerSettings/printerSettings53.bin"/><Relationship Id="rId58" Type="http://schemas.openxmlformats.org/officeDocument/2006/relationships/printerSettings" Target="../printerSettings/printerSettings58.bin"/><Relationship Id="rId66" Type="http://schemas.openxmlformats.org/officeDocument/2006/relationships/printerSettings" Target="../printerSettings/printerSettings66.bin"/><Relationship Id="rId74" Type="http://schemas.openxmlformats.org/officeDocument/2006/relationships/printerSettings" Target="../printerSettings/printerSettings74.bin"/><Relationship Id="rId5" Type="http://schemas.openxmlformats.org/officeDocument/2006/relationships/printerSettings" Target="../printerSettings/printerSettings5.bin"/><Relationship Id="rId61" Type="http://schemas.openxmlformats.org/officeDocument/2006/relationships/printerSettings" Target="../printerSettings/printerSettings61.bin"/><Relationship Id="rId19" Type="http://schemas.openxmlformats.org/officeDocument/2006/relationships/printerSettings" Target="../printerSettings/printerSettings19.bin"/><Relationship Id="rId14" Type="http://schemas.openxmlformats.org/officeDocument/2006/relationships/printerSettings" Target="../printerSettings/printerSettings14.bin"/><Relationship Id="rId22" Type="http://schemas.openxmlformats.org/officeDocument/2006/relationships/printerSettings" Target="../printerSettings/printerSettings22.bin"/><Relationship Id="rId27" Type="http://schemas.openxmlformats.org/officeDocument/2006/relationships/printerSettings" Target="../printerSettings/printerSettings27.bin"/><Relationship Id="rId30" Type="http://schemas.openxmlformats.org/officeDocument/2006/relationships/printerSettings" Target="../printerSettings/printerSettings30.bin"/><Relationship Id="rId35" Type="http://schemas.openxmlformats.org/officeDocument/2006/relationships/printerSettings" Target="../printerSettings/printerSettings35.bin"/><Relationship Id="rId43" Type="http://schemas.openxmlformats.org/officeDocument/2006/relationships/printerSettings" Target="../printerSettings/printerSettings43.bin"/><Relationship Id="rId48" Type="http://schemas.openxmlformats.org/officeDocument/2006/relationships/printerSettings" Target="../printerSettings/printerSettings48.bin"/><Relationship Id="rId56" Type="http://schemas.openxmlformats.org/officeDocument/2006/relationships/printerSettings" Target="../printerSettings/printerSettings56.bin"/><Relationship Id="rId64" Type="http://schemas.openxmlformats.org/officeDocument/2006/relationships/printerSettings" Target="../printerSettings/printerSettings64.bin"/><Relationship Id="rId69" Type="http://schemas.openxmlformats.org/officeDocument/2006/relationships/printerSettings" Target="../printerSettings/printerSettings69.bin"/><Relationship Id="rId77" Type="http://schemas.openxmlformats.org/officeDocument/2006/relationships/drawing" Target="../drawings/drawing1.xml"/><Relationship Id="rId8" Type="http://schemas.openxmlformats.org/officeDocument/2006/relationships/printerSettings" Target="../printerSettings/printerSettings8.bin"/><Relationship Id="rId51" Type="http://schemas.openxmlformats.org/officeDocument/2006/relationships/printerSettings" Target="../printerSettings/printerSettings51.bin"/><Relationship Id="rId72" Type="http://schemas.openxmlformats.org/officeDocument/2006/relationships/printerSettings" Target="../printerSettings/printerSettings72.bin"/><Relationship Id="rId3" Type="http://schemas.openxmlformats.org/officeDocument/2006/relationships/printerSettings" Target="../printerSettings/printerSettings3.bin"/><Relationship Id="rId12" Type="http://schemas.openxmlformats.org/officeDocument/2006/relationships/printerSettings" Target="../printerSettings/printerSettings12.bin"/><Relationship Id="rId17" Type="http://schemas.openxmlformats.org/officeDocument/2006/relationships/printerSettings" Target="../printerSettings/printerSettings17.bin"/><Relationship Id="rId25" Type="http://schemas.openxmlformats.org/officeDocument/2006/relationships/printerSettings" Target="../printerSettings/printerSettings25.bin"/><Relationship Id="rId33" Type="http://schemas.openxmlformats.org/officeDocument/2006/relationships/printerSettings" Target="../printerSettings/printerSettings33.bin"/><Relationship Id="rId38" Type="http://schemas.openxmlformats.org/officeDocument/2006/relationships/printerSettings" Target="../printerSettings/printerSettings38.bin"/><Relationship Id="rId46" Type="http://schemas.openxmlformats.org/officeDocument/2006/relationships/printerSettings" Target="../printerSettings/printerSettings46.bin"/><Relationship Id="rId59" Type="http://schemas.openxmlformats.org/officeDocument/2006/relationships/printerSettings" Target="../printerSettings/printerSettings59.bin"/><Relationship Id="rId67" Type="http://schemas.openxmlformats.org/officeDocument/2006/relationships/printerSettings" Target="../printerSettings/printerSettings67.bin"/><Relationship Id="rId20" Type="http://schemas.openxmlformats.org/officeDocument/2006/relationships/printerSettings" Target="../printerSettings/printerSettings20.bin"/><Relationship Id="rId41" Type="http://schemas.openxmlformats.org/officeDocument/2006/relationships/printerSettings" Target="../printerSettings/printerSettings41.bin"/><Relationship Id="rId54" Type="http://schemas.openxmlformats.org/officeDocument/2006/relationships/printerSettings" Target="../printerSettings/printerSettings54.bin"/><Relationship Id="rId62" Type="http://schemas.openxmlformats.org/officeDocument/2006/relationships/printerSettings" Target="../printerSettings/printerSettings62.bin"/><Relationship Id="rId70" Type="http://schemas.openxmlformats.org/officeDocument/2006/relationships/printerSettings" Target="../printerSettings/printerSettings70.bin"/><Relationship Id="rId75" Type="http://schemas.openxmlformats.org/officeDocument/2006/relationships/printerSettings" Target="../printerSettings/printerSettings75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15" Type="http://schemas.openxmlformats.org/officeDocument/2006/relationships/printerSettings" Target="../printerSettings/printerSettings15.bin"/><Relationship Id="rId23" Type="http://schemas.openxmlformats.org/officeDocument/2006/relationships/printerSettings" Target="../printerSettings/printerSettings23.bin"/><Relationship Id="rId28" Type="http://schemas.openxmlformats.org/officeDocument/2006/relationships/printerSettings" Target="../printerSettings/printerSettings28.bin"/><Relationship Id="rId36" Type="http://schemas.openxmlformats.org/officeDocument/2006/relationships/printerSettings" Target="../printerSettings/printerSettings36.bin"/><Relationship Id="rId49" Type="http://schemas.openxmlformats.org/officeDocument/2006/relationships/printerSettings" Target="../printerSettings/printerSettings49.bin"/><Relationship Id="rId57" Type="http://schemas.openxmlformats.org/officeDocument/2006/relationships/printerSettings" Target="../printerSettings/printerSettings57.bin"/><Relationship Id="rId10" Type="http://schemas.openxmlformats.org/officeDocument/2006/relationships/printerSettings" Target="../printerSettings/printerSettings10.bin"/><Relationship Id="rId31" Type="http://schemas.openxmlformats.org/officeDocument/2006/relationships/printerSettings" Target="../printerSettings/printerSettings31.bin"/><Relationship Id="rId44" Type="http://schemas.openxmlformats.org/officeDocument/2006/relationships/printerSettings" Target="../printerSettings/printerSettings44.bin"/><Relationship Id="rId52" Type="http://schemas.openxmlformats.org/officeDocument/2006/relationships/printerSettings" Target="../printerSettings/printerSettings52.bin"/><Relationship Id="rId60" Type="http://schemas.openxmlformats.org/officeDocument/2006/relationships/printerSettings" Target="../printerSettings/printerSettings60.bin"/><Relationship Id="rId65" Type="http://schemas.openxmlformats.org/officeDocument/2006/relationships/printerSettings" Target="../printerSettings/printerSettings65.bin"/><Relationship Id="rId73" Type="http://schemas.openxmlformats.org/officeDocument/2006/relationships/printerSettings" Target="../printerSettings/printerSettings73.bin"/><Relationship Id="rId4" Type="http://schemas.openxmlformats.org/officeDocument/2006/relationships/printerSettings" Target="../printerSettings/printerSettings4.bin"/><Relationship Id="rId9" Type="http://schemas.openxmlformats.org/officeDocument/2006/relationships/printerSettings" Target="../printerSettings/printerSettings9.bin"/><Relationship Id="rId13" Type="http://schemas.openxmlformats.org/officeDocument/2006/relationships/printerSettings" Target="../printerSettings/printerSettings13.bin"/><Relationship Id="rId18" Type="http://schemas.openxmlformats.org/officeDocument/2006/relationships/printerSettings" Target="../printerSettings/printerSettings18.bin"/><Relationship Id="rId39" Type="http://schemas.openxmlformats.org/officeDocument/2006/relationships/printerSettings" Target="../printerSettings/printerSettings39.bin"/><Relationship Id="rId34" Type="http://schemas.openxmlformats.org/officeDocument/2006/relationships/printerSettings" Target="../printerSettings/printerSettings34.bin"/><Relationship Id="rId50" Type="http://schemas.openxmlformats.org/officeDocument/2006/relationships/printerSettings" Target="../printerSettings/printerSettings50.bin"/><Relationship Id="rId55" Type="http://schemas.openxmlformats.org/officeDocument/2006/relationships/printerSettings" Target="../printerSettings/printerSettings55.bin"/><Relationship Id="rId76" Type="http://schemas.openxmlformats.org/officeDocument/2006/relationships/printerSettings" Target="../printerSettings/printerSettings76.bin"/><Relationship Id="rId7" Type="http://schemas.openxmlformats.org/officeDocument/2006/relationships/printerSettings" Target="../printerSettings/printerSettings7.bin"/><Relationship Id="rId71" Type="http://schemas.openxmlformats.org/officeDocument/2006/relationships/printerSettings" Target="../printerSettings/printerSettings71.bin"/><Relationship Id="rId2" Type="http://schemas.openxmlformats.org/officeDocument/2006/relationships/printerSettings" Target="../printerSettings/printerSettings2.bin"/><Relationship Id="rId29" Type="http://schemas.openxmlformats.org/officeDocument/2006/relationships/printerSettings" Target="../printerSettings/printerSettings29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7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8.bin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printerSettings" Target="../printerSettings/printerSettings104.bin"/><Relationship Id="rId21" Type="http://schemas.openxmlformats.org/officeDocument/2006/relationships/printerSettings" Target="../printerSettings/printerSettings99.bin"/><Relationship Id="rId42" Type="http://schemas.openxmlformats.org/officeDocument/2006/relationships/printerSettings" Target="../printerSettings/printerSettings120.bin"/><Relationship Id="rId47" Type="http://schemas.openxmlformats.org/officeDocument/2006/relationships/printerSettings" Target="../printerSettings/printerSettings125.bin"/><Relationship Id="rId63" Type="http://schemas.openxmlformats.org/officeDocument/2006/relationships/printerSettings" Target="../printerSettings/printerSettings141.bin"/><Relationship Id="rId68" Type="http://schemas.openxmlformats.org/officeDocument/2006/relationships/printerSettings" Target="../printerSettings/printerSettings146.bin"/><Relationship Id="rId2" Type="http://schemas.openxmlformats.org/officeDocument/2006/relationships/printerSettings" Target="../printerSettings/printerSettings80.bin"/><Relationship Id="rId16" Type="http://schemas.openxmlformats.org/officeDocument/2006/relationships/printerSettings" Target="../printerSettings/printerSettings94.bin"/><Relationship Id="rId29" Type="http://schemas.openxmlformats.org/officeDocument/2006/relationships/printerSettings" Target="../printerSettings/printerSettings107.bin"/><Relationship Id="rId11" Type="http://schemas.openxmlformats.org/officeDocument/2006/relationships/printerSettings" Target="../printerSettings/printerSettings89.bin"/><Relationship Id="rId24" Type="http://schemas.openxmlformats.org/officeDocument/2006/relationships/printerSettings" Target="../printerSettings/printerSettings102.bin"/><Relationship Id="rId32" Type="http://schemas.openxmlformats.org/officeDocument/2006/relationships/printerSettings" Target="../printerSettings/printerSettings110.bin"/><Relationship Id="rId37" Type="http://schemas.openxmlformats.org/officeDocument/2006/relationships/printerSettings" Target="../printerSettings/printerSettings115.bin"/><Relationship Id="rId40" Type="http://schemas.openxmlformats.org/officeDocument/2006/relationships/printerSettings" Target="../printerSettings/printerSettings118.bin"/><Relationship Id="rId45" Type="http://schemas.openxmlformats.org/officeDocument/2006/relationships/printerSettings" Target="../printerSettings/printerSettings123.bin"/><Relationship Id="rId53" Type="http://schemas.openxmlformats.org/officeDocument/2006/relationships/printerSettings" Target="../printerSettings/printerSettings131.bin"/><Relationship Id="rId58" Type="http://schemas.openxmlformats.org/officeDocument/2006/relationships/printerSettings" Target="../printerSettings/printerSettings136.bin"/><Relationship Id="rId66" Type="http://schemas.openxmlformats.org/officeDocument/2006/relationships/printerSettings" Target="../printerSettings/printerSettings144.bin"/><Relationship Id="rId74" Type="http://schemas.openxmlformats.org/officeDocument/2006/relationships/printerSettings" Target="../printerSettings/printerSettings152.bin"/><Relationship Id="rId5" Type="http://schemas.openxmlformats.org/officeDocument/2006/relationships/printerSettings" Target="../printerSettings/printerSettings83.bin"/><Relationship Id="rId61" Type="http://schemas.openxmlformats.org/officeDocument/2006/relationships/printerSettings" Target="../printerSettings/printerSettings139.bin"/><Relationship Id="rId19" Type="http://schemas.openxmlformats.org/officeDocument/2006/relationships/printerSettings" Target="../printerSettings/printerSettings97.bin"/><Relationship Id="rId14" Type="http://schemas.openxmlformats.org/officeDocument/2006/relationships/printerSettings" Target="../printerSettings/printerSettings92.bin"/><Relationship Id="rId22" Type="http://schemas.openxmlformats.org/officeDocument/2006/relationships/printerSettings" Target="../printerSettings/printerSettings100.bin"/><Relationship Id="rId27" Type="http://schemas.openxmlformats.org/officeDocument/2006/relationships/printerSettings" Target="../printerSettings/printerSettings105.bin"/><Relationship Id="rId30" Type="http://schemas.openxmlformats.org/officeDocument/2006/relationships/printerSettings" Target="../printerSettings/printerSettings108.bin"/><Relationship Id="rId35" Type="http://schemas.openxmlformats.org/officeDocument/2006/relationships/printerSettings" Target="../printerSettings/printerSettings113.bin"/><Relationship Id="rId43" Type="http://schemas.openxmlformats.org/officeDocument/2006/relationships/printerSettings" Target="../printerSettings/printerSettings121.bin"/><Relationship Id="rId48" Type="http://schemas.openxmlformats.org/officeDocument/2006/relationships/printerSettings" Target="../printerSettings/printerSettings126.bin"/><Relationship Id="rId56" Type="http://schemas.openxmlformats.org/officeDocument/2006/relationships/printerSettings" Target="../printerSettings/printerSettings134.bin"/><Relationship Id="rId64" Type="http://schemas.openxmlformats.org/officeDocument/2006/relationships/printerSettings" Target="../printerSettings/printerSettings142.bin"/><Relationship Id="rId69" Type="http://schemas.openxmlformats.org/officeDocument/2006/relationships/printerSettings" Target="../printerSettings/printerSettings147.bin"/><Relationship Id="rId8" Type="http://schemas.openxmlformats.org/officeDocument/2006/relationships/printerSettings" Target="../printerSettings/printerSettings86.bin"/><Relationship Id="rId51" Type="http://schemas.openxmlformats.org/officeDocument/2006/relationships/printerSettings" Target="../printerSettings/printerSettings129.bin"/><Relationship Id="rId72" Type="http://schemas.openxmlformats.org/officeDocument/2006/relationships/printerSettings" Target="../printerSettings/printerSettings150.bin"/><Relationship Id="rId3" Type="http://schemas.openxmlformats.org/officeDocument/2006/relationships/printerSettings" Target="../printerSettings/printerSettings81.bin"/><Relationship Id="rId12" Type="http://schemas.openxmlformats.org/officeDocument/2006/relationships/printerSettings" Target="../printerSettings/printerSettings90.bin"/><Relationship Id="rId17" Type="http://schemas.openxmlformats.org/officeDocument/2006/relationships/printerSettings" Target="../printerSettings/printerSettings95.bin"/><Relationship Id="rId25" Type="http://schemas.openxmlformats.org/officeDocument/2006/relationships/printerSettings" Target="../printerSettings/printerSettings103.bin"/><Relationship Id="rId33" Type="http://schemas.openxmlformats.org/officeDocument/2006/relationships/printerSettings" Target="../printerSettings/printerSettings111.bin"/><Relationship Id="rId38" Type="http://schemas.openxmlformats.org/officeDocument/2006/relationships/printerSettings" Target="../printerSettings/printerSettings116.bin"/><Relationship Id="rId46" Type="http://schemas.openxmlformats.org/officeDocument/2006/relationships/printerSettings" Target="../printerSettings/printerSettings124.bin"/><Relationship Id="rId59" Type="http://schemas.openxmlformats.org/officeDocument/2006/relationships/printerSettings" Target="../printerSettings/printerSettings137.bin"/><Relationship Id="rId67" Type="http://schemas.openxmlformats.org/officeDocument/2006/relationships/printerSettings" Target="../printerSettings/printerSettings145.bin"/><Relationship Id="rId20" Type="http://schemas.openxmlformats.org/officeDocument/2006/relationships/printerSettings" Target="../printerSettings/printerSettings98.bin"/><Relationship Id="rId41" Type="http://schemas.openxmlformats.org/officeDocument/2006/relationships/printerSettings" Target="../printerSettings/printerSettings119.bin"/><Relationship Id="rId54" Type="http://schemas.openxmlformats.org/officeDocument/2006/relationships/printerSettings" Target="../printerSettings/printerSettings132.bin"/><Relationship Id="rId62" Type="http://schemas.openxmlformats.org/officeDocument/2006/relationships/printerSettings" Target="../printerSettings/printerSettings140.bin"/><Relationship Id="rId70" Type="http://schemas.openxmlformats.org/officeDocument/2006/relationships/printerSettings" Target="../printerSettings/printerSettings148.bin"/><Relationship Id="rId75" Type="http://schemas.openxmlformats.org/officeDocument/2006/relationships/printerSettings" Target="../printerSettings/printerSettings153.bin"/><Relationship Id="rId1" Type="http://schemas.openxmlformats.org/officeDocument/2006/relationships/printerSettings" Target="../printerSettings/printerSettings79.bin"/><Relationship Id="rId6" Type="http://schemas.openxmlformats.org/officeDocument/2006/relationships/printerSettings" Target="../printerSettings/printerSettings84.bin"/><Relationship Id="rId15" Type="http://schemas.openxmlformats.org/officeDocument/2006/relationships/printerSettings" Target="../printerSettings/printerSettings93.bin"/><Relationship Id="rId23" Type="http://schemas.openxmlformats.org/officeDocument/2006/relationships/printerSettings" Target="../printerSettings/printerSettings101.bin"/><Relationship Id="rId28" Type="http://schemas.openxmlformats.org/officeDocument/2006/relationships/printerSettings" Target="../printerSettings/printerSettings106.bin"/><Relationship Id="rId36" Type="http://schemas.openxmlformats.org/officeDocument/2006/relationships/printerSettings" Target="../printerSettings/printerSettings114.bin"/><Relationship Id="rId49" Type="http://schemas.openxmlformats.org/officeDocument/2006/relationships/printerSettings" Target="../printerSettings/printerSettings127.bin"/><Relationship Id="rId57" Type="http://schemas.openxmlformats.org/officeDocument/2006/relationships/printerSettings" Target="../printerSettings/printerSettings135.bin"/><Relationship Id="rId10" Type="http://schemas.openxmlformats.org/officeDocument/2006/relationships/printerSettings" Target="../printerSettings/printerSettings88.bin"/><Relationship Id="rId31" Type="http://schemas.openxmlformats.org/officeDocument/2006/relationships/printerSettings" Target="../printerSettings/printerSettings109.bin"/><Relationship Id="rId44" Type="http://schemas.openxmlformats.org/officeDocument/2006/relationships/printerSettings" Target="../printerSettings/printerSettings122.bin"/><Relationship Id="rId52" Type="http://schemas.openxmlformats.org/officeDocument/2006/relationships/printerSettings" Target="../printerSettings/printerSettings130.bin"/><Relationship Id="rId60" Type="http://schemas.openxmlformats.org/officeDocument/2006/relationships/printerSettings" Target="../printerSettings/printerSettings138.bin"/><Relationship Id="rId65" Type="http://schemas.openxmlformats.org/officeDocument/2006/relationships/printerSettings" Target="../printerSettings/printerSettings143.bin"/><Relationship Id="rId73" Type="http://schemas.openxmlformats.org/officeDocument/2006/relationships/printerSettings" Target="../printerSettings/printerSettings151.bin"/><Relationship Id="rId4" Type="http://schemas.openxmlformats.org/officeDocument/2006/relationships/printerSettings" Target="../printerSettings/printerSettings82.bin"/><Relationship Id="rId9" Type="http://schemas.openxmlformats.org/officeDocument/2006/relationships/printerSettings" Target="../printerSettings/printerSettings87.bin"/><Relationship Id="rId13" Type="http://schemas.openxmlformats.org/officeDocument/2006/relationships/printerSettings" Target="../printerSettings/printerSettings91.bin"/><Relationship Id="rId18" Type="http://schemas.openxmlformats.org/officeDocument/2006/relationships/printerSettings" Target="../printerSettings/printerSettings96.bin"/><Relationship Id="rId39" Type="http://schemas.openxmlformats.org/officeDocument/2006/relationships/printerSettings" Target="../printerSettings/printerSettings117.bin"/><Relationship Id="rId34" Type="http://schemas.openxmlformats.org/officeDocument/2006/relationships/printerSettings" Target="../printerSettings/printerSettings112.bin"/><Relationship Id="rId50" Type="http://schemas.openxmlformats.org/officeDocument/2006/relationships/printerSettings" Target="../printerSettings/printerSettings128.bin"/><Relationship Id="rId55" Type="http://schemas.openxmlformats.org/officeDocument/2006/relationships/printerSettings" Target="../printerSettings/printerSettings133.bin"/><Relationship Id="rId76" Type="http://schemas.openxmlformats.org/officeDocument/2006/relationships/printerSettings" Target="../printerSettings/printerSettings154.bin"/><Relationship Id="rId7" Type="http://schemas.openxmlformats.org/officeDocument/2006/relationships/printerSettings" Target="../printerSettings/printerSettings85.bin"/><Relationship Id="rId71" Type="http://schemas.openxmlformats.org/officeDocument/2006/relationships/printerSettings" Target="../printerSettings/printerSettings14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6D679-BBB8-44F0-B28F-9E16A9FB1BA6}">
  <sheetPr codeName="Sheet1">
    <pageSetUpPr autoPageBreaks="0"/>
  </sheetPr>
  <dimension ref="B1:M54"/>
  <sheetViews>
    <sheetView showGridLines="0" topLeftCell="A40" zoomScale="120" zoomScaleNormal="110" workbookViewId="0">
      <selection activeCell="I46" sqref="H46:J47"/>
    </sheetView>
  </sheetViews>
  <sheetFormatPr defaultRowHeight="18.75"/>
  <cols>
    <col min="1" max="1" width="8.7109375" style="7" customWidth="1"/>
    <col min="2" max="2" width="17.140625" style="7" bestFit="1" customWidth="1"/>
    <col min="3" max="3" width="8.28515625" style="7" bestFit="1" customWidth="1"/>
    <col min="4" max="4" width="13.85546875" style="7" bestFit="1" customWidth="1"/>
    <col min="5" max="5" width="22.140625" style="7" bestFit="1" customWidth="1"/>
    <col min="6" max="6" width="17.28515625" style="7" bestFit="1" customWidth="1"/>
    <col min="7" max="7" width="11.7109375" style="7" bestFit="1" customWidth="1"/>
    <col min="8" max="8" width="14" style="7" customWidth="1"/>
    <col min="9" max="9" width="15.28515625" style="7" customWidth="1"/>
    <col min="10" max="10" width="18.85546875" style="7" customWidth="1"/>
    <col min="11" max="16384" width="9.140625" style="7"/>
  </cols>
  <sheetData>
    <row r="1" spans="2:13">
      <c r="F1" s="9" t="s">
        <v>0</v>
      </c>
      <c r="G1" s="13">
        <f ca="1">TODAY()</f>
        <v>45564</v>
      </c>
      <c r="H1" s="14">
        <f ca="1">TODAY()</f>
        <v>45564</v>
      </c>
    </row>
    <row r="3" spans="2:13">
      <c r="B3" s="9" t="s">
        <v>1</v>
      </c>
      <c r="C3" s="9" t="s">
        <v>2</v>
      </c>
      <c r="D3" s="9" t="s">
        <v>3</v>
      </c>
      <c r="E3" s="9" t="s">
        <v>4</v>
      </c>
      <c r="F3" s="9" t="s">
        <v>5</v>
      </c>
      <c r="H3" s="14" t="s">
        <v>6</v>
      </c>
    </row>
    <row r="4" spans="2:13">
      <c r="B4" s="8" t="s">
        <v>7</v>
      </c>
      <c r="C4" s="8">
        <v>7.85</v>
      </c>
      <c r="D4" s="8" t="s">
        <v>8</v>
      </c>
      <c r="E4" s="11">
        <v>44888.4765625</v>
      </c>
      <c r="F4" s="8">
        <f>DAY(E4)</f>
        <v>23</v>
      </c>
    </row>
    <row r="5" spans="2:13" ht="18.75" customHeight="1">
      <c r="B5" s="8" t="s">
        <v>9</v>
      </c>
      <c r="C5" s="8">
        <v>3.25</v>
      </c>
      <c r="D5" s="8" t="s">
        <v>8</v>
      </c>
      <c r="E5" s="11">
        <v>45232.487638888888</v>
      </c>
      <c r="F5" s="8">
        <f t="shared" ref="F5:F15" si="0">DAY(E5)</f>
        <v>2</v>
      </c>
    </row>
    <row r="6" spans="2:13" ht="21" customHeight="1">
      <c r="B6" s="8" t="s">
        <v>10</v>
      </c>
      <c r="C6" s="8">
        <v>12.5</v>
      </c>
      <c r="D6" s="8" t="s">
        <v>8</v>
      </c>
      <c r="E6" s="11">
        <v>45253.499027777776</v>
      </c>
      <c r="F6" s="8">
        <f t="shared" si="0"/>
        <v>23</v>
      </c>
    </row>
    <row r="7" spans="2:13" ht="18.75" customHeight="1">
      <c r="B7" s="8" t="s">
        <v>11</v>
      </c>
      <c r="C7" s="8">
        <v>6.35</v>
      </c>
      <c r="D7" s="8" t="s">
        <v>8</v>
      </c>
      <c r="E7" s="11">
        <v>44852.505381944444</v>
      </c>
      <c r="F7" s="8">
        <f t="shared" si="0"/>
        <v>18</v>
      </c>
      <c r="H7" s="18" t="s">
        <v>12</v>
      </c>
      <c r="I7" s="18"/>
      <c r="J7" s="18"/>
      <c r="M7" s="10">
        <f>SUMIF(E4:E15,"Mar",C4:C15)</f>
        <v>0</v>
      </c>
    </row>
    <row r="8" spans="2:13">
      <c r="B8" s="8" t="s">
        <v>13</v>
      </c>
      <c r="C8" s="8">
        <v>2.5</v>
      </c>
      <c r="D8" s="8" t="s">
        <v>8</v>
      </c>
      <c r="E8" s="11">
        <v>44888.520162037035</v>
      </c>
      <c r="F8" s="8">
        <f t="shared" si="0"/>
        <v>23</v>
      </c>
      <c r="H8" s="18"/>
      <c r="I8" s="18"/>
      <c r="J8" s="18"/>
    </row>
    <row r="9" spans="2:13">
      <c r="B9" s="8" t="s">
        <v>14</v>
      </c>
      <c r="C9" s="8">
        <v>6.5</v>
      </c>
      <c r="D9" s="8" t="s">
        <v>8</v>
      </c>
      <c r="E9" s="11">
        <v>44923.573692129627</v>
      </c>
      <c r="F9" s="8">
        <f t="shared" si="0"/>
        <v>28</v>
      </c>
    </row>
    <row r="10" spans="2:13">
      <c r="B10" s="8" t="s">
        <v>7</v>
      </c>
      <c r="C10" s="8">
        <v>8.75</v>
      </c>
      <c r="D10" s="8" t="s">
        <v>8</v>
      </c>
      <c r="E10" s="11">
        <v>44888.593831018516</v>
      </c>
      <c r="F10" s="8">
        <f t="shared" si="0"/>
        <v>23</v>
      </c>
    </row>
    <row r="11" spans="2:13">
      <c r="B11" s="8" t="s">
        <v>11</v>
      </c>
      <c r="C11" s="8">
        <v>4.6500000000000004</v>
      </c>
      <c r="D11" s="8" t="s">
        <v>8</v>
      </c>
      <c r="E11" s="11">
        <v>44888.656423611108</v>
      </c>
      <c r="F11" s="8">
        <f t="shared" si="0"/>
        <v>23</v>
      </c>
    </row>
    <row r="12" spans="2:13">
      <c r="B12" s="8" t="s">
        <v>7</v>
      </c>
      <c r="C12" s="8">
        <v>12.85</v>
      </c>
      <c r="D12" s="8" t="s">
        <v>8</v>
      </c>
      <c r="E12" s="11">
        <v>44889.675300925926</v>
      </c>
      <c r="F12" s="8">
        <f t="shared" si="0"/>
        <v>24</v>
      </c>
    </row>
    <row r="13" spans="2:13" ht="18.75" customHeight="1">
      <c r="B13" s="8" t="s">
        <v>9</v>
      </c>
      <c r="C13" s="8">
        <v>8.25</v>
      </c>
      <c r="D13" s="8" t="s">
        <v>8</v>
      </c>
      <c r="E13" s="11">
        <v>44888.686539351853</v>
      </c>
      <c r="F13" s="8">
        <f t="shared" si="0"/>
        <v>23</v>
      </c>
    </row>
    <row r="14" spans="2:13">
      <c r="B14" s="8" t="s">
        <v>10</v>
      </c>
      <c r="C14" s="8">
        <v>13.5</v>
      </c>
      <c r="D14" s="8" t="s">
        <v>8</v>
      </c>
      <c r="E14" s="11">
        <v>44888.70815972222</v>
      </c>
      <c r="F14" s="8">
        <f t="shared" si="0"/>
        <v>23</v>
      </c>
    </row>
    <row r="15" spans="2:13">
      <c r="B15" s="8" t="s">
        <v>11</v>
      </c>
      <c r="C15" s="8">
        <v>9.9499999999999993</v>
      </c>
      <c r="D15" s="8" t="s">
        <v>8</v>
      </c>
      <c r="E15" s="11">
        <v>44888.783391203702</v>
      </c>
      <c r="F15" s="8">
        <f t="shared" si="0"/>
        <v>23</v>
      </c>
    </row>
    <row r="19" spans="2:13">
      <c r="B19" s="9" t="s">
        <v>1</v>
      </c>
      <c r="C19" s="9" t="s">
        <v>2</v>
      </c>
      <c r="D19" s="9" t="s">
        <v>3</v>
      </c>
      <c r="E19" s="9" t="s">
        <v>4</v>
      </c>
      <c r="F19" s="9" t="s">
        <v>15</v>
      </c>
    </row>
    <row r="20" spans="2:13">
      <c r="B20" s="8" t="s">
        <v>7</v>
      </c>
      <c r="C20" s="8">
        <v>7.85</v>
      </c>
      <c r="D20" s="8" t="s">
        <v>8</v>
      </c>
      <c r="E20" s="11">
        <v>44888.4765625</v>
      </c>
      <c r="F20" s="8">
        <f>MONTH(E20)</f>
        <v>11</v>
      </c>
    </row>
    <row r="21" spans="2:13">
      <c r="B21" s="8" t="s">
        <v>9</v>
      </c>
      <c r="C21" s="8">
        <v>3.25</v>
      </c>
      <c r="D21" s="8" t="s">
        <v>8</v>
      </c>
      <c r="E21" s="11">
        <v>45232.487638888888</v>
      </c>
      <c r="F21" s="8">
        <f t="shared" ref="F21:F31" si="1">MONTH(E21)</f>
        <v>11</v>
      </c>
    </row>
    <row r="22" spans="2:13">
      <c r="B22" s="8" t="s">
        <v>10</v>
      </c>
      <c r="C22" s="8">
        <v>12.5</v>
      </c>
      <c r="D22" s="8" t="s">
        <v>8</v>
      </c>
      <c r="E22" s="11">
        <v>45253.499027777776</v>
      </c>
      <c r="F22" s="8">
        <f t="shared" si="1"/>
        <v>11</v>
      </c>
    </row>
    <row r="23" spans="2:13" ht="18.75" customHeight="1">
      <c r="B23" s="8" t="s">
        <v>11</v>
      </c>
      <c r="C23" s="8">
        <v>6.35</v>
      </c>
      <c r="D23" s="8" t="s">
        <v>8</v>
      </c>
      <c r="E23" s="11">
        <v>44852.505381944444</v>
      </c>
      <c r="F23" s="8">
        <f t="shared" si="1"/>
        <v>10</v>
      </c>
      <c r="H23" s="18" t="s">
        <v>12</v>
      </c>
      <c r="I23" s="18"/>
      <c r="J23" s="18"/>
      <c r="M23" s="10">
        <f>SUMIF(D20:D31,"Amazon",C20:C31)</f>
        <v>0</v>
      </c>
    </row>
    <row r="24" spans="2:13">
      <c r="B24" s="8" t="s">
        <v>13</v>
      </c>
      <c r="C24" s="8">
        <v>2.5</v>
      </c>
      <c r="D24" s="8" t="s">
        <v>8</v>
      </c>
      <c r="E24" s="11">
        <v>44888.520162037035</v>
      </c>
      <c r="F24" s="8">
        <f t="shared" si="1"/>
        <v>11</v>
      </c>
      <c r="H24" s="18"/>
      <c r="I24" s="18"/>
      <c r="J24" s="18"/>
    </row>
    <row r="25" spans="2:13">
      <c r="B25" s="8" t="s">
        <v>14</v>
      </c>
      <c r="C25" s="8">
        <v>6.5</v>
      </c>
      <c r="D25" s="8" t="s">
        <v>8</v>
      </c>
      <c r="E25" s="11">
        <v>44923.573692129627</v>
      </c>
      <c r="F25" s="8">
        <f t="shared" si="1"/>
        <v>12</v>
      </c>
    </row>
    <row r="26" spans="2:13">
      <c r="B26" s="8" t="s">
        <v>7</v>
      </c>
      <c r="C26" s="8">
        <v>8.75</v>
      </c>
      <c r="D26" s="8" t="s">
        <v>8</v>
      </c>
      <c r="E26" s="11">
        <v>44888.593831018516</v>
      </c>
      <c r="F26" s="8">
        <f t="shared" si="1"/>
        <v>11</v>
      </c>
    </row>
    <row r="27" spans="2:13">
      <c r="B27" s="8" t="s">
        <v>11</v>
      </c>
      <c r="C27" s="8">
        <v>4.6500000000000004</v>
      </c>
      <c r="D27" s="8" t="s">
        <v>8</v>
      </c>
      <c r="E27" s="11">
        <v>44888.656423611108</v>
      </c>
      <c r="F27" s="8">
        <f t="shared" si="1"/>
        <v>11</v>
      </c>
    </row>
    <row r="28" spans="2:13">
      <c r="B28" s="8" t="s">
        <v>7</v>
      </c>
      <c r="C28" s="8">
        <v>12.85</v>
      </c>
      <c r="D28" s="8" t="s">
        <v>8</v>
      </c>
      <c r="E28" s="11">
        <v>44889.675300925926</v>
      </c>
      <c r="F28" s="8">
        <f t="shared" si="1"/>
        <v>11</v>
      </c>
    </row>
    <row r="29" spans="2:13">
      <c r="B29" s="8" t="s">
        <v>9</v>
      </c>
      <c r="C29" s="8">
        <v>8.25</v>
      </c>
      <c r="D29" s="8" t="s">
        <v>8</v>
      </c>
      <c r="E29" s="11">
        <v>44888.686539351853</v>
      </c>
      <c r="F29" s="8">
        <f t="shared" si="1"/>
        <v>11</v>
      </c>
    </row>
    <row r="30" spans="2:13">
      <c r="B30" s="8" t="s">
        <v>10</v>
      </c>
      <c r="C30" s="8">
        <v>13.5</v>
      </c>
      <c r="D30" s="8" t="s">
        <v>8</v>
      </c>
      <c r="E30" s="11">
        <v>44888.70815972222</v>
      </c>
      <c r="F30" s="8">
        <f t="shared" si="1"/>
        <v>11</v>
      </c>
    </row>
    <row r="31" spans="2:13">
      <c r="B31" s="8" t="s">
        <v>11</v>
      </c>
      <c r="C31" s="8">
        <v>9.9499999999999993</v>
      </c>
      <c r="D31" s="8" t="s">
        <v>8</v>
      </c>
      <c r="E31" s="11">
        <v>44888.783391203702</v>
      </c>
      <c r="F31" s="8">
        <f t="shared" si="1"/>
        <v>11</v>
      </c>
    </row>
    <row r="42" spans="2:13">
      <c r="B42" s="9" t="s">
        <v>1</v>
      </c>
      <c r="C42" s="9" t="s">
        <v>2</v>
      </c>
      <c r="D42" s="9" t="s">
        <v>3</v>
      </c>
      <c r="E42" s="9" t="s">
        <v>4</v>
      </c>
      <c r="F42" s="9" t="s">
        <v>16</v>
      </c>
    </row>
    <row r="43" spans="2:13">
      <c r="B43" s="8" t="s">
        <v>7</v>
      </c>
      <c r="C43" s="8">
        <v>7.85</v>
      </c>
      <c r="D43" s="8" t="s">
        <v>8</v>
      </c>
      <c r="E43" s="11">
        <v>44888.4765625</v>
      </c>
      <c r="F43" s="8">
        <f>YEAR(E43)</f>
        <v>2022</v>
      </c>
      <c r="H43" s="14">
        <v>45435</v>
      </c>
      <c r="I43" s="7">
        <f>YEAR(H43)</f>
        <v>2024</v>
      </c>
    </row>
    <row r="44" spans="2:13">
      <c r="B44" s="8" t="s">
        <v>9</v>
      </c>
      <c r="C44" s="8">
        <v>3.25</v>
      </c>
      <c r="D44" s="8" t="s">
        <v>8</v>
      </c>
      <c r="E44" s="11">
        <v>45232.487638888888</v>
      </c>
      <c r="F44" s="8"/>
      <c r="I44" s="7">
        <f>DAY(H43)</f>
        <v>23</v>
      </c>
    </row>
    <row r="45" spans="2:13">
      <c r="B45" s="8" t="s">
        <v>10</v>
      </c>
      <c r="C45" s="8">
        <v>12.5</v>
      </c>
      <c r="D45" s="8" t="s">
        <v>8</v>
      </c>
      <c r="E45" s="11">
        <v>45253.499027777776</v>
      </c>
      <c r="F45" s="8"/>
      <c r="I45" s="7">
        <f>MONTH(H43)</f>
        <v>5</v>
      </c>
    </row>
    <row r="46" spans="2:13" ht="18.75" customHeight="1">
      <c r="B46" s="8" t="s">
        <v>11</v>
      </c>
      <c r="C46" s="8">
        <v>6.35</v>
      </c>
      <c r="D46" s="8" t="s">
        <v>8</v>
      </c>
      <c r="E46" s="11">
        <v>44852.505381944444</v>
      </c>
      <c r="F46" s="8"/>
      <c r="H46" s="18" t="s">
        <v>17</v>
      </c>
      <c r="I46" s="18"/>
      <c r="J46" s="18"/>
      <c r="M46" s="10">
        <f>SUMIF(D43:D54,"Amazon",C43:C54)</f>
        <v>0</v>
      </c>
    </row>
    <row r="47" spans="2:13">
      <c r="B47" s="8" t="s">
        <v>13</v>
      </c>
      <c r="C47" s="8">
        <v>2.5</v>
      </c>
      <c r="D47" s="8" t="s">
        <v>8</v>
      </c>
      <c r="E47" s="11">
        <v>44888.520162037035</v>
      </c>
      <c r="F47" s="8"/>
      <c r="H47" s="18"/>
      <c r="I47" s="18"/>
      <c r="J47" s="18"/>
    </row>
    <row r="48" spans="2:13">
      <c r="B48" s="8" t="s">
        <v>14</v>
      </c>
      <c r="C48" s="8">
        <v>6.5</v>
      </c>
      <c r="D48" s="8" t="s">
        <v>8</v>
      </c>
      <c r="E48" s="11">
        <v>44923.573692129627</v>
      </c>
      <c r="F48" s="8"/>
    </row>
    <row r="49" spans="2:6">
      <c r="B49" s="8" t="s">
        <v>7</v>
      </c>
      <c r="C49" s="8">
        <v>8.75</v>
      </c>
      <c r="D49" s="8" t="s">
        <v>8</v>
      </c>
      <c r="E49" s="11">
        <v>44888.593831018516</v>
      </c>
      <c r="F49" s="8"/>
    </row>
    <row r="50" spans="2:6">
      <c r="B50" s="8" t="s">
        <v>11</v>
      </c>
      <c r="C50" s="8">
        <v>4.6500000000000004</v>
      </c>
      <c r="D50" s="8" t="s">
        <v>8</v>
      </c>
      <c r="E50" s="11">
        <v>44888.656423611108</v>
      </c>
      <c r="F50" s="8"/>
    </row>
    <row r="51" spans="2:6">
      <c r="B51" s="8" t="s">
        <v>7</v>
      </c>
      <c r="C51" s="8">
        <v>12.85</v>
      </c>
      <c r="D51" s="8" t="s">
        <v>8</v>
      </c>
      <c r="E51" s="11">
        <v>44889.675300925926</v>
      </c>
      <c r="F51" s="8"/>
    </row>
    <row r="52" spans="2:6">
      <c r="B52" s="8" t="s">
        <v>9</v>
      </c>
      <c r="C52" s="8">
        <v>8.25</v>
      </c>
      <c r="D52" s="8" t="s">
        <v>8</v>
      </c>
      <c r="E52" s="11">
        <v>44888.686539351853</v>
      </c>
      <c r="F52" s="8"/>
    </row>
    <row r="53" spans="2:6">
      <c r="B53" s="8" t="s">
        <v>10</v>
      </c>
      <c r="C53" s="8">
        <v>13.5</v>
      </c>
      <c r="D53" s="8" t="s">
        <v>8</v>
      </c>
      <c r="E53" s="11">
        <v>44888.70815972222</v>
      </c>
      <c r="F53" s="8"/>
    </row>
    <row r="54" spans="2:6">
      <c r="B54" s="8" t="s">
        <v>11</v>
      </c>
      <c r="C54" s="8">
        <v>9.9499999999999993</v>
      </c>
      <c r="D54" s="8" t="s">
        <v>8</v>
      </c>
      <c r="E54" s="11">
        <v>44888.783391203702</v>
      </c>
      <c r="F54" s="8"/>
    </row>
  </sheetData>
  <customSheetViews>
    <customSheetView guid="{86D36E03-787A-41EB-85FF-8BB8A222055B}" scale="120" showGridLines="0" topLeftCell="A73">
      <selection activeCell="H78" sqref="H78:I79"/>
      <pageMargins left="0" right="0" top="0" bottom="0" header="0" footer="0"/>
      <pageSetup orientation="portrait" r:id="rId1"/>
    </customSheetView>
    <customSheetView guid="{08E755F8-82E9-4D95-862B-81F55FBDDDF6}" scale="120" showGridLines="0" topLeftCell="A73">
      <selection activeCell="H78" sqref="H78:I79"/>
      <pageMargins left="0" right="0" top="0" bottom="0" header="0" footer="0"/>
      <pageSetup orientation="portrait" r:id="rId2"/>
    </customSheetView>
    <customSheetView guid="{C453A932-6110-4A84-A9C2-26C809391387}" scale="120" showGridLines="0" topLeftCell="A73">
      <selection activeCell="H78" sqref="H78:I79"/>
      <pageMargins left="0" right="0" top="0" bottom="0" header="0" footer="0"/>
      <pageSetup orientation="portrait" r:id="rId3"/>
    </customSheetView>
    <customSheetView guid="{0BF42E77-7016-4BE4-A5AB-A49974630D91}" scale="120" showGridLines="0" topLeftCell="A73">
      <selection activeCell="H78" sqref="H78:I79"/>
      <pageMargins left="0" right="0" top="0" bottom="0" header="0" footer="0"/>
      <pageSetup orientation="portrait" r:id="rId4"/>
    </customSheetView>
    <customSheetView guid="{B19B24CB-B859-49E3-8AE0-2D671510EE4F}" scale="120" showGridLines="0" topLeftCell="A73">
      <selection activeCell="H78" sqref="H78:I79"/>
      <pageMargins left="0" right="0" top="0" bottom="0" header="0" footer="0"/>
      <pageSetup orientation="portrait" r:id="rId5"/>
    </customSheetView>
    <customSheetView guid="{D9413B31-FDB2-4AE8-80A8-7F09954E703C}" scale="120" showGridLines="0" topLeftCell="A73">
      <selection activeCell="H78" sqref="H78:I79"/>
      <pageMargins left="0" right="0" top="0" bottom="0" header="0" footer="0"/>
      <pageSetup orientation="portrait" r:id="rId6"/>
    </customSheetView>
    <customSheetView guid="{FF03E81F-A9A8-4546-A9C3-77A6EEA02ED9}" scale="120" showGridLines="0" topLeftCell="A73">
      <selection activeCell="H78" sqref="H78:I79"/>
      <pageMargins left="0" right="0" top="0" bottom="0" header="0" footer="0"/>
      <pageSetup orientation="portrait" r:id="rId7"/>
    </customSheetView>
    <customSheetView guid="{EE811897-5BF5-4321-9879-5B7EDF90A350}" scale="120" showGridLines="0" topLeftCell="A73">
      <selection activeCell="H78" sqref="H78:I79"/>
      <pageMargins left="0" right="0" top="0" bottom="0" header="0" footer="0"/>
      <pageSetup orientation="portrait" r:id="rId8"/>
    </customSheetView>
    <customSheetView guid="{0E02FCC8-6440-4859-9F6B-C77617EF5D89}" scale="120" showGridLines="0" topLeftCell="A73">
      <selection activeCell="H78" sqref="H78:I79"/>
      <pageMargins left="0" right="0" top="0" bottom="0" header="0" footer="0"/>
      <pageSetup orientation="portrait" r:id="rId9"/>
    </customSheetView>
    <customSheetView guid="{0458C18D-9EF5-4516-9145-CA54D8EB1865}" scale="120" showGridLines="0" topLeftCell="A73">
      <selection activeCell="H78" sqref="H78:I79"/>
      <pageMargins left="0" right="0" top="0" bottom="0" header="0" footer="0"/>
      <pageSetup orientation="portrait" r:id="rId10"/>
    </customSheetView>
    <customSheetView guid="{DFE0B66A-2DCB-4802-A91B-F836707AD43C}" scale="120" showGridLines="0" topLeftCell="A73">
      <selection activeCell="H78" sqref="H78:I79"/>
      <pageMargins left="0" right="0" top="0" bottom="0" header="0" footer="0"/>
      <pageSetup orientation="portrait" r:id="rId11"/>
    </customSheetView>
    <customSheetView guid="{3511E245-32F9-4CFF-8540-6B03C6FAE218}" scale="120" showGridLines="0" topLeftCell="A73">
      <selection activeCell="H78" sqref="H78:I79"/>
      <pageMargins left="0" right="0" top="0" bottom="0" header="0" footer="0"/>
      <pageSetup orientation="portrait" r:id="rId12"/>
    </customSheetView>
    <customSheetView guid="{CE50DC7E-3038-4337-BAC8-5B16EE1D95B0}" scale="120" showGridLines="0" topLeftCell="A73">
      <selection activeCell="H78" sqref="H78:I79"/>
      <pageMargins left="0" right="0" top="0" bottom="0" header="0" footer="0"/>
      <pageSetup orientation="portrait" r:id="rId13"/>
    </customSheetView>
    <customSheetView guid="{C908A6D6-4C77-416B-BC46-6F501B5F842F}" scale="120" showGridLines="0" topLeftCell="A73">
      <selection activeCell="H78" sqref="H78:I79"/>
      <pageMargins left="0" right="0" top="0" bottom="0" header="0" footer="0"/>
      <pageSetup orientation="portrait" r:id="rId14"/>
    </customSheetView>
    <customSheetView guid="{C575B46A-1D4C-489C-97AE-5DAB6560E171}" scale="120" showGridLines="0" topLeftCell="A73">
      <selection activeCell="H78" sqref="H78:I79"/>
      <pageMargins left="0" right="0" top="0" bottom="0" header="0" footer="0"/>
      <pageSetup orientation="portrait" r:id="rId15"/>
    </customSheetView>
    <customSheetView guid="{81DEBAD0-6E86-4DFB-8642-C52E8C976BDA}" scale="120" showGridLines="0" topLeftCell="A73">
      <selection activeCell="H78" sqref="H78:I79"/>
      <pageMargins left="0" right="0" top="0" bottom="0" header="0" footer="0"/>
      <pageSetup orientation="portrait" r:id="rId16"/>
    </customSheetView>
    <customSheetView guid="{58306194-C83B-413E-AC5F-AD717216CB21}" scale="120" showGridLines="0" topLeftCell="A73">
      <selection activeCell="H78" sqref="H78:I79"/>
      <pageMargins left="0" right="0" top="0" bottom="0" header="0" footer="0"/>
      <pageSetup orientation="portrait" r:id="rId17"/>
    </customSheetView>
    <customSheetView guid="{E4375DB4-4B74-46BC-A9F2-C5C5055B366F}" scale="120" showGridLines="0" topLeftCell="A73">
      <selection activeCell="H78" sqref="H78:I79"/>
      <pageMargins left="0" right="0" top="0" bottom="0" header="0" footer="0"/>
      <pageSetup orientation="portrait" r:id="rId18"/>
    </customSheetView>
    <customSheetView guid="{2CEDB1FB-2942-4B51-BF30-285DCDB05292}" scale="120" showGridLines="0" topLeftCell="A73">
      <selection activeCell="H78" sqref="H78:I79"/>
      <pageMargins left="0" right="0" top="0" bottom="0" header="0" footer="0"/>
      <pageSetup orientation="portrait" r:id="rId19"/>
    </customSheetView>
    <customSheetView guid="{DF16608F-40E8-490E-B08D-ED6EEAB8B9EC}" scale="120" showGridLines="0" topLeftCell="A73">
      <selection activeCell="H78" sqref="H78:I79"/>
      <pageMargins left="0" right="0" top="0" bottom="0" header="0" footer="0"/>
      <pageSetup orientation="portrait" r:id="rId20"/>
    </customSheetView>
    <customSheetView guid="{2032DE14-E33D-44B5-9022-A2B48F059704}" scale="120" showGridLines="0" topLeftCell="A73">
      <selection activeCell="H78" sqref="H78:I79"/>
      <pageMargins left="0" right="0" top="0" bottom="0" header="0" footer="0"/>
      <pageSetup orientation="portrait" r:id="rId21"/>
    </customSheetView>
    <customSheetView guid="{EE4A95A5-BF42-4BAA-B9EB-84A9230A28F9}" scale="120" showGridLines="0" topLeftCell="A73">
      <selection activeCell="H78" sqref="H78:I79"/>
      <pageMargins left="0" right="0" top="0" bottom="0" header="0" footer="0"/>
      <pageSetup orientation="portrait" r:id="rId22"/>
    </customSheetView>
    <customSheetView guid="{8BEA0E04-8B9A-4A2D-9B80-4E7685E22D5E}" scale="120" showGridLines="0" topLeftCell="A73">
      <selection activeCell="H78" sqref="H78:I79"/>
      <pageMargins left="0" right="0" top="0" bottom="0" header="0" footer="0"/>
      <pageSetup orientation="portrait" r:id="rId23"/>
    </customSheetView>
    <customSheetView guid="{0125BE01-BBC8-4E5A-9A9A-3D1257916B8C}" scale="120" showGridLines="0" topLeftCell="A73">
      <selection activeCell="H78" sqref="H78:I79"/>
      <pageMargins left="0" right="0" top="0" bottom="0" header="0" footer="0"/>
      <pageSetup orientation="portrait" r:id="rId24"/>
    </customSheetView>
    <customSheetView guid="{7A9AB605-DB82-470C-B86B-95E2AB3523F6}" scale="120" showGridLines="0" topLeftCell="A73">
      <selection activeCell="H78" sqref="H78:I79"/>
      <pageMargins left="0" right="0" top="0" bottom="0" header="0" footer="0"/>
      <pageSetup orientation="portrait" r:id="rId25"/>
    </customSheetView>
    <customSheetView guid="{FC8D231F-57F9-45EE-9DEF-D7ED111600EB}" scale="120" showGridLines="0" topLeftCell="A73">
      <selection activeCell="H78" sqref="H78:I79"/>
      <pageMargins left="0" right="0" top="0" bottom="0" header="0" footer="0"/>
      <pageSetup orientation="portrait" r:id="rId26"/>
    </customSheetView>
    <customSheetView guid="{395DC3D6-3299-4A43-88E2-62703FCC0349}" scale="120" showGridLines="0" topLeftCell="A73">
      <selection activeCell="H78" sqref="H78:I79"/>
      <pageMargins left="0" right="0" top="0" bottom="0" header="0" footer="0"/>
      <pageSetup orientation="portrait" r:id="rId27"/>
    </customSheetView>
    <customSheetView guid="{5C8F4C13-387F-42D2-8CB5-92C4886D7919}" scale="120" showGridLines="0" topLeftCell="A73">
      <selection activeCell="H78" sqref="H78:I79"/>
      <pageMargins left="0" right="0" top="0" bottom="0" header="0" footer="0"/>
      <pageSetup orientation="portrait" r:id="rId28"/>
    </customSheetView>
    <customSheetView guid="{8A25BF65-C908-4B2F-9805-3CD39BD4330E}" scale="120" showGridLines="0" topLeftCell="A73">
      <selection activeCell="H78" sqref="H78:I79"/>
      <pageMargins left="0" right="0" top="0" bottom="0" header="0" footer="0"/>
      <pageSetup orientation="portrait" r:id="rId29"/>
    </customSheetView>
    <customSheetView guid="{F9A03991-7A83-41AE-B603-3D22265CDA22}" scale="120" showGridLines="0" topLeftCell="A73">
      <selection activeCell="H78" sqref="H78:I79"/>
      <pageMargins left="0" right="0" top="0" bottom="0" header="0" footer="0"/>
      <pageSetup orientation="portrait" r:id="rId30"/>
    </customSheetView>
    <customSheetView guid="{FEB5A49F-F7F7-412A-BE72-F90F7A4799C8}" scale="120" showGridLines="0" topLeftCell="A73">
      <selection activeCell="H78" sqref="H78:I79"/>
      <pageMargins left="0" right="0" top="0" bottom="0" header="0" footer="0"/>
      <pageSetup orientation="portrait" r:id="rId31"/>
    </customSheetView>
    <customSheetView guid="{F518ECB9-5D92-41E0-BFD2-C5175A02444D}" scale="120" showGridLines="0" topLeftCell="A73">
      <selection activeCell="H78" sqref="H78:I79"/>
      <pageMargins left="0" right="0" top="0" bottom="0" header="0" footer="0"/>
      <pageSetup orientation="portrait" r:id="rId32"/>
    </customSheetView>
    <customSheetView guid="{BCAB4838-A37A-4BCF-A9C9-CC50C95F58C7}" scale="120" showGridLines="0" topLeftCell="A73">
      <selection activeCell="H78" sqref="H78:I79"/>
      <pageMargins left="0" right="0" top="0" bottom="0" header="0" footer="0"/>
      <pageSetup orientation="portrait" r:id="rId33"/>
    </customSheetView>
    <customSheetView guid="{E1A67331-473F-4161-806C-BE35870C93B5}" scale="120" showGridLines="0" topLeftCell="A73">
      <selection activeCell="H78" sqref="H78:I79"/>
      <pageMargins left="0" right="0" top="0" bottom="0" header="0" footer="0"/>
      <pageSetup orientation="portrait" r:id="rId34"/>
    </customSheetView>
    <customSheetView guid="{CC562453-1E6B-4010-9E1B-775397A26EFA}" scale="120" showGridLines="0" topLeftCell="A73">
      <selection activeCell="H78" sqref="H78:I79"/>
      <pageMargins left="0" right="0" top="0" bottom="0" header="0" footer="0"/>
      <pageSetup orientation="portrait" r:id="rId35"/>
    </customSheetView>
    <customSheetView guid="{644A6A80-0D34-48F6-A071-17016DCD2D6E}" scale="120" showGridLines="0" topLeftCell="A73">
      <selection activeCell="H78" sqref="H78:I79"/>
      <pageMargins left="0" right="0" top="0" bottom="0" header="0" footer="0"/>
      <pageSetup orientation="portrait" r:id="rId36"/>
    </customSheetView>
    <customSheetView guid="{C65059E8-30E8-488B-A0E9-1B7961920C81}" scale="120" showGridLines="0" topLeftCell="A73">
      <selection activeCell="H78" sqref="H78:I79"/>
      <pageMargins left="0" right="0" top="0" bottom="0" header="0" footer="0"/>
      <pageSetup orientation="portrait" r:id="rId37"/>
    </customSheetView>
    <customSheetView guid="{95D39BA8-2B16-4954-ABAC-09AD33A86339}" scale="120" showGridLines="0" topLeftCell="A73">
      <selection activeCell="H78" sqref="H78:I79"/>
      <pageMargins left="0" right="0" top="0" bottom="0" header="0" footer="0"/>
      <pageSetup orientation="portrait" r:id="rId38"/>
    </customSheetView>
    <customSheetView guid="{25A4A7C0-9593-456C-861C-76D101D3FE93}" scale="120" showGridLines="0" topLeftCell="A73">
      <selection activeCell="H78" sqref="H78:I79"/>
      <pageMargins left="0" right="0" top="0" bottom="0" header="0" footer="0"/>
      <pageSetup orientation="portrait" r:id="rId39"/>
    </customSheetView>
    <customSheetView guid="{51BA8A3D-4711-49ED-89E2-EBC09DF2AEDC}" scale="120" showGridLines="0" topLeftCell="A73">
      <selection activeCell="H78" sqref="H78:I79"/>
      <pageMargins left="0" right="0" top="0" bottom="0" header="0" footer="0"/>
      <pageSetup orientation="portrait" r:id="rId40"/>
    </customSheetView>
    <customSheetView guid="{629A478C-29B1-4F25-A016-63CE32A1627F}" scale="120" showGridLines="0" topLeftCell="A73">
      <selection activeCell="H78" sqref="H78:I79"/>
      <pageMargins left="0" right="0" top="0" bottom="0" header="0" footer="0"/>
      <pageSetup orientation="portrait" r:id="rId41"/>
    </customSheetView>
    <customSheetView guid="{F789A6E6-3D06-4D93-BF02-46FA1A2548B2}" scale="120" showGridLines="0" topLeftCell="A73">
      <selection activeCell="H78" sqref="H78:I79"/>
      <pageMargins left="0" right="0" top="0" bottom="0" header="0" footer="0"/>
      <pageSetup orientation="portrait" r:id="rId42"/>
    </customSheetView>
    <customSheetView guid="{15D7A002-B247-4A6B-A16B-61BDD9B0066A}" scale="120" showGridLines="0" topLeftCell="A73">
      <selection activeCell="H78" sqref="H78:I79"/>
      <pageMargins left="0" right="0" top="0" bottom="0" header="0" footer="0"/>
      <pageSetup orientation="portrait" r:id="rId43"/>
    </customSheetView>
    <customSheetView guid="{9AFCAA87-4888-4976-A7C9-C06A34CB6C97}" scale="120" showGridLines="0" topLeftCell="A73">
      <selection activeCell="H78" sqref="H78:I79"/>
      <pageMargins left="0" right="0" top="0" bottom="0" header="0" footer="0"/>
      <pageSetup orientation="portrait" r:id="rId44"/>
    </customSheetView>
    <customSheetView guid="{E4FF7DB9-14DF-49DB-9F59-1898DDED4DCE}" scale="120" showGridLines="0" topLeftCell="A73">
      <selection activeCell="H78" sqref="H78:I79"/>
      <pageMargins left="0" right="0" top="0" bottom="0" header="0" footer="0"/>
      <pageSetup orientation="portrait" r:id="rId45"/>
    </customSheetView>
    <customSheetView guid="{EC7537C6-1678-41C1-B788-EF4AFFECF769}" scale="120" showGridLines="0" topLeftCell="A73">
      <selection activeCell="H78" sqref="H78:I79"/>
      <pageMargins left="0" right="0" top="0" bottom="0" header="0" footer="0"/>
      <pageSetup orientation="portrait" r:id="rId46"/>
    </customSheetView>
    <customSheetView guid="{1920E7A3-1C9F-4320-81BB-D11544051025}" scale="120" showGridLines="0" topLeftCell="A73">
      <selection activeCell="H78" sqref="H78:I79"/>
      <pageMargins left="0" right="0" top="0" bottom="0" header="0" footer="0"/>
      <pageSetup orientation="portrait" r:id="rId47"/>
    </customSheetView>
    <customSheetView guid="{02D27969-4CD1-473E-A0E8-856AB0664DE8}" scale="120" showGridLines="0" topLeftCell="A73">
      <selection activeCell="H78" sqref="H78:I79"/>
      <pageMargins left="0" right="0" top="0" bottom="0" header="0" footer="0"/>
      <pageSetup orientation="portrait" r:id="rId48"/>
    </customSheetView>
    <customSheetView guid="{422703F6-63C4-435C-AFE7-1030286678F6}" scale="120" showGridLines="0" topLeftCell="A73">
      <selection activeCell="H78" sqref="H78:I79"/>
      <pageMargins left="0" right="0" top="0" bottom="0" header="0" footer="0"/>
      <pageSetup orientation="portrait" r:id="rId49"/>
    </customSheetView>
    <customSheetView guid="{F3CB97AD-592C-4B6E-8AE3-1CD47479060C}" scale="120" showGridLines="0" topLeftCell="A73">
      <selection activeCell="H78" sqref="H78:I79"/>
      <pageMargins left="0" right="0" top="0" bottom="0" header="0" footer="0"/>
      <pageSetup orientation="portrait" r:id="rId50"/>
    </customSheetView>
    <customSheetView guid="{19DA6E7F-8950-4769-9BBE-2798EFA465A3}" scale="120" showGridLines="0" topLeftCell="A73">
      <selection activeCell="H78" sqref="H78:I79"/>
      <pageMargins left="0" right="0" top="0" bottom="0" header="0" footer="0"/>
      <pageSetup orientation="portrait" r:id="rId51"/>
    </customSheetView>
    <customSheetView guid="{47C01131-7443-4080-A2BB-6B6AA35C6913}" scale="120" showGridLines="0" topLeftCell="A73">
      <selection activeCell="H78" sqref="H78:I79"/>
      <pageMargins left="0" right="0" top="0" bottom="0" header="0" footer="0"/>
      <pageSetup orientation="portrait" r:id="rId52"/>
    </customSheetView>
    <customSheetView guid="{C7330417-67A9-44CF-917F-5F5E2F191AD4}" scale="120" showGridLines="0" topLeftCell="A73">
      <selection activeCell="H78" sqref="H78:I79"/>
      <pageMargins left="0" right="0" top="0" bottom="0" header="0" footer="0"/>
      <pageSetup orientation="portrait" r:id="rId53"/>
    </customSheetView>
    <customSheetView guid="{EBA5E9C4-A2DB-4DF0-BF75-1243E968318E}" scale="120" showGridLines="0" topLeftCell="A73">
      <selection activeCell="H78" sqref="H78:I79"/>
      <pageMargins left="0" right="0" top="0" bottom="0" header="0" footer="0"/>
      <pageSetup orientation="portrait" r:id="rId54"/>
    </customSheetView>
    <customSheetView guid="{7A7FC9A5-F2B5-4894-82BC-4528575F10D4}" scale="120" showGridLines="0" topLeftCell="A73">
      <selection activeCell="H78" sqref="H78:I79"/>
      <pageMargins left="0" right="0" top="0" bottom="0" header="0" footer="0"/>
      <pageSetup orientation="portrait" r:id="rId55"/>
    </customSheetView>
    <customSheetView guid="{6194C141-D0A1-4D58-BA55-90A184525AC3}" scale="120" showGridLines="0" topLeftCell="A73">
      <selection activeCell="H78" sqref="H78:I79"/>
      <pageMargins left="0" right="0" top="0" bottom="0" header="0" footer="0"/>
      <pageSetup orientation="portrait" r:id="rId56"/>
    </customSheetView>
    <customSheetView guid="{A5292A6B-6F92-4AB3-B051-EF87F39FC489}" scale="120" showGridLines="0" topLeftCell="A73">
      <selection activeCell="H78" sqref="H78:I79"/>
      <pageMargins left="0" right="0" top="0" bottom="0" header="0" footer="0"/>
      <pageSetup orientation="portrait" r:id="rId57"/>
    </customSheetView>
    <customSheetView guid="{C090DFAD-A23A-4678-87F2-095D84EBDDE8}" scale="120" showGridLines="0" topLeftCell="A3">
      <selection activeCell="A2" sqref="A2"/>
      <pageMargins left="0" right="0" top="0" bottom="0" header="0" footer="0"/>
      <pageSetup orientation="portrait" r:id="rId58"/>
    </customSheetView>
    <customSheetView guid="{4F11E31F-E14C-416D-BB97-C8CE74658FBE}" scale="120" showGridLines="0" topLeftCell="A19">
      <selection activeCell="I21" sqref="I21"/>
      <pageMargins left="0" right="0" top="0" bottom="0" header="0" footer="0"/>
      <pageSetup orientation="portrait" r:id="rId59"/>
    </customSheetView>
    <customSheetView guid="{F2A17A28-A3DF-492D-BAE9-AAEF2A13397B}" scale="120" showGridLines="0" topLeftCell="A36">
      <selection activeCell="C38" sqref="C38"/>
      <pageMargins left="0" right="0" top="0" bottom="0" header="0" footer="0"/>
      <pageSetup orientation="portrait" r:id="rId60"/>
    </customSheetView>
    <customSheetView guid="{8F332A92-7271-4FEC-B085-C15AA232FE21}" scale="120" showGridLines="0" topLeftCell="A73">
      <selection activeCell="B74" sqref="B74"/>
      <pageMargins left="0" right="0" top="0" bottom="0" header="0" footer="0"/>
      <pageSetup orientation="portrait" r:id="rId61"/>
    </customSheetView>
    <customSheetView guid="{6B1EB7F4-EF59-450E-A531-475C3A6E6150}" scale="120" showGridLines="0" topLeftCell="A89">
      <selection activeCell="H83" sqref="H83"/>
      <pageMargins left="0" right="0" top="0" bottom="0" header="0" footer="0"/>
      <pageSetup orientation="portrait" r:id="rId62"/>
    </customSheetView>
    <customSheetView guid="{8EBF087E-11C5-42EE-B564-FAEE72C86C17}" scale="120" showGridLines="0" topLeftCell="A105">
      <selection activeCell="B91" sqref="B91"/>
      <pageMargins left="0" right="0" top="0" bottom="0" header="0" footer="0"/>
      <pageSetup orientation="portrait" r:id="rId63"/>
    </customSheetView>
    <customSheetView guid="{F716839F-5448-40FC-95BC-286199FD6764}" scale="120" showGridLines="0" topLeftCell="A73">
      <selection activeCell="H78" sqref="H78:I79"/>
      <pageMargins left="0" right="0" top="0" bottom="0" header="0" footer="0"/>
      <pageSetup orientation="portrait" r:id="rId64"/>
    </customSheetView>
    <customSheetView guid="{E712F22D-DF79-4936-B86B-186E637372BF}" scale="120" showGridLines="0" topLeftCell="A73">
      <selection activeCell="H78" sqref="H78:I79"/>
      <pageMargins left="0" right="0" top="0" bottom="0" header="0" footer="0"/>
      <pageSetup orientation="portrait" r:id="rId65"/>
    </customSheetView>
    <customSheetView guid="{672B3D91-11D6-418C-A856-9FF74CE5E6FB}" scale="120" showGridLines="0" topLeftCell="A73">
      <selection activeCell="H78" sqref="H78:I79"/>
      <pageMargins left="0" right="0" top="0" bottom="0" header="0" footer="0"/>
      <pageSetup orientation="portrait" r:id="rId66"/>
    </customSheetView>
    <customSheetView guid="{5B4753E1-B7DC-40C2-A28F-B07A6CB075FE}" scale="120" showGridLines="0" topLeftCell="A73">
      <selection activeCell="H78" sqref="H78:I79"/>
      <pageMargins left="0" right="0" top="0" bottom="0" header="0" footer="0"/>
      <pageSetup orientation="portrait" r:id="rId67"/>
    </customSheetView>
    <customSheetView guid="{EF2006E2-DE9B-4938-AD6F-8255BE7D529F}" scale="120" showGridLines="0" topLeftCell="A73">
      <selection activeCell="H78" sqref="H78:I79"/>
      <pageMargins left="0" right="0" top="0" bottom="0" header="0" footer="0"/>
      <pageSetup orientation="portrait" r:id="rId68"/>
    </customSheetView>
    <customSheetView guid="{0BFB30CE-F6D9-44B3-99BA-62858BF46600}" scale="120" showGridLines="0" topLeftCell="A73">
      <selection activeCell="H78" sqref="H78:I79"/>
      <pageMargins left="0" right="0" top="0" bottom="0" header="0" footer="0"/>
      <pageSetup orientation="portrait" r:id="rId69"/>
    </customSheetView>
    <customSheetView guid="{E3977DAC-58A9-43A5-A2CD-037AE84A3934}" scale="120" showGridLines="0" topLeftCell="A73">
      <selection activeCell="H78" sqref="H78:I79"/>
      <pageMargins left="0" right="0" top="0" bottom="0" header="0" footer="0"/>
      <pageSetup orientation="portrait" r:id="rId70"/>
    </customSheetView>
    <customSheetView guid="{E18774DE-EF27-4708-91D7-FE2A7EE4C992}" scale="120" showGridLines="0" topLeftCell="A73">
      <selection activeCell="H78" sqref="H78:I79"/>
      <pageMargins left="0" right="0" top="0" bottom="0" header="0" footer="0"/>
      <pageSetup orientation="portrait" r:id="rId71"/>
    </customSheetView>
    <customSheetView guid="{F102CDDA-1DB7-4BD5-8A8F-CD5640485596}" scale="120" showGridLines="0" topLeftCell="A73">
      <selection activeCell="H78" sqref="H78:I79"/>
      <pageMargins left="0" right="0" top="0" bottom="0" header="0" footer="0"/>
      <pageSetup orientation="portrait" r:id="rId72"/>
    </customSheetView>
    <customSheetView guid="{A3C7F73E-8288-4122-801A-9A426BB0DFB8}" scale="120" showGridLines="0" topLeftCell="A73">
      <selection activeCell="H78" sqref="H78:I79"/>
      <pageMargins left="0" right="0" top="0" bottom="0" header="0" footer="0"/>
      <pageSetup orientation="portrait" r:id="rId73"/>
    </customSheetView>
    <customSheetView guid="{C1FEC2CE-0AE0-4F12-8438-BD3D230D3830}" scale="120" showGridLines="0" topLeftCell="A73">
      <selection activeCell="H78" sqref="H78:I79"/>
      <pageMargins left="0" right="0" top="0" bottom="0" header="0" footer="0"/>
      <pageSetup orientation="portrait" r:id="rId74"/>
    </customSheetView>
    <customSheetView guid="{576A445C-3D9A-438D-AC68-B679E3D65634}" scale="120" showGridLines="0" topLeftCell="A73">
      <selection activeCell="H78" sqref="H78:I79"/>
      <pageMargins left="0" right="0" top="0" bottom="0" header="0" footer="0"/>
      <pageSetup orientation="portrait" r:id="rId75"/>
    </customSheetView>
  </customSheetViews>
  <mergeCells count="3">
    <mergeCell ref="H7:J8"/>
    <mergeCell ref="H23:J24"/>
    <mergeCell ref="H46:J47"/>
  </mergeCells>
  <pageMargins left="0.7" right="0.7" top="0.75" bottom="0.75" header="0.3" footer="0.3"/>
  <pageSetup orientation="portrait" r:id="rId76"/>
  <drawing r:id="rId7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D1EE6-8E61-44B0-B129-19D99C36D930}">
  <sheetPr>
    <pageSetUpPr autoPageBreaks="0"/>
  </sheetPr>
  <dimension ref="B1:M54"/>
  <sheetViews>
    <sheetView showGridLines="0" topLeftCell="A37" zoomScale="120" zoomScaleNormal="110" workbookViewId="0">
      <selection activeCell="F4" sqref="F4"/>
    </sheetView>
  </sheetViews>
  <sheetFormatPr defaultRowHeight="18.75"/>
  <cols>
    <col min="1" max="1" width="8.7109375" style="7" customWidth="1"/>
    <col min="2" max="2" width="17.140625" style="7" bestFit="1" customWidth="1"/>
    <col min="3" max="3" width="8.28515625" style="7" bestFit="1" customWidth="1"/>
    <col min="4" max="4" width="13.85546875" style="7" bestFit="1" customWidth="1"/>
    <col min="5" max="5" width="22.140625" style="7" bestFit="1" customWidth="1"/>
    <col min="6" max="7" width="17.28515625" style="7" bestFit="1" customWidth="1"/>
    <col min="8" max="8" width="14" style="7" customWidth="1"/>
    <col min="9" max="9" width="15.28515625" style="7" customWidth="1"/>
    <col min="10" max="10" width="18.85546875" style="7" customWidth="1"/>
    <col min="11" max="16384" width="9.140625" style="7"/>
  </cols>
  <sheetData>
    <row r="1" spans="2:13">
      <c r="F1" s="9" t="s">
        <v>18</v>
      </c>
      <c r="G1" s="15"/>
      <c r="H1" s="16"/>
    </row>
    <row r="2" spans="2:13">
      <c r="H2" s="16">
        <f ca="1">NOW()</f>
        <v>45564.78780810185</v>
      </c>
    </row>
    <row r="3" spans="2:13">
      <c r="B3" s="9" t="s">
        <v>1</v>
      </c>
      <c r="C3" s="9" t="s">
        <v>2</v>
      </c>
      <c r="D3" s="9" t="s">
        <v>3</v>
      </c>
      <c r="E3" s="9" t="s">
        <v>4</v>
      </c>
      <c r="F3" s="9" t="s">
        <v>19</v>
      </c>
    </row>
    <row r="4" spans="2:13">
      <c r="B4" s="8" t="s">
        <v>7</v>
      </c>
      <c r="C4" s="8">
        <v>7.85</v>
      </c>
      <c r="D4" s="8" t="s">
        <v>8</v>
      </c>
      <c r="E4" s="11">
        <v>44888.4765625</v>
      </c>
      <c r="F4" s="11"/>
      <c r="G4" s="7">
        <f>HOUR(E4)</f>
        <v>11</v>
      </c>
    </row>
    <row r="5" spans="2:13" ht="18.75" customHeight="1">
      <c r="B5" s="8" t="s">
        <v>9</v>
      </c>
      <c r="C5" s="8">
        <v>3.25</v>
      </c>
      <c r="D5" s="8" t="s">
        <v>8</v>
      </c>
      <c r="E5" s="11">
        <v>45232.487638888888</v>
      </c>
      <c r="F5" s="8"/>
      <c r="G5" s="7">
        <f t="shared" ref="G5:G15" si="0">HOUR(E5)</f>
        <v>11</v>
      </c>
    </row>
    <row r="6" spans="2:13" ht="21" customHeight="1">
      <c r="B6" s="8" t="s">
        <v>10</v>
      </c>
      <c r="C6" s="8">
        <v>12.5</v>
      </c>
      <c r="D6" s="8" t="s">
        <v>8</v>
      </c>
      <c r="E6" s="11">
        <v>45253.499027777776</v>
      </c>
      <c r="F6" s="8"/>
      <c r="G6" s="7">
        <f t="shared" si="0"/>
        <v>11</v>
      </c>
    </row>
    <row r="7" spans="2:13" ht="18.75" customHeight="1">
      <c r="B7" s="8" t="s">
        <v>11</v>
      </c>
      <c r="C7" s="8">
        <v>6.35</v>
      </c>
      <c r="D7" s="8" t="s">
        <v>8</v>
      </c>
      <c r="E7" s="11">
        <v>44852.505381944444</v>
      </c>
      <c r="F7" s="8"/>
      <c r="G7" s="7">
        <f t="shared" si="0"/>
        <v>12</v>
      </c>
      <c r="H7" s="18" t="s">
        <v>20</v>
      </c>
      <c r="I7" s="18"/>
      <c r="J7" s="18"/>
      <c r="M7" s="10">
        <f>SUMIF(E4:E15,"Mar",C4:C15)</f>
        <v>0</v>
      </c>
    </row>
    <row r="8" spans="2:13">
      <c r="B8" s="8" t="s">
        <v>13</v>
      </c>
      <c r="C8" s="8">
        <v>2.5</v>
      </c>
      <c r="D8" s="8" t="s">
        <v>8</v>
      </c>
      <c r="E8" s="11">
        <v>44888.520162037035</v>
      </c>
      <c r="F8" s="8"/>
      <c r="G8" s="7">
        <f t="shared" si="0"/>
        <v>12</v>
      </c>
      <c r="H8" s="18"/>
      <c r="I8" s="18"/>
      <c r="J8" s="18"/>
    </row>
    <row r="9" spans="2:13">
      <c r="B9" s="8" t="s">
        <v>14</v>
      </c>
      <c r="C9" s="8">
        <v>6.5</v>
      </c>
      <c r="D9" s="8" t="s">
        <v>8</v>
      </c>
      <c r="E9" s="11">
        <v>44923.573692129627</v>
      </c>
      <c r="F9" s="8"/>
      <c r="G9" s="7">
        <f t="shared" si="0"/>
        <v>13</v>
      </c>
    </row>
    <row r="10" spans="2:13">
      <c r="B10" s="8" t="s">
        <v>7</v>
      </c>
      <c r="C10" s="8">
        <v>8.75</v>
      </c>
      <c r="D10" s="8" t="s">
        <v>8</v>
      </c>
      <c r="E10" s="11">
        <v>44888.593831018516</v>
      </c>
      <c r="F10" s="8"/>
      <c r="G10" s="7">
        <f t="shared" si="0"/>
        <v>14</v>
      </c>
    </row>
    <row r="11" spans="2:13">
      <c r="B11" s="8" t="s">
        <v>11</v>
      </c>
      <c r="C11" s="8">
        <v>4.6500000000000004</v>
      </c>
      <c r="D11" s="8" t="s">
        <v>8</v>
      </c>
      <c r="E11" s="11">
        <v>44888.656423611108</v>
      </c>
      <c r="F11" s="8"/>
      <c r="G11" s="7">
        <f t="shared" si="0"/>
        <v>15</v>
      </c>
    </row>
    <row r="12" spans="2:13">
      <c r="B12" s="8" t="s">
        <v>7</v>
      </c>
      <c r="C12" s="8">
        <v>12.85</v>
      </c>
      <c r="D12" s="8" t="s">
        <v>8</v>
      </c>
      <c r="E12" s="11">
        <v>44889.675300925926</v>
      </c>
      <c r="F12" s="8"/>
      <c r="G12" s="7">
        <f t="shared" si="0"/>
        <v>16</v>
      </c>
    </row>
    <row r="13" spans="2:13" ht="18.75" customHeight="1">
      <c r="B13" s="8" t="s">
        <v>9</v>
      </c>
      <c r="C13" s="8">
        <v>8.25</v>
      </c>
      <c r="D13" s="8" t="s">
        <v>8</v>
      </c>
      <c r="E13" s="11">
        <v>44888.686539351853</v>
      </c>
      <c r="F13" s="8"/>
      <c r="G13" s="7">
        <f t="shared" si="0"/>
        <v>16</v>
      </c>
    </row>
    <row r="14" spans="2:13">
      <c r="B14" s="8" t="s">
        <v>10</v>
      </c>
      <c r="C14" s="8">
        <v>13.5</v>
      </c>
      <c r="D14" s="8" t="s">
        <v>8</v>
      </c>
      <c r="E14" s="11">
        <v>44888.70815972222</v>
      </c>
      <c r="F14" s="8"/>
      <c r="G14" s="7">
        <f t="shared" si="0"/>
        <v>16</v>
      </c>
    </row>
    <row r="15" spans="2:13">
      <c r="B15" s="8" t="s">
        <v>11</v>
      </c>
      <c r="C15" s="8">
        <v>9.9499999999999993</v>
      </c>
      <c r="D15" s="8" t="s">
        <v>8</v>
      </c>
      <c r="E15" s="11">
        <v>44888.783391203702</v>
      </c>
      <c r="F15" s="8"/>
      <c r="G15" s="7">
        <f t="shared" si="0"/>
        <v>18</v>
      </c>
    </row>
    <row r="19" spans="2:13">
      <c r="B19" s="9" t="s">
        <v>1</v>
      </c>
      <c r="C19" s="9" t="s">
        <v>2</v>
      </c>
      <c r="D19" s="9" t="s">
        <v>3</v>
      </c>
      <c r="E19" s="9" t="s">
        <v>4</v>
      </c>
      <c r="F19" s="9" t="s">
        <v>21</v>
      </c>
    </row>
    <row r="20" spans="2:13">
      <c r="B20" s="8" t="s">
        <v>7</v>
      </c>
      <c r="C20" s="8">
        <v>7.85</v>
      </c>
      <c r="D20" s="8" t="s">
        <v>8</v>
      </c>
      <c r="E20" s="11">
        <v>44888.4765625</v>
      </c>
      <c r="F20" s="8">
        <f>MINUTE(E20)</f>
        <v>26</v>
      </c>
    </row>
    <row r="21" spans="2:13">
      <c r="B21" s="8" t="s">
        <v>9</v>
      </c>
      <c r="C21" s="8">
        <v>3.25</v>
      </c>
      <c r="D21" s="8" t="s">
        <v>8</v>
      </c>
      <c r="E21" s="11">
        <v>45232.487638888888</v>
      </c>
      <c r="F21" s="8">
        <f t="shared" ref="F21:F31" si="1">MINUTE(E21)</f>
        <v>42</v>
      </c>
    </row>
    <row r="22" spans="2:13">
      <c r="B22" s="8" t="s">
        <v>10</v>
      </c>
      <c r="C22" s="8">
        <v>12.5</v>
      </c>
      <c r="D22" s="8" t="s">
        <v>8</v>
      </c>
      <c r="E22" s="11">
        <v>45253.499027777776</v>
      </c>
      <c r="F22" s="8">
        <f t="shared" si="1"/>
        <v>58</v>
      </c>
    </row>
    <row r="23" spans="2:13" ht="18.75" customHeight="1">
      <c r="B23" s="8" t="s">
        <v>11</v>
      </c>
      <c r="C23" s="8">
        <v>6.35</v>
      </c>
      <c r="D23" s="8" t="s">
        <v>8</v>
      </c>
      <c r="E23" s="11">
        <v>44852.505381944444</v>
      </c>
      <c r="F23" s="8">
        <f t="shared" si="1"/>
        <v>7</v>
      </c>
      <c r="H23" s="18" t="s">
        <v>22</v>
      </c>
      <c r="I23" s="18"/>
      <c r="J23" s="18"/>
      <c r="M23" s="10">
        <f>SUMIF(D20:D31,"Amazon",C20:C31)</f>
        <v>0</v>
      </c>
    </row>
    <row r="24" spans="2:13">
      <c r="B24" s="8" t="s">
        <v>13</v>
      </c>
      <c r="C24" s="8">
        <v>2.5</v>
      </c>
      <c r="D24" s="8" t="s">
        <v>8</v>
      </c>
      <c r="E24" s="11">
        <v>44888.520162037035</v>
      </c>
      <c r="F24" s="8">
        <f t="shared" si="1"/>
        <v>29</v>
      </c>
      <c r="H24" s="18"/>
      <c r="I24" s="18"/>
      <c r="J24" s="18"/>
    </row>
    <row r="25" spans="2:13">
      <c r="B25" s="8" t="s">
        <v>14</v>
      </c>
      <c r="C25" s="8">
        <v>6.5</v>
      </c>
      <c r="D25" s="8" t="s">
        <v>8</v>
      </c>
      <c r="E25" s="11">
        <v>44923.573692129627</v>
      </c>
      <c r="F25" s="8">
        <f t="shared" si="1"/>
        <v>46</v>
      </c>
    </row>
    <row r="26" spans="2:13">
      <c r="B26" s="8" t="s">
        <v>7</v>
      </c>
      <c r="C26" s="8">
        <v>8.75</v>
      </c>
      <c r="D26" s="8" t="s">
        <v>8</v>
      </c>
      <c r="E26" s="11">
        <v>44888.593831018516</v>
      </c>
      <c r="F26" s="8">
        <f t="shared" si="1"/>
        <v>15</v>
      </c>
    </row>
    <row r="27" spans="2:13">
      <c r="B27" s="8" t="s">
        <v>11</v>
      </c>
      <c r="C27" s="8">
        <v>4.6500000000000004</v>
      </c>
      <c r="D27" s="8" t="s">
        <v>8</v>
      </c>
      <c r="E27" s="11">
        <v>44888.656423611108</v>
      </c>
      <c r="F27" s="8">
        <f t="shared" si="1"/>
        <v>45</v>
      </c>
    </row>
    <row r="28" spans="2:13">
      <c r="B28" s="8" t="s">
        <v>7</v>
      </c>
      <c r="C28" s="8">
        <v>12.85</v>
      </c>
      <c r="D28" s="8" t="s">
        <v>8</v>
      </c>
      <c r="E28" s="11">
        <v>44889.675300925926</v>
      </c>
      <c r="F28" s="8">
        <f t="shared" si="1"/>
        <v>12</v>
      </c>
    </row>
    <row r="29" spans="2:13">
      <c r="B29" s="8" t="s">
        <v>9</v>
      </c>
      <c r="C29" s="8">
        <v>8.25</v>
      </c>
      <c r="D29" s="8" t="s">
        <v>8</v>
      </c>
      <c r="E29" s="11">
        <v>44888.686539351853</v>
      </c>
      <c r="F29" s="8">
        <f t="shared" si="1"/>
        <v>28</v>
      </c>
    </row>
    <row r="30" spans="2:13">
      <c r="B30" s="8" t="s">
        <v>10</v>
      </c>
      <c r="C30" s="8">
        <v>13.5</v>
      </c>
      <c r="D30" s="8" t="s">
        <v>8</v>
      </c>
      <c r="E30" s="11">
        <v>44888.70815972222</v>
      </c>
      <c r="F30" s="8">
        <f t="shared" si="1"/>
        <v>59</v>
      </c>
    </row>
    <row r="31" spans="2:13">
      <c r="B31" s="8" t="s">
        <v>11</v>
      </c>
      <c r="C31" s="8">
        <v>9.9499999999999993</v>
      </c>
      <c r="D31" s="8" t="s">
        <v>8</v>
      </c>
      <c r="E31" s="11">
        <v>44888.783391203702</v>
      </c>
      <c r="F31" s="8">
        <f t="shared" si="1"/>
        <v>48</v>
      </c>
    </row>
    <row r="42" spans="2:13">
      <c r="B42" s="9" t="s">
        <v>1</v>
      </c>
      <c r="C42" s="9" t="s">
        <v>2</v>
      </c>
      <c r="D42" s="9" t="s">
        <v>3</v>
      </c>
      <c r="E42" s="9" t="s">
        <v>4</v>
      </c>
      <c r="F42" s="9" t="s">
        <v>23</v>
      </c>
    </row>
    <row r="43" spans="2:13">
      <c r="B43" s="8" t="s">
        <v>7</v>
      </c>
      <c r="C43" s="8">
        <v>7.85</v>
      </c>
      <c r="D43" s="8" t="s">
        <v>8</v>
      </c>
      <c r="E43" s="11">
        <v>44888.4765625</v>
      </c>
      <c r="F43" s="8">
        <f>SECOND(E43)</f>
        <v>15</v>
      </c>
    </row>
    <row r="44" spans="2:13">
      <c r="B44" s="8" t="s">
        <v>9</v>
      </c>
      <c r="C44" s="8">
        <v>3.25</v>
      </c>
      <c r="D44" s="8" t="s">
        <v>8</v>
      </c>
      <c r="E44" s="11">
        <v>45232.487638888888</v>
      </c>
      <c r="F44" s="8">
        <f t="shared" ref="F44:F54" si="2">SECOND(E44)</f>
        <v>12</v>
      </c>
    </row>
    <row r="45" spans="2:13">
      <c r="B45" s="8" t="s">
        <v>10</v>
      </c>
      <c r="C45" s="8">
        <v>12.5</v>
      </c>
      <c r="D45" s="8" t="s">
        <v>8</v>
      </c>
      <c r="E45" s="11">
        <v>45253.499027777776</v>
      </c>
      <c r="F45" s="8">
        <f t="shared" si="2"/>
        <v>36</v>
      </c>
    </row>
    <row r="46" spans="2:13" ht="18.75" customHeight="1">
      <c r="B46" s="8" t="s">
        <v>11</v>
      </c>
      <c r="C46" s="8">
        <v>6.35</v>
      </c>
      <c r="D46" s="8" t="s">
        <v>8</v>
      </c>
      <c r="E46" s="11">
        <v>44852.505381944444</v>
      </c>
      <c r="F46" s="8">
        <f t="shared" si="2"/>
        <v>45</v>
      </c>
      <c r="H46" s="18" t="s">
        <v>24</v>
      </c>
      <c r="I46" s="18"/>
      <c r="J46" s="18"/>
      <c r="M46" s="10">
        <f>SUMIF(D43:D54,"Amazon",C43:C54)</f>
        <v>0</v>
      </c>
    </row>
    <row r="47" spans="2:13">
      <c r="B47" s="8" t="s">
        <v>13</v>
      </c>
      <c r="C47" s="8">
        <v>2.5</v>
      </c>
      <c r="D47" s="8" t="s">
        <v>8</v>
      </c>
      <c r="E47" s="11">
        <v>44888.520162037035</v>
      </c>
      <c r="F47" s="8">
        <f t="shared" si="2"/>
        <v>2</v>
      </c>
      <c r="H47" s="18"/>
      <c r="I47" s="18"/>
      <c r="J47" s="18"/>
    </row>
    <row r="48" spans="2:13">
      <c r="B48" s="8" t="s">
        <v>14</v>
      </c>
      <c r="C48" s="8">
        <v>6.5</v>
      </c>
      <c r="D48" s="8" t="s">
        <v>8</v>
      </c>
      <c r="E48" s="11">
        <v>44923.573692129627</v>
      </c>
      <c r="F48" s="8">
        <f t="shared" si="2"/>
        <v>7</v>
      </c>
    </row>
    <row r="49" spans="2:6">
      <c r="B49" s="8" t="s">
        <v>7</v>
      </c>
      <c r="C49" s="8">
        <v>8.75</v>
      </c>
      <c r="D49" s="8" t="s">
        <v>8</v>
      </c>
      <c r="E49" s="11">
        <v>44888.593831018516</v>
      </c>
      <c r="F49" s="8">
        <f t="shared" si="2"/>
        <v>7</v>
      </c>
    </row>
    <row r="50" spans="2:6">
      <c r="B50" s="8" t="s">
        <v>11</v>
      </c>
      <c r="C50" s="8">
        <v>4.6500000000000004</v>
      </c>
      <c r="D50" s="8" t="s">
        <v>8</v>
      </c>
      <c r="E50" s="11">
        <v>44888.656423611108</v>
      </c>
      <c r="F50" s="8">
        <f t="shared" si="2"/>
        <v>15</v>
      </c>
    </row>
    <row r="51" spans="2:6">
      <c r="B51" s="8" t="s">
        <v>7</v>
      </c>
      <c r="C51" s="8">
        <v>12.85</v>
      </c>
      <c r="D51" s="8" t="s">
        <v>8</v>
      </c>
      <c r="E51" s="11">
        <v>44889.675300925926</v>
      </c>
      <c r="F51" s="8">
        <f t="shared" si="2"/>
        <v>26</v>
      </c>
    </row>
    <row r="52" spans="2:6">
      <c r="B52" s="8" t="s">
        <v>9</v>
      </c>
      <c r="C52" s="8">
        <v>8.25</v>
      </c>
      <c r="D52" s="8" t="s">
        <v>8</v>
      </c>
      <c r="E52" s="11">
        <v>44888.686539351853</v>
      </c>
      <c r="F52" s="8">
        <f t="shared" si="2"/>
        <v>37</v>
      </c>
    </row>
    <row r="53" spans="2:6">
      <c r="B53" s="8" t="s">
        <v>10</v>
      </c>
      <c r="C53" s="8">
        <v>13.5</v>
      </c>
      <c r="D53" s="8" t="s">
        <v>8</v>
      </c>
      <c r="E53" s="11">
        <v>44888.70815972222</v>
      </c>
      <c r="F53" s="8">
        <f t="shared" si="2"/>
        <v>45</v>
      </c>
    </row>
    <row r="54" spans="2:6">
      <c r="B54" s="8" t="s">
        <v>11</v>
      </c>
      <c r="C54" s="8">
        <v>9.9499999999999993</v>
      </c>
      <c r="D54" s="8" t="s">
        <v>8</v>
      </c>
      <c r="E54" s="11">
        <v>44888.783391203702</v>
      </c>
      <c r="F54" s="8">
        <f t="shared" si="2"/>
        <v>5</v>
      </c>
    </row>
  </sheetData>
  <mergeCells count="3">
    <mergeCell ref="H7:J8"/>
    <mergeCell ref="H23:J24"/>
    <mergeCell ref="H46:J47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07FBD-3054-4AFC-8F3A-C55DB03DD45B}">
  <sheetPr>
    <pageSetUpPr autoPageBreaks="0"/>
  </sheetPr>
  <dimension ref="B1:M54"/>
  <sheetViews>
    <sheetView showGridLines="0" tabSelected="1" zoomScale="120" zoomScaleNormal="110" workbookViewId="0">
      <pane ySplit="1" topLeftCell="A32" activePane="bottomLeft" state="frozen"/>
      <selection pane="bottomLeft" activeCell="G44" sqref="G44"/>
    </sheetView>
  </sheetViews>
  <sheetFormatPr defaultRowHeight="18.75"/>
  <cols>
    <col min="1" max="1" width="8.7109375" style="7" customWidth="1"/>
    <col min="2" max="2" width="17.140625" style="7" bestFit="1" customWidth="1"/>
    <col min="3" max="3" width="8.28515625" style="7" bestFit="1" customWidth="1"/>
    <col min="4" max="4" width="13.85546875" style="7" bestFit="1" customWidth="1"/>
    <col min="5" max="5" width="22.140625" style="7" bestFit="1" customWidth="1"/>
    <col min="6" max="6" width="17.28515625" style="7" bestFit="1" customWidth="1"/>
    <col min="7" max="7" width="13.42578125" style="7" bestFit="1" customWidth="1"/>
    <col min="8" max="8" width="14" style="7" customWidth="1"/>
    <col min="9" max="9" width="15.28515625" style="7" customWidth="1"/>
    <col min="10" max="10" width="18.85546875" style="7" customWidth="1"/>
    <col min="11" max="16384" width="9.140625" style="7"/>
  </cols>
  <sheetData>
    <row r="1" spans="2:13">
      <c r="F1" s="9" t="s">
        <v>0</v>
      </c>
      <c r="G1" s="12">
        <f ca="1">TODAY()</f>
        <v>45564</v>
      </c>
    </row>
    <row r="3" spans="2:13">
      <c r="B3" s="9" t="s">
        <v>1</v>
      </c>
      <c r="C3" s="9" t="s">
        <v>2</v>
      </c>
      <c r="D3" s="9" t="s">
        <v>3</v>
      </c>
      <c r="E3" s="9" t="s">
        <v>4</v>
      </c>
      <c r="F3" s="9" t="s">
        <v>25</v>
      </c>
    </row>
    <row r="4" spans="2:13">
      <c r="B4" s="8" t="s">
        <v>7</v>
      </c>
      <c r="C4" s="8">
        <v>7.85</v>
      </c>
      <c r="D4" s="8" t="s">
        <v>8</v>
      </c>
      <c r="E4" s="11">
        <v>44888.4765625</v>
      </c>
      <c r="F4" s="17">
        <f ca="1">_xlfn.DAYS(TODAY(),E4)</f>
        <v>676</v>
      </c>
    </row>
    <row r="5" spans="2:13" ht="18.75" customHeight="1">
      <c r="B5" s="8" t="s">
        <v>9</v>
      </c>
      <c r="C5" s="8">
        <v>3.25</v>
      </c>
      <c r="D5" s="8" t="s">
        <v>8</v>
      </c>
      <c r="E5" s="11">
        <v>45232.487638888888</v>
      </c>
      <c r="F5" s="17">
        <f t="shared" ref="F4:F11" ca="1" si="0">_xlfn.DAYS(TODAY(),E5)</f>
        <v>332</v>
      </c>
    </row>
    <row r="6" spans="2:13" ht="21" customHeight="1">
      <c r="B6" s="8" t="s">
        <v>10</v>
      </c>
      <c r="C6" s="8">
        <v>12.5</v>
      </c>
      <c r="D6" s="8" t="s">
        <v>8</v>
      </c>
      <c r="E6" s="11">
        <v>45253.499027777776</v>
      </c>
      <c r="F6" s="17">
        <f t="shared" ca="1" si="0"/>
        <v>311</v>
      </c>
    </row>
    <row r="7" spans="2:13" ht="18.75" customHeight="1">
      <c r="B7" s="8" t="s">
        <v>11</v>
      </c>
      <c r="C7" s="8">
        <v>6.35</v>
      </c>
      <c r="D7" s="8" t="s">
        <v>8</v>
      </c>
      <c r="E7" s="11">
        <v>44852.505381944444</v>
      </c>
      <c r="F7" s="17">
        <f t="shared" ca="1" si="0"/>
        <v>712</v>
      </c>
      <c r="H7" s="18" t="s">
        <v>26</v>
      </c>
      <c r="I7" s="18"/>
      <c r="J7" s="18"/>
      <c r="M7" s="10">
        <f>SUMIF(E4:E15,"Mar",C4:C15)</f>
        <v>0</v>
      </c>
    </row>
    <row r="8" spans="2:13">
      <c r="B8" s="8" t="s">
        <v>13</v>
      </c>
      <c r="C8" s="8">
        <v>2.5</v>
      </c>
      <c r="D8" s="8" t="s">
        <v>8</v>
      </c>
      <c r="E8" s="11">
        <v>44888.520162037035</v>
      </c>
      <c r="F8" s="17">
        <f t="shared" ca="1" si="0"/>
        <v>676</v>
      </c>
      <c r="H8" s="18"/>
      <c r="I8" s="18"/>
      <c r="J8" s="18"/>
    </row>
    <row r="9" spans="2:13">
      <c r="B9" s="8" t="s">
        <v>14</v>
      </c>
      <c r="C9" s="8">
        <v>6.5</v>
      </c>
      <c r="D9" s="8" t="s">
        <v>8</v>
      </c>
      <c r="E9" s="11">
        <v>44923.573692129627</v>
      </c>
      <c r="F9" s="17">
        <f t="shared" ca="1" si="0"/>
        <v>641</v>
      </c>
    </row>
    <row r="10" spans="2:13">
      <c r="B10" s="8" t="s">
        <v>7</v>
      </c>
      <c r="C10" s="8">
        <v>8.75</v>
      </c>
      <c r="D10" s="8" t="s">
        <v>8</v>
      </c>
      <c r="E10" s="11">
        <v>44888.593831018516</v>
      </c>
      <c r="F10" s="17">
        <f t="shared" ca="1" si="0"/>
        <v>676</v>
      </c>
    </row>
    <row r="11" spans="2:13">
      <c r="B11" s="8" t="s">
        <v>11</v>
      </c>
      <c r="C11" s="8">
        <v>4.6500000000000004</v>
      </c>
      <c r="D11" s="8" t="s">
        <v>8</v>
      </c>
      <c r="E11" s="11">
        <v>44888.656423611108</v>
      </c>
      <c r="F11" s="17">
        <f t="shared" ca="1" si="0"/>
        <v>676</v>
      </c>
      <c r="H11" s="7" t="s">
        <v>27</v>
      </c>
    </row>
    <row r="12" spans="2:13">
      <c r="B12" s="8" t="s">
        <v>7</v>
      </c>
      <c r="C12" s="8">
        <v>12.85</v>
      </c>
      <c r="D12" s="8" t="s">
        <v>8</v>
      </c>
      <c r="E12" s="11">
        <v>44889.675300925926</v>
      </c>
      <c r="F12" s="17">
        <f ca="1">_xlfn.DAYS(TODAY(),E12)</f>
        <v>675</v>
      </c>
    </row>
    <row r="13" spans="2:13" ht="18.75" customHeight="1">
      <c r="B13" s="8" t="s">
        <v>9</v>
      </c>
      <c r="C13" s="8">
        <v>8.25</v>
      </c>
      <c r="D13" s="8" t="s">
        <v>8</v>
      </c>
      <c r="E13" s="11">
        <v>44888.686539351853</v>
      </c>
      <c r="F13" s="17">
        <f t="shared" ref="F13:F15" ca="1" si="1">_xlfn.DAYS(TODAY(),E13)</f>
        <v>676</v>
      </c>
    </row>
    <row r="14" spans="2:13">
      <c r="B14" s="8" t="s">
        <v>10</v>
      </c>
      <c r="C14" s="8">
        <v>13.5</v>
      </c>
      <c r="D14" s="8" t="s">
        <v>8</v>
      </c>
      <c r="E14" s="11">
        <v>44888.70815972222</v>
      </c>
      <c r="F14" s="17">
        <f t="shared" ca="1" si="1"/>
        <v>676</v>
      </c>
    </row>
    <row r="15" spans="2:13">
      <c r="B15" s="8" t="s">
        <v>11</v>
      </c>
      <c r="C15" s="8">
        <v>9.9499999999999993</v>
      </c>
      <c r="D15" s="8" t="s">
        <v>8</v>
      </c>
      <c r="E15" s="11">
        <v>44888.783391203702</v>
      </c>
      <c r="F15" s="17">
        <f t="shared" ca="1" si="1"/>
        <v>676</v>
      </c>
    </row>
    <row r="19" spans="2:13">
      <c r="B19" s="9" t="s">
        <v>1</v>
      </c>
      <c r="C19" s="9" t="s">
        <v>2</v>
      </c>
      <c r="D19" s="9" t="s">
        <v>3</v>
      </c>
      <c r="E19" s="9" t="s">
        <v>4</v>
      </c>
      <c r="F19" s="9" t="s">
        <v>28</v>
      </c>
    </row>
    <row r="20" spans="2:13">
      <c r="B20" s="8" t="s">
        <v>7</v>
      </c>
      <c r="C20" s="8">
        <v>7.85</v>
      </c>
      <c r="D20" s="8" t="s">
        <v>8</v>
      </c>
      <c r="E20" s="11">
        <v>44888.4765625</v>
      </c>
      <c r="F20" s="8">
        <f ca="1">NETWORKDAYS(INT(E20),$G$1)</f>
        <v>483</v>
      </c>
      <c r="G20" s="7" t="s">
        <v>29</v>
      </c>
    </row>
    <row r="21" spans="2:13">
      <c r="B21" s="8" t="s">
        <v>9</v>
      </c>
      <c r="C21" s="8">
        <v>3.25</v>
      </c>
      <c r="D21" s="8" t="s">
        <v>8</v>
      </c>
      <c r="E21" s="11">
        <v>45232.487638888888</v>
      </c>
      <c r="F21" s="8">
        <f t="shared" ref="F21:F31" ca="1" si="2">NETWORKDAYS(INT(E21),$G$1)</f>
        <v>237</v>
      </c>
      <c r="G21" s="7" t="s">
        <v>30</v>
      </c>
    </row>
    <row r="22" spans="2:13">
      <c r="B22" s="8" t="s">
        <v>10</v>
      </c>
      <c r="C22" s="8">
        <v>12.5</v>
      </c>
      <c r="D22" s="8" t="s">
        <v>8</v>
      </c>
      <c r="E22" s="11">
        <v>45253.499027777776</v>
      </c>
      <c r="F22" s="8">
        <f t="shared" ca="1" si="2"/>
        <v>222</v>
      </c>
    </row>
    <row r="23" spans="2:13" ht="18.75" customHeight="1">
      <c r="B23" s="8" t="s">
        <v>11</v>
      </c>
      <c r="C23" s="8">
        <v>6.35</v>
      </c>
      <c r="D23" s="8" t="s">
        <v>8</v>
      </c>
      <c r="E23" s="11">
        <v>44852.505381944444</v>
      </c>
      <c r="F23" s="8">
        <f t="shared" ca="1" si="2"/>
        <v>509</v>
      </c>
      <c r="H23" s="18" t="s">
        <v>31</v>
      </c>
      <c r="I23" s="18"/>
      <c r="J23" s="18"/>
      <c r="M23" s="10">
        <f>SUMIF(D20:D31,"Amazon",C20:C31)</f>
        <v>0</v>
      </c>
    </row>
    <row r="24" spans="2:13">
      <c r="B24" s="8" t="s">
        <v>13</v>
      </c>
      <c r="C24" s="8">
        <v>2.5</v>
      </c>
      <c r="D24" s="8" t="s">
        <v>8</v>
      </c>
      <c r="E24" s="11">
        <v>44888.520162037035</v>
      </c>
      <c r="F24" s="8">
        <f t="shared" ca="1" si="2"/>
        <v>483</v>
      </c>
      <c r="H24" s="18"/>
      <c r="I24" s="18"/>
      <c r="J24" s="18"/>
    </row>
    <row r="25" spans="2:13">
      <c r="B25" s="8" t="s">
        <v>14</v>
      </c>
      <c r="C25" s="8">
        <v>6.5</v>
      </c>
      <c r="D25" s="8" t="s">
        <v>8</v>
      </c>
      <c r="E25" s="11">
        <v>44923.573692129627</v>
      </c>
      <c r="F25" s="8">
        <f t="shared" ca="1" si="2"/>
        <v>458</v>
      </c>
    </row>
    <row r="26" spans="2:13">
      <c r="B26" s="8" t="s">
        <v>7</v>
      </c>
      <c r="C26" s="8">
        <v>8.75</v>
      </c>
      <c r="D26" s="8" t="s">
        <v>8</v>
      </c>
      <c r="E26" s="11">
        <v>44888.593831018516</v>
      </c>
      <c r="F26" s="8">
        <f t="shared" ca="1" si="2"/>
        <v>483</v>
      </c>
    </row>
    <row r="27" spans="2:13">
      <c r="B27" s="8" t="s">
        <v>11</v>
      </c>
      <c r="C27" s="8">
        <v>4.6500000000000004</v>
      </c>
      <c r="D27" s="8" t="s">
        <v>8</v>
      </c>
      <c r="E27" s="11">
        <v>44888.656423611108</v>
      </c>
      <c r="F27" s="8">
        <f t="shared" ca="1" si="2"/>
        <v>483</v>
      </c>
      <c r="H27" s="7" t="s">
        <v>32</v>
      </c>
    </row>
    <row r="28" spans="2:13">
      <c r="B28" s="8" t="s">
        <v>7</v>
      </c>
      <c r="C28" s="8">
        <v>12.85</v>
      </c>
      <c r="D28" s="8" t="s">
        <v>8</v>
      </c>
      <c r="E28" s="11">
        <v>44889.675300925926</v>
      </c>
      <c r="F28" s="8">
        <f t="shared" ca="1" si="2"/>
        <v>482</v>
      </c>
    </row>
    <row r="29" spans="2:13">
      <c r="B29" s="8" t="s">
        <v>9</v>
      </c>
      <c r="C29" s="8">
        <v>8.25</v>
      </c>
      <c r="D29" s="8" t="s">
        <v>8</v>
      </c>
      <c r="E29" s="11">
        <v>44888.686539351853</v>
      </c>
      <c r="F29" s="8">
        <f t="shared" ca="1" si="2"/>
        <v>483</v>
      </c>
    </row>
    <row r="30" spans="2:13">
      <c r="B30" s="8" t="s">
        <v>10</v>
      </c>
      <c r="C30" s="8">
        <v>13.5</v>
      </c>
      <c r="D30" s="8" t="s">
        <v>8</v>
      </c>
      <c r="E30" s="11">
        <v>44888.70815972222</v>
      </c>
      <c r="F30" s="8">
        <f t="shared" ca="1" si="2"/>
        <v>483</v>
      </c>
    </row>
    <row r="31" spans="2:13">
      <c r="B31" s="8" t="s">
        <v>11</v>
      </c>
      <c r="C31" s="8">
        <v>9.9499999999999993</v>
      </c>
      <c r="D31" s="8" t="s">
        <v>8</v>
      </c>
      <c r="E31" s="11">
        <v>44888.783391203702</v>
      </c>
      <c r="F31" s="8">
        <f t="shared" ca="1" si="2"/>
        <v>483</v>
      </c>
    </row>
    <row r="42" spans="2:13">
      <c r="B42" s="9" t="s">
        <v>1</v>
      </c>
      <c r="C42" s="9" t="s">
        <v>2</v>
      </c>
      <c r="D42" s="9" t="s">
        <v>3</v>
      </c>
      <c r="E42" s="9" t="s">
        <v>4</v>
      </c>
      <c r="F42" s="9" t="s">
        <v>15</v>
      </c>
    </row>
    <row r="43" spans="2:13">
      <c r="B43" s="8" t="s">
        <v>7</v>
      </c>
      <c r="C43" s="8">
        <v>7.85</v>
      </c>
      <c r="D43" s="8" t="s">
        <v>8</v>
      </c>
      <c r="E43" s="11">
        <v>44888.4765625</v>
      </c>
      <c r="F43" s="8">
        <f ca="1">NETWORKDAYS.INTL(E43,$G$1,1)</f>
        <v>483</v>
      </c>
      <c r="G43" s="7" t="s">
        <v>33</v>
      </c>
    </row>
    <row r="44" spans="2:13">
      <c r="B44" s="8" t="s">
        <v>9</v>
      </c>
      <c r="C44" s="8">
        <v>3.25</v>
      </c>
      <c r="D44" s="8" t="s">
        <v>8</v>
      </c>
      <c r="E44" s="11">
        <v>45232.487638888888</v>
      </c>
      <c r="F44" s="8">
        <f t="shared" ref="F44:F54" ca="1" si="3">NETWORKDAYS.INTL(E44,$G$1,1)</f>
        <v>237</v>
      </c>
    </row>
    <row r="45" spans="2:13">
      <c r="B45" s="8" t="s">
        <v>10</v>
      </c>
      <c r="C45" s="8">
        <v>12.5</v>
      </c>
      <c r="D45" s="8" t="s">
        <v>8</v>
      </c>
      <c r="E45" s="11">
        <v>45253.499027777776</v>
      </c>
      <c r="F45" s="8">
        <f t="shared" ca="1" si="3"/>
        <v>222</v>
      </c>
    </row>
    <row r="46" spans="2:13" ht="18.75" customHeight="1">
      <c r="B46" s="8" t="s">
        <v>11</v>
      </c>
      <c r="C46" s="8">
        <v>6.35</v>
      </c>
      <c r="D46" s="8" t="s">
        <v>8</v>
      </c>
      <c r="E46" s="11">
        <v>44852.505381944444</v>
      </c>
      <c r="F46" s="8">
        <f t="shared" ca="1" si="3"/>
        <v>509</v>
      </c>
      <c r="H46" s="18" t="s">
        <v>34</v>
      </c>
      <c r="I46" s="18"/>
      <c r="J46" s="18"/>
      <c r="M46" s="10">
        <f>SUMIF(D43:D54,"Amazon",C43:C54)</f>
        <v>0</v>
      </c>
    </row>
    <row r="47" spans="2:13">
      <c r="B47" s="8" t="s">
        <v>13</v>
      </c>
      <c r="C47" s="8">
        <v>2.5</v>
      </c>
      <c r="D47" s="8" t="s">
        <v>8</v>
      </c>
      <c r="E47" s="11">
        <v>44888.520162037035</v>
      </c>
      <c r="F47" s="8">
        <f t="shared" ca="1" si="3"/>
        <v>483</v>
      </c>
      <c r="H47" s="18"/>
      <c r="I47" s="18"/>
      <c r="J47" s="18"/>
    </row>
    <row r="48" spans="2:13">
      <c r="B48" s="8" t="s">
        <v>14</v>
      </c>
      <c r="C48" s="8">
        <v>6.5</v>
      </c>
      <c r="D48" s="8" t="s">
        <v>8</v>
      </c>
      <c r="E48" s="11">
        <v>44923.573692129627</v>
      </c>
      <c r="F48" s="8">
        <f t="shared" ca="1" si="3"/>
        <v>458</v>
      </c>
    </row>
    <row r="49" spans="2:6">
      <c r="B49" s="8" t="s">
        <v>7</v>
      </c>
      <c r="C49" s="8">
        <v>8.75</v>
      </c>
      <c r="D49" s="8" t="s">
        <v>8</v>
      </c>
      <c r="E49" s="11">
        <v>44888.593831018516</v>
      </c>
      <c r="F49" s="8">
        <f t="shared" ca="1" si="3"/>
        <v>483</v>
      </c>
    </row>
    <row r="50" spans="2:6">
      <c r="B50" s="8" t="s">
        <v>11</v>
      </c>
      <c r="C50" s="8">
        <v>4.6500000000000004</v>
      </c>
      <c r="D50" s="8" t="s">
        <v>8</v>
      </c>
      <c r="E50" s="11">
        <v>44888.656423611108</v>
      </c>
      <c r="F50" s="8">
        <f t="shared" ca="1" si="3"/>
        <v>483</v>
      </c>
    </row>
    <row r="51" spans="2:6">
      <c r="B51" s="8" t="s">
        <v>7</v>
      </c>
      <c r="C51" s="8">
        <v>12.85</v>
      </c>
      <c r="D51" s="8" t="s">
        <v>8</v>
      </c>
      <c r="E51" s="11">
        <v>44889.675300925926</v>
      </c>
      <c r="F51" s="8">
        <f t="shared" ca="1" si="3"/>
        <v>482</v>
      </c>
    </row>
    <row r="52" spans="2:6">
      <c r="B52" s="8" t="s">
        <v>9</v>
      </c>
      <c r="C52" s="8">
        <v>8.25</v>
      </c>
      <c r="D52" s="8" t="s">
        <v>8</v>
      </c>
      <c r="E52" s="11">
        <v>44888.686539351853</v>
      </c>
      <c r="F52" s="8">
        <f t="shared" ca="1" si="3"/>
        <v>483</v>
      </c>
    </row>
    <row r="53" spans="2:6">
      <c r="B53" s="8" t="s">
        <v>10</v>
      </c>
      <c r="C53" s="8">
        <v>13.5</v>
      </c>
      <c r="D53" s="8" t="s">
        <v>8</v>
      </c>
      <c r="E53" s="11">
        <v>44888.70815972222</v>
      </c>
      <c r="F53" s="8">
        <f t="shared" ca="1" si="3"/>
        <v>483</v>
      </c>
    </row>
    <row r="54" spans="2:6">
      <c r="B54" s="8" t="s">
        <v>11</v>
      </c>
      <c r="C54" s="8">
        <v>9.9499999999999993</v>
      </c>
      <c r="D54" s="8" t="s">
        <v>8</v>
      </c>
      <c r="E54" s="11">
        <v>44888.783391203702</v>
      </c>
      <c r="F54" s="8">
        <f t="shared" ca="1" si="3"/>
        <v>483</v>
      </c>
    </row>
  </sheetData>
  <mergeCells count="3">
    <mergeCell ref="H7:J8"/>
    <mergeCell ref="H23:J24"/>
    <mergeCell ref="H46:J4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78E45-EEA8-439C-B106-E2CE8A41D29F}">
  <sheetPr codeName="Sheet12"/>
  <dimension ref="A1:M16"/>
  <sheetViews>
    <sheetView showGridLines="0" zoomScale="130" zoomScaleNormal="120" workbookViewId="0">
      <selection activeCell="D7" sqref="D7"/>
    </sheetView>
  </sheetViews>
  <sheetFormatPr defaultColWidth="8.85546875" defaultRowHeight="15.75"/>
  <cols>
    <col min="1" max="1" width="6.28515625" style="6" bestFit="1" customWidth="1"/>
    <col min="2" max="2" width="24.7109375" style="6" bestFit="1" customWidth="1"/>
    <col min="3" max="3" width="15.85546875" style="6" bestFit="1" customWidth="1"/>
    <col min="4" max="4" width="13.28515625" style="6" bestFit="1" customWidth="1"/>
    <col min="5" max="5" width="13.140625" style="6" bestFit="1" customWidth="1"/>
    <col min="6" max="6" width="14.7109375" style="6" bestFit="1" customWidth="1"/>
    <col min="7" max="7" width="18.42578125" style="6" bestFit="1" customWidth="1"/>
    <col min="8" max="9" width="6.28515625" style="1" customWidth="1"/>
    <col min="10" max="10" width="9.7109375" style="1" bestFit="1" customWidth="1"/>
    <col min="11" max="16384" width="8.85546875" style="1"/>
  </cols>
  <sheetData>
    <row r="1" spans="1:13">
      <c r="A1" s="3" t="s">
        <v>35</v>
      </c>
      <c r="B1" s="3" t="s">
        <v>36</v>
      </c>
      <c r="C1" s="3" t="s">
        <v>37</v>
      </c>
      <c r="D1" s="3" t="s">
        <v>38</v>
      </c>
      <c r="E1" s="3" t="s">
        <v>39</v>
      </c>
      <c r="F1" s="3" t="s">
        <v>40</v>
      </c>
      <c r="G1" s="4" t="s">
        <v>41</v>
      </c>
    </row>
    <row r="2" spans="1:13">
      <c r="A2" s="5">
        <v>1</v>
      </c>
      <c r="B2" s="5" t="s">
        <v>42</v>
      </c>
      <c r="C2" s="5">
        <v>311</v>
      </c>
      <c r="D2" s="5">
        <v>9.32</v>
      </c>
      <c r="E2" s="5">
        <v>141</v>
      </c>
      <c r="F2" s="5" t="s">
        <v>43</v>
      </c>
      <c r="G2" s="6" t="str" cm="1">
        <f t="array" ref="G2">_xlfn.IFS(C2&gt;100,"Centi Billionaire",C2&lt;100,"Multi Billionaire",C2=100,"Centi Billionaire")</f>
        <v>Centi Billionaire</v>
      </c>
      <c r="H2" s="2" t="str">
        <f>_xlfn.IFS(C2&lt;100,"Multi Billionaire",C2&gt;100,"Centi Billionaire")</f>
        <v>Centi Billionaire</v>
      </c>
      <c r="I2" s="2"/>
    </row>
    <row r="3" spans="1:13">
      <c r="A3" s="5">
        <v>2</v>
      </c>
      <c r="B3" s="5" t="s">
        <v>44</v>
      </c>
      <c r="C3" s="5">
        <v>195</v>
      </c>
      <c r="D3" s="5">
        <v>3.79</v>
      </c>
      <c r="E3" s="5">
        <v>5.0599999999999996</v>
      </c>
      <c r="F3" s="5" t="s">
        <v>43</v>
      </c>
      <c r="G3" s="6" t="str" cm="1">
        <f t="array" ref="G3">_xlfn.IFS(C3&gt;100,"Centi Billionaire",C3&lt;100,"Multi Billionaire",C3=100,"Centi Billionaire")</f>
        <v>Centi Billionaire</v>
      </c>
      <c r="H3" s="2" t="str">
        <f t="shared" ref="H3:H16" si="0">_xlfn.IFS(C3&lt;100,"Multi Billionaire",C3&gt;100,"Centi Billionaire")</f>
        <v>Centi Billionaire</v>
      </c>
      <c r="I3" s="2"/>
    </row>
    <row r="4" spans="1:13">
      <c r="A4" s="5">
        <v>3</v>
      </c>
      <c r="B4" s="5" t="s">
        <v>45</v>
      </c>
      <c r="C4" s="5">
        <v>167</v>
      </c>
      <c r="D4" s="5">
        <v>544</v>
      </c>
      <c r="E4" s="5">
        <v>52.7</v>
      </c>
      <c r="F4" s="5" t="s">
        <v>46</v>
      </c>
      <c r="G4" s="6" t="str" cm="1">
        <f t="array" ref="G4">_xlfn.IFS(C4&gt;100,"Centi Billionaire",C4&lt;100,"Multi Billionaire",C4=100,"Centi Billionaire")</f>
        <v>Centi Billionaire</v>
      </c>
      <c r="H4" s="2" t="str">
        <f t="shared" si="0"/>
        <v>Centi Billionaire</v>
      </c>
      <c r="I4" s="2"/>
    </row>
    <row r="5" spans="1:13">
      <c r="A5" s="5">
        <v>4</v>
      </c>
      <c r="B5" s="5" t="s">
        <v>47</v>
      </c>
      <c r="C5" s="5">
        <v>136</v>
      </c>
      <c r="D5" s="5">
        <v>906</v>
      </c>
      <c r="E5" s="5">
        <v>4.4000000000000004</v>
      </c>
      <c r="F5" s="5" t="s">
        <v>43</v>
      </c>
      <c r="G5" s="6" t="str" cm="1">
        <f t="array" ref="G5">_xlfn.IFS(C5&gt;100,"Centi Billionaire",C5&lt;100,"Multi Billionaire",C5=100,"Centi Billionaire")</f>
        <v>Centi Billionaire</v>
      </c>
      <c r="H5" s="2" t="str">
        <f t="shared" si="0"/>
        <v>Centi Billionaire</v>
      </c>
      <c r="I5" s="2"/>
    </row>
    <row r="6" spans="1:13">
      <c r="A6" s="5">
        <v>5</v>
      </c>
      <c r="B6" s="5" t="s">
        <v>48</v>
      </c>
      <c r="C6" s="5">
        <v>131</v>
      </c>
      <c r="D6" s="5">
        <v>1.71</v>
      </c>
      <c r="E6" s="5">
        <v>48.7</v>
      </c>
      <c r="F6" s="5" t="s">
        <v>43</v>
      </c>
      <c r="G6" s="6" t="str" cm="1">
        <f t="array" ref="G6">_xlfn.IFS(C6&gt;100,"Centi Billionaire",C6&lt;100,"Multi Billionaire",C6=100,"Centi Billionaire")</f>
        <v>Centi Billionaire</v>
      </c>
      <c r="H6" s="2" t="str">
        <f t="shared" si="0"/>
        <v>Centi Billionaire</v>
      </c>
      <c r="I6" s="2"/>
    </row>
    <row r="7" spans="1:13" ht="14.45" customHeight="1">
      <c r="A7" s="5">
        <v>6</v>
      </c>
      <c r="B7" s="5" t="s">
        <v>49</v>
      </c>
      <c r="C7" s="5">
        <v>126</v>
      </c>
      <c r="D7" s="5">
        <v>1.64</v>
      </c>
      <c r="E7" s="5">
        <v>46.7</v>
      </c>
      <c r="F7" s="5" t="s">
        <v>43</v>
      </c>
      <c r="G7" s="6" t="str" cm="1">
        <f t="array" ref="G7">_xlfn.IFS(C7&gt;100,"Centi Billionaire",C7&lt;100,"Multi Billionaire",C7=100,"Centi Billionaire")</f>
        <v>Centi Billionaire</v>
      </c>
      <c r="H7" s="2" t="str">
        <f t="shared" si="0"/>
        <v>Centi Billionaire</v>
      </c>
      <c r="I7" s="2"/>
      <c r="J7" s="19" t="s">
        <v>50</v>
      </c>
      <c r="K7" s="19"/>
      <c r="L7" s="19"/>
      <c r="M7" s="19"/>
    </row>
    <row r="8" spans="1:13">
      <c r="A8" s="5">
        <v>7</v>
      </c>
      <c r="B8" s="5" t="s">
        <v>51</v>
      </c>
      <c r="C8" s="5">
        <v>100</v>
      </c>
      <c r="D8" s="5">
        <v>2.4</v>
      </c>
      <c r="E8" s="5">
        <v>17.3</v>
      </c>
      <c r="F8" s="5" t="s">
        <v>43</v>
      </c>
      <c r="G8" s="6" t="e" cm="1">
        <f t="array" ref="G8">_xlfn.IFS(C8&gt;100,"Centi Billionaire",C8&lt;100,"Multi Billionaire")</f>
        <v>#N/A</v>
      </c>
      <c r="H8" s="2" t="e">
        <f t="shared" si="0"/>
        <v>#N/A</v>
      </c>
      <c r="I8" s="2"/>
      <c r="J8" s="19"/>
      <c r="K8" s="19"/>
      <c r="L8" s="19"/>
      <c r="M8" s="19"/>
    </row>
    <row r="9" spans="1:13">
      <c r="A9" s="5">
        <v>8</v>
      </c>
      <c r="B9" s="5" t="s">
        <v>52</v>
      </c>
      <c r="C9" s="5">
        <v>118</v>
      </c>
      <c r="D9" s="5">
        <v>2.42</v>
      </c>
      <c r="E9" s="5">
        <v>37.6</v>
      </c>
      <c r="F9" s="5" t="s">
        <v>43</v>
      </c>
      <c r="G9" s="6" t="str" cm="1">
        <f t="array" ref="G9">_xlfn.IFS(C9&gt;100,"Centi Billionaire",C9&lt;100,"Multi Billionaire",C9=100,"Centi Billionaire")</f>
        <v>Centi Billionaire</v>
      </c>
      <c r="H9" s="2" t="str">
        <f t="shared" si="0"/>
        <v>Centi Billionaire</v>
      </c>
      <c r="I9" s="2"/>
      <c r="J9" s="19"/>
      <c r="K9" s="19"/>
      <c r="L9" s="19"/>
      <c r="M9" s="19"/>
    </row>
    <row r="10" spans="1:13">
      <c r="A10" s="5">
        <v>9</v>
      </c>
      <c r="B10" s="5" t="s">
        <v>53</v>
      </c>
      <c r="C10" s="5">
        <v>115</v>
      </c>
      <c r="D10" s="5">
        <v>331</v>
      </c>
      <c r="E10" s="5">
        <v>35.4</v>
      </c>
      <c r="F10" s="5" t="s">
        <v>43</v>
      </c>
      <c r="G10" s="6" t="str" cm="1">
        <f t="array" ref="G10">_xlfn.IFS(C10&gt;100,"Centi Billionaire",C10&lt;100,"Multi Billionaire",C10=100,"Centi Billionaire")</f>
        <v>Centi Billionaire</v>
      </c>
      <c r="H10" s="2" t="str">
        <f t="shared" si="0"/>
        <v>Centi Billionaire</v>
      </c>
      <c r="I10" s="2"/>
      <c r="J10" s="19"/>
      <c r="K10" s="19"/>
      <c r="L10" s="19"/>
      <c r="M10" s="19"/>
    </row>
    <row r="11" spans="1:13">
      <c r="A11" s="5">
        <v>10</v>
      </c>
      <c r="B11" s="5" t="s">
        <v>54</v>
      </c>
      <c r="C11" s="5">
        <v>105</v>
      </c>
      <c r="D11" s="5">
        <v>800</v>
      </c>
      <c r="E11" s="5">
        <v>17</v>
      </c>
      <c r="F11" s="5" t="s">
        <v>43</v>
      </c>
      <c r="G11" s="6" t="str" cm="1">
        <f t="array" ref="G11">_xlfn.IFS(C11&gt;100,"Centi Billionaire",C11&lt;100,"Multi Billionaire",C11=100,"Centi Billionaire")</f>
        <v>Centi Billionaire</v>
      </c>
      <c r="H11" s="2" t="str">
        <f t="shared" si="0"/>
        <v>Centi Billionaire</v>
      </c>
      <c r="I11" s="2"/>
      <c r="J11" s="19"/>
      <c r="K11" s="19"/>
      <c r="L11" s="19"/>
      <c r="M11" s="19"/>
    </row>
    <row r="12" spans="1:13">
      <c r="A12" s="5">
        <v>11</v>
      </c>
      <c r="B12" s="5" t="s">
        <v>55</v>
      </c>
      <c r="C12" s="5">
        <v>95.8</v>
      </c>
      <c r="D12" s="5">
        <v>2.56</v>
      </c>
      <c r="E12" s="5">
        <v>19.100000000000001</v>
      </c>
      <c r="F12" s="5" t="s">
        <v>56</v>
      </c>
      <c r="G12" s="6" t="str" cm="1">
        <f t="array" ref="G12">_xlfn.IFS(C12&gt;100,"Centi Billionaire",C12&lt;100,"Multi Billionaire",C12=100,"Centi Billionaire")</f>
        <v>Multi Billionaire</v>
      </c>
      <c r="H12" s="2" t="str">
        <f t="shared" si="0"/>
        <v>Multi Billionaire</v>
      </c>
      <c r="I12" s="2"/>
      <c r="J12" s="19"/>
      <c r="K12" s="19"/>
      <c r="L12" s="19"/>
      <c r="M12" s="19"/>
    </row>
    <row r="13" spans="1:13">
      <c r="A13" s="5">
        <v>12</v>
      </c>
      <c r="B13" s="5" t="s">
        <v>57</v>
      </c>
      <c r="C13" s="5">
        <v>90.4</v>
      </c>
      <c r="D13" s="5">
        <v>597</v>
      </c>
      <c r="E13" s="5">
        <v>14.6</v>
      </c>
      <c r="F13" s="5" t="s">
        <v>46</v>
      </c>
      <c r="G13" s="6" t="str" cm="1">
        <f t="array" ref="G13">_xlfn.IFS(C13&gt;100,"Centi Billionaire",C13&lt;100,"Multi Billionaire",C13=100,"Centi Billionaire")</f>
        <v>Multi Billionaire</v>
      </c>
      <c r="H13" s="2" t="str">
        <f t="shared" si="0"/>
        <v>Multi Billionaire</v>
      </c>
      <c r="I13" s="2"/>
      <c r="J13" s="19"/>
      <c r="K13" s="19"/>
      <c r="L13" s="19"/>
      <c r="M13" s="19"/>
    </row>
    <row r="14" spans="1:13">
      <c r="A14" s="5">
        <v>13</v>
      </c>
      <c r="B14" s="5" t="s">
        <v>58</v>
      </c>
      <c r="C14" s="5">
        <v>99.65</v>
      </c>
      <c r="D14" s="5">
        <v>2.52</v>
      </c>
      <c r="E14" s="5">
        <v>43.3</v>
      </c>
      <c r="F14" s="5" t="s">
        <v>56</v>
      </c>
      <c r="G14" s="6" t="str" cm="1">
        <f t="array" ref="G14">_xlfn.IFS(C14&gt;100,"Centi Billionaire",C14&lt;100,"Multi Billionaire",C14=100,"Centi Billionaire")</f>
        <v>Multi Billionaire</v>
      </c>
      <c r="H14" s="2" t="str">
        <f t="shared" si="0"/>
        <v>Multi Billionaire</v>
      </c>
      <c r="I14" s="2"/>
      <c r="J14" s="19"/>
      <c r="K14" s="19"/>
      <c r="L14" s="19"/>
      <c r="M14" s="19"/>
    </row>
    <row r="15" spans="1:13">
      <c r="A15" s="5">
        <v>14</v>
      </c>
      <c r="B15" s="5" t="s">
        <v>59</v>
      </c>
      <c r="C15" s="5">
        <v>77</v>
      </c>
      <c r="D15" s="5">
        <v>532</v>
      </c>
      <c r="E15" s="5">
        <v>10.5</v>
      </c>
      <c r="F15" s="5" t="s">
        <v>60</v>
      </c>
      <c r="G15" s="6" t="str" cm="1">
        <f t="array" ref="G15">_xlfn.IFS(C15&gt;100,"Centi Billionaire",C15&lt;100,"Multi Billionaire",C15=100,"Centi Billionaire")</f>
        <v>Multi Billionaire</v>
      </c>
      <c r="H15" s="2" t="str">
        <f t="shared" si="0"/>
        <v>Multi Billionaire</v>
      </c>
      <c r="I15" s="2"/>
      <c r="J15" s="19"/>
      <c r="K15" s="19"/>
      <c r="L15" s="19"/>
      <c r="M15" s="19"/>
    </row>
    <row r="16" spans="1:13">
      <c r="A16" s="5">
        <v>15</v>
      </c>
      <c r="B16" s="5" t="s">
        <v>61</v>
      </c>
      <c r="C16" s="5">
        <v>66.5</v>
      </c>
      <c r="D16" s="5">
        <v>315</v>
      </c>
      <c r="E16" s="5">
        <v>4.0199999999999996</v>
      </c>
      <c r="F16" s="5" t="s">
        <v>43</v>
      </c>
      <c r="G16" s="6" t="str" cm="1">
        <f t="array" ref="G16">_xlfn.IFS(C16&gt;100,"Centi Billionaire",C16&lt;100,"Multi Billionaire",C16=100,"Centi Billionaire")</f>
        <v>Multi Billionaire</v>
      </c>
      <c r="H16" s="2" t="str">
        <f t="shared" si="0"/>
        <v>Multi Billionaire</v>
      </c>
      <c r="I16" s="2"/>
    </row>
  </sheetData>
  <customSheetViews>
    <customSheetView guid="{86D36E03-787A-41EB-85FF-8BB8A222055B}" scale="130" showGridLines="0" state="hidden">
      <selection activeCell="D7" sqref="D7"/>
      <pageMargins left="0" right="0" top="0" bottom="0" header="0" footer="0"/>
      <pageSetup orientation="portrait" r:id="rId1"/>
    </customSheetView>
    <customSheetView guid="{08E755F8-82E9-4D95-862B-81F55FBDDDF6}" scale="130" showGridLines="0" state="hidden">
      <selection activeCell="D7" sqref="D7"/>
      <pageMargins left="0" right="0" top="0" bottom="0" header="0" footer="0"/>
      <pageSetup orientation="portrait" r:id="rId2"/>
    </customSheetView>
    <customSheetView guid="{C453A932-6110-4A84-A9C2-26C809391387}" scale="130" showGridLines="0" state="hidden">
      <selection activeCell="D7" sqref="D7"/>
      <pageMargins left="0" right="0" top="0" bottom="0" header="0" footer="0"/>
      <pageSetup orientation="portrait" r:id="rId3"/>
    </customSheetView>
    <customSheetView guid="{0BF42E77-7016-4BE4-A5AB-A49974630D91}" scale="130" showGridLines="0" state="hidden">
      <selection activeCell="D7" sqref="D7"/>
      <pageMargins left="0" right="0" top="0" bottom="0" header="0" footer="0"/>
      <pageSetup orientation="portrait" r:id="rId4"/>
    </customSheetView>
    <customSheetView guid="{B19B24CB-B859-49E3-8AE0-2D671510EE4F}" scale="130" showGridLines="0" state="hidden">
      <selection activeCell="D7" sqref="D7"/>
      <pageMargins left="0" right="0" top="0" bottom="0" header="0" footer="0"/>
      <pageSetup orientation="portrait" r:id="rId5"/>
    </customSheetView>
    <customSheetView guid="{D9413B31-FDB2-4AE8-80A8-7F09954E703C}" scale="130" showGridLines="0" state="hidden">
      <selection activeCell="D7" sqref="D7"/>
      <pageMargins left="0" right="0" top="0" bottom="0" header="0" footer="0"/>
      <pageSetup orientation="portrait" r:id="rId6"/>
    </customSheetView>
    <customSheetView guid="{FF03E81F-A9A8-4546-A9C3-77A6EEA02ED9}" scale="130" showGridLines="0" state="hidden">
      <selection activeCell="D7" sqref="D7"/>
      <pageMargins left="0" right="0" top="0" bottom="0" header="0" footer="0"/>
      <pageSetup orientation="portrait" r:id="rId7"/>
    </customSheetView>
    <customSheetView guid="{EE811897-5BF5-4321-9879-5B7EDF90A350}" scale="130" showGridLines="0" state="hidden">
      <selection activeCell="D7" sqref="D7"/>
      <pageMargins left="0" right="0" top="0" bottom="0" header="0" footer="0"/>
      <pageSetup orientation="portrait" r:id="rId8"/>
    </customSheetView>
    <customSheetView guid="{0E02FCC8-6440-4859-9F6B-C77617EF5D89}" scale="130" showGridLines="0" state="hidden">
      <selection activeCell="D7" sqref="D7"/>
      <pageMargins left="0" right="0" top="0" bottom="0" header="0" footer="0"/>
      <pageSetup orientation="portrait" r:id="rId9"/>
    </customSheetView>
    <customSheetView guid="{0458C18D-9EF5-4516-9145-CA54D8EB1865}" scale="130" showGridLines="0" state="hidden">
      <selection activeCell="D7" sqref="D7"/>
      <pageMargins left="0" right="0" top="0" bottom="0" header="0" footer="0"/>
      <pageSetup orientation="portrait" r:id="rId10"/>
    </customSheetView>
    <customSheetView guid="{DFE0B66A-2DCB-4802-A91B-F836707AD43C}" scale="130" showGridLines="0" state="hidden">
      <selection activeCell="D7" sqref="D7"/>
      <pageMargins left="0" right="0" top="0" bottom="0" header="0" footer="0"/>
      <pageSetup orientation="portrait" r:id="rId11"/>
    </customSheetView>
    <customSheetView guid="{3511E245-32F9-4CFF-8540-6B03C6FAE218}" scale="130" showGridLines="0" state="hidden">
      <selection activeCell="D7" sqref="D7"/>
      <pageMargins left="0" right="0" top="0" bottom="0" header="0" footer="0"/>
      <pageSetup orientation="portrait" r:id="rId12"/>
    </customSheetView>
    <customSheetView guid="{CE50DC7E-3038-4337-BAC8-5B16EE1D95B0}" scale="130" showGridLines="0" state="hidden">
      <selection activeCell="D7" sqref="D7"/>
      <pageMargins left="0" right="0" top="0" bottom="0" header="0" footer="0"/>
      <pageSetup orientation="portrait" r:id="rId13"/>
    </customSheetView>
    <customSheetView guid="{C908A6D6-4C77-416B-BC46-6F501B5F842F}" scale="130" showGridLines="0" state="hidden">
      <selection activeCell="D7" sqref="D7"/>
      <pageMargins left="0" right="0" top="0" bottom="0" header="0" footer="0"/>
      <pageSetup orientation="portrait" r:id="rId14"/>
    </customSheetView>
    <customSheetView guid="{C575B46A-1D4C-489C-97AE-5DAB6560E171}" scale="130" showGridLines="0" state="hidden">
      <selection activeCell="D7" sqref="D7"/>
      <pageMargins left="0" right="0" top="0" bottom="0" header="0" footer="0"/>
      <pageSetup orientation="portrait" r:id="rId15"/>
    </customSheetView>
    <customSheetView guid="{81DEBAD0-6E86-4DFB-8642-C52E8C976BDA}" scale="130" showGridLines="0" state="hidden">
      <selection activeCell="D7" sqref="D7"/>
      <pageMargins left="0" right="0" top="0" bottom="0" header="0" footer="0"/>
      <pageSetup orientation="portrait" r:id="rId16"/>
    </customSheetView>
    <customSheetView guid="{58306194-C83B-413E-AC5F-AD717216CB21}" scale="130" showGridLines="0" state="hidden">
      <selection activeCell="D7" sqref="D7"/>
      <pageMargins left="0" right="0" top="0" bottom="0" header="0" footer="0"/>
      <pageSetup orientation="portrait" r:id="rId17"/>
    </customSheetView>
    <customSheetView guid="{E4375DB4-4B74-46BC-A9F2-C5C5055B366F}" scale="130" showGridLines="0" state="hidden">
      <selection activeCell="D7" sqref="D7"/>
      <pageMargins left="0" right="0" top="0" bottom="0" header="0" footer="0"/>
      <pageSetup orientation="portrait" r:id="rId18"/>
    </customSheetView>
    <customSheetView guid="{2CEDB1FB-2942-4B51-BF30-285DCDB05292}" scale="130" showGridLines="0" state="hidden">
      <selection activeCell="D7" sqref="D7"/>
      <pageMargins left="0" right="0" top="0" bottom="0" header="0" footer="0"/>
      <pageSetup orientation="portrait" r:id="rId19"/>
    </customSheetView>
    <customSheetView guid="{DF16608F-40E8-490E-B08D-ED6EEAB8B9EC}" scale="130" showGridLines="0" state="hidden">
      <selection activeCell="D7" sqref="D7"/>
      <pageMargins left="0" right="0" top="0" bottom="0" header="0" footer="0"/>
      <pageSetup orientation="portrait" r:id="rId20"/>
    </customSheetView>
    <customSheetView guid="{2032DE14-E33D-44B5-9022-A2B48F059704}" scale="130" showGridLines="0" state="hidden">
      <selection activeCell="D7" sqref="D7"/>
      <pageMargins left="0" right="0" top="0" bottom="0" header="0" footer="0"/>
      <pageSetup orientation="portrait" r:id="rId21"/>
    </customSheetView>
    <customSheetView guid="{EE4A95A5-BF42-4BAA-B9EB-84A9230A28F9}" scale="130" showGridLines="0" state="hidden">
      <selection activeCell="D7" sqref="D7"/>
      <pageMargins left="0" right="0" top="0" bottom="0" header="0" footer="0"/>
      <pageSetup orientation="portrait" r:id="rId22"/>
    </customSheetView>
    <customSheetView guid="{8BEA0E04-8B9A-4A2D-9B80-4E7685E22D5E}" scale="130" showGridLines="0" state="hidden">
      <selection activeCell="D7" sqref="D7"/>
      <pageMargins left="0" right="0" top="0" bottom="0" header="0" footer="0"/>
      <pageSetup orientation="portrait" r:id="rId23"/>
    </customSheetView>
    <customSheetView guid="{0125BE01-BBC8-4E5A-9A9A-3D1257916B8C}" scale="130" showGridLines="0" state="hidden">
      <selection activeCell="D7" sqref="D7"/>
      <pageMargins left="0" right="0" top="0" bottom="0" header="0" footer="0"/>
      <pageSetup orientation="portrait" r:id="rId24"/>
    </customSheetView>
    <customSheetView guid="{7A9AB605-DB82-470C-B86B-95E2AB3523F6}" scale="130" showGridLines="0" state="hidden">
      <selection activeCell="D7" sqref="D7"/>
      <pageMargins left="0" right="0" top="0" bottom="0" header="0" footer="0"/>
      <pageSetup orientation="portrait" r:id="rId25"/>
    </customSheetView>
    <customSheetView guid="{FC8D231F-57F9-45EE-9DEF-D7ED111600EB}" scale="130" showGridLines="0" state="hidden">
      <selection activeCell="D7" sqref="D7"/>
      <pageMargins left="0" right="0" top="0" bottom="0" header="0" footer="0"/>
      <pageSetup orientation="portrait" r:id="rId26"/>
    </customSheetView>
    <customSheetView guid="{395DC3D6-3299-4A43-88E2-62703FCC0349}" scale="130" showGridLines="0" state="hidden">
      <selection activeCell="D7" sqref="D7"/>
      <pageMargins left="0" right="0" top="0" bottom="0" header="0" footer="0"/>
      <pageSetup orientation="portrait" r:id="rId27"/>
    </customSheetView>
    <customSheetView guid="{5C8F4C13-387F-42D2-8CB5-92C4886D7919}" scale="130" showGridLines="0" state="hidden">
      <selection activeCell="D7" sqref="D7"/>
      <pageMargins left="0" right="0" top="0" bottom="0" header="0" footer="0"/>
      <pageSetup orientation="portrait" r:id="rId28"/>
    </customSheetView>
    <customSheetView guid="{8A25BF65-C908-4B2F-9805-3CD39BD4330E}" scale="130" showGridLines="0" state="hidden">
      <selection activeCell="D7" sqref="D7"/>
      <pageMargins left="0" right="0" top="0" bottom="0" header="0" footer="0"/>
      <pageSetup orientation="portrait" r:id="rId29"/>
    </customSheetView>
    <customSheetView guid="{F9A03991-7A83-41AE-B603-3D22265CDA22}" scale="130" showGridLines="0" state="hidden">
      <selection activeCell="D7" sqref="D7"/>
      <pageMargins left="0" right="0" top="0" bottom="0" header="0" footer="0"/>
      <pageSetup orientation="portrait" r:id="rId30"/>
    </customSheetView>
    <customSheetView guid="{FEB5A49F-F7F7-412A-BE72-F90F7A4799C8}" scale="130" showGridLines="0" state="hidden">
      <selection activeCell="D7" sqref="D7"/>
      <pageMargins left="0" right="0" top="0" bottom="0" header="0" footer="0"/>
      <pageSetup orientation="portrait" r:id="rId31"/>
    </customSheetView>
    <customSheetView guid="{F518ECB9-5D92-41E0-BFD2-C5175A02444D}" scale="130" showGridLines="0" state="hidden">
      <selection activeCell="D7" sqref="D7"/>
      <pageMargins left="0" right="0" top="0" bottom="0" header="0" footer="0"/>
      <pageSetup orientation="portrait" r:id="rId32"/>
    </customSheetView>
    <customSheetView guid="{BCAB4838-A37A-4BCF-A9C9-CC50C95F58C7}" scale="130" showGridLines="0" state="hidden">
      <selection activeCell="D7" sqref="D7"/>
      <pageMargins left="0" right="0" top="0" bottom="0" header="0" footer="0"/>
      <pageSetup orientation="portrait" r:id="rId33"/>
    </customSheetView>
    <customSheetView guid="{E1A67331-473F-4161-806C-BE35870C93B5}" scale="130" showGridLines="0" state="hidden">
      <selection activeCell="D7" sqref="D7"/>
      <pageMargins left="0" right="0" top="0" bottom="0" header="0" footer="0"/>
      <pageSetup orientation="portrait" r:id="rId34"/>
    </customSheetView>
    <customSheetView guid="{CC562453-1E6B-4010-9E1B-775397A26EFA}" scale="130" showGridLines="0" state="hidden">
      <selection activeCell="D7" sqref="D7"/>
      <pageMargins left="0" right="0" top="0" bottom="0" header="0" footer="0"/>
      <pageSetup orientation="portrait" r:id="rId35"/>
    </customSheetView>
    <customSheetView guid="{644A6A80-0D34-48F6-A071-17016DCD2D6E}" scale="130" showGridLines="0" state="hidden">
      <selection activeCell="D7" sqref="D7"/>
      <pageMargins left="0" right="0" top="0" bottom="0" header="0" footer="0"/>
      <pageSetup orientation="portrait" r:id="rId36"/>
    </customSheetView>
    <customSheetView guid="{C65059E8-30E8-488B-A0E9-1B7961920C81}" scale="130" showGridLines="0" state="hidden">
      <selection activeCell="D7" sqref="D7"/>
      <pageMargins left="0" right="0" top="0" bottom="0" header="0" footer="0"/>
      <pageSetup orientation="portrait" r:id="rId37"/>
    </customSheetView>
    <customSheetView guid="{95D39BA8-2B16-4954-ABAC-09AD33A86339}" scale="130" showGridLines="0" state="hidden">
      <selection activeCell="D7" sqref="D7"/>
      <pageMargins left="0" right="0" top="0" bottom="0" header="0" footer="0"/>
      <pageSetup orientation="portrait" r:id="rId38"/>
    </customSheetView>
    <customSheetView guid="{25A4A7C0-9593-456C-861C-76D101D3FE93}" scale="130" showGridLines="0" state="hidden">
      <selection activeCell="D7" sqref="D7"/>
      <pageMargins left="0" right="0" top="0" bottom="0" header="0" footer="0"/>
      <pageSetup orientation="portrait" r:id="rId39"/>
    </customSheetView>
    <customSheetView guid="{51BA8A3D-4711-49ED-89E2-EBC09DF2AEDC}" scale="130" showGridLines="0" state="hidden">
      <selection activeCell="D7" sqref="D7"/>
      <pageMargins left="0" right="0" top="0" bottom="0" header="0" footer="0"/>
      <pageSetup orientation="portrait" r:id="rId40"/>
    </customSheetView>
    <customSheetView guid="{629A478C-29B1-4F25-A016-63CE32A1627F}" scale="130" showGridLines="0" state="hidden">
      <selection activeCell="D7" sqref="D7"/>
      <pageMargins left="0" right="0" top="0" bottom="0" header="0" footer="0"/>
      <pageSetup orientation="portrait" r:id="rId41"/>
    </customSheetView>
    <customSheetView guid="{F789A6E6-3D06-4D93-BF02-46FA1A2548B2}" scale="130" showGridLines="0" state="hidden">
      <selection activeCell="D7" sqref="D7"/>
      <pageMargins left="0" right="0" top="0" bottom="0" header="0" footer="0"/>
      <pageSetup orientation="portrait" r:id="rId42"/>
    </customSheetView>
    <customSheetView guid="{15D7A002-B247-4A6B-A16B-61BDD9B0066A}" scale="130" showGridLines="0" state="hidden">
      <selection activeCell="D7" sqref="D7"/>
      <pageMargins left="0" right="0" top="0" bottom="0" header="0" footer="0"/>
      <pageSetup orientation="portrait" r:id="rId43"/>
    </customSheetView>
    <customSheetView guid="{9AFCAA87-4888-4976-A7C9-C06A34CB6C97}" scale="130" showGridLines="0" state="hidden">
      <selection activeCell="D7" sqref="D7"/>
      <pageMargins left="0" right="0" top="0" bottom="0" header="0" footer="0"/>
      <pageSetup orientation="portrait" r:id="rId44"/>
    </customSheetView>
    <customSheetView guid="{E4FF7DB9-14DF-49DB-9F59-1898DDED4DCE}" scale="130" showGridLines="0" state="hidden">
      <selection activeCell="D7" sqref="D7"/>
      <pageMargins left="0" right="0" top="0" bottom="0" header="0" footer="0"/>
      <pageSetup orientation="portrait" r:id="rId45"/>
    </customSheetView>
    <customSheetView guid="{EC7537C6-1678-41C1-B788-EF4AFFECF769}" scale="130" showGridLines="0" state="hidden">
      <selection activeCell="D7" sqref="D7"/>
      <pageMargins left="0" right="0" top="0" bottom="0" header="0" footer="0"/>
      <pageSetup orientation="portrait" r:id="rId46"/>
    </customSheetView>
    <customSheetView guid="{1920E7A3-1C9F-4320-81BB-D11544051025}" scale="130" showGridLines="0" state="hidden">
      <selection activeCell="D7" sqref="D7"/>
      <pageMargins left="0" right="0" top="0" bottom="0" header="0" footer="0"/>
      <pageSetup orientation="portrait" r:id="rId47"/>
    </customSheetView>
    <customSheetView guid="{02D27969-4CD1-473E-A0E8-856AB0664DE8}" scale="130" showGridLines="0" state="hidden">
      <selection activeCell="D7" sqref="D7"/>
      <pageMargins left="0" right="0" top="0" bottom="0" header="0" footer="0"/>
      <pageSetup orientation="portrait" r:id="rId48"/>
    </customSheetView>
    <customSheetView guid="{422703F6-63C4-435C-AFE7-1030286678F6}" scale="130" showGridLines="0" state="hidden">
      <selection activeCell="D7" sqref="D7"/>
      <pageMargins left="0" right="0" top="0" bottom="0" header="0" footer="0"/>
      <pageSetup orientation="portrait" r:id="rId49"/>
    </customSheetView>
    <customSheetView guid="{F3CB97AD-592C-4B6E-8AE3-1CD47479060C}" scale="130" showGridLines="0" state="hidden">
      <selection activeCell="D7" sqref="D7"/>
      <pageMargins left="0" right="0" top="0" bottom="0" header="0" footer="0"/>
      <pageSetup orientation="portrait" r:id="rId50"/>
    </customSheetView>
    <customSheetView guid="{19DA6E7F-8950-4769-9BBE-2798EFA465A3}" scale="130" showGridLines="0" state="hidden">
      <selection activeCell="D7" sqref="D7"/>
      <pageMargins left="0" right="0" top="0" bottom="0" header="0" footer="0"/>
      <pageSetup orientation="portrait" r:id="rId51"/>
    </customSheetView>
    <customSheetView guid="{47C01131-7443-4080-A2BB-6B6AA35C6913}" scale="130" showGridLines="0" state="hidden">
      <selection activeCell="D7" sqref="D7"/>
      <pageMargins left="0" right="0" top="0" bottom="0" header="0" footer="0"/>
      <pageSetup orientation="portrait" r:id="rId52"/>
    </customSheetView>
    <customSheetView guid="{C7330417-67A9-44CF-917F-5F5E2F191AD4}" scale="130" showGridLines="0" state="hidden">
      <selection activeCell="D7" sqref="D7"/>
      <pageMargins left="0" right="0" top="0" bottom="0" header="0" footer="0"/>
      <pageSetup orientation="portrait" r:id="rId53"/>
    </customSheetView>
    <customSheetView guid="{EBA5E9C4-A2DB-4DF0-BF75-1243E968318E}" scale="130" showGridLines="0" state="hidden">
      <selection activeCell="D7" sqref="D7"/>
      <pageMargins left="0" right="0" top="0" bottom="0" header="0" footer="0"/>
      <pageSetup orientation="portrait" r:id="rId54"/>
    </customSheetView>
    <customSheetView guid="{7A7FC9A5-F2B5-4894-82BC-4528575F10D4}" scale="130" showGridLines="0" state="hidden">
      <selection activeCell="D7" sqref="D7"/>
      <pageMargins left="0" right="0" top="0" bottom="0" header="0" footer="0"/>
      <pageSetup orientation="portrait" r:id="rId55"/>
    </customSheetView>
    <customSheetView guid="{6194C141-D0A1-4D58-BA55-90A184525AC3}" scale="130" showGridLines="0" state="hidden">
      <selection activeCell="D7" sqref="D7"/>
      <pageMargins left="0" right="0" top="0" bottom="0" header="0" footer="0"/>
      <pageSetup orientation="portrait" r:id="rId56"/>
    </customSheetView>
    <customSheetView guid="{A5292A6B-6F92-4AB3-B051-EF87F39FC489}" scale="130" showGridLines="0" state="hidden">
      <selection activeCell="D7" sqref="D7"/>
      <pageMargins left="0" right="0" top="0" bottom="0" header="0" footer="0"/>
      <pageSetup orientation="portrait" r:id="rId57"/>
    </customSheetView>
    <customSheetView guid="{C090DFAD-A23A-4678-87F2-095D84EBDDE8}" scale="130" showGridLines="0" state="hidden">
      <selection activeCell="D7" sqref="D7"/>
      <pageMargins left="0" right="0" top="0" bottom="0" header="0" footer="0"/>
      <pageSetup orientation="portrait" r:id="rId58"/>
    </customSheetView>
    <customSheetView guid="{4F11E31F-E14C-416D-BB97-C8CE74658FBE}" scale="130" showGridLines="0" state="hidden">
      <selection activeCell="D7" sqref="D7"/>
      <pageMargins left="0" right="0" top="0" bottom="0" header="0" footer="0"/>
      <pageSetup orientation="portrait" r:id="rId59"/>
    </customSheetView>
    <customSheetView guid="{F2A17A28-A3DF-492D-BAE9-AAEF2A13397B}" scale="130" showGridLines="0" state="hidden">
      <selection activeCell="D7" sqref="D7"/>
      <pageMargins left="0" right="0" top="0" bottom="0" header="0" footer="0"/>
      <pageSetup orientation="portrait" r:id="rId60"/>
    </customSheetView>
    <customSheetView guid="{8F332A92-7271-4FEC-B085-C15AA232FE21}" scale="130" showGridLines="0" state="hidden">
      <selection activeCell="D7" sqref="D7"/>
      <pageMargins left="0" right="0" top="0" bottom="0" header="0" footer="0"/>
      <pageSetup orientation="portrait" r:id="rId61"/>
    </customSheetView>
    <customSheetView guid="{6B1EB7F4-EF59-450E-A531-475C3A6E6150}" scale="130" showGridLines="0" state="hidden">
      <selection activeCell="D7" sqref="D7"/>
      <pageMargins left="0" right="0" top="0" bottom="0" header="0" footer="0"/>
      <pageSetup orientation="portrait" r:id="rId62"/>
    </customSheetView>
    <customSheetView guid="{8EBF087E-11C5-42EE-B564-FAEE72C86C17}" scale="130" showGridLines="0" state="hidden">
      <selection activeCell="D7" sqref="D7"/>
      <pageMargins left="0" right="0" top="0" bottom="0" header="0" footer="0"/>
      <pageSetup orientation="portrait" r:id="rId63"/>
    </customSheetView>
    <customSheetView guid="{F716839F-5448-40FC-95BC-286199FD6764}" scale="130" showGridLines="0" state="hidden">
      <selection activeCell="D7" sqref="D7"/>
      <pageMargins left="0" right="0" top="0" bottom="0" header="0" footer="0"/>
      <pageSetup orientation="portrait" r:id="rId64"/>
    </customSheetView>
    <customSheetView guid="{E712F22D-DF79-4936-B86B-186E637372BF}" scale="130" showGridLines="0" state="hidden">
      <selection activeCell="D7" sqref="D7"/>
      <pageMargins left="0" right="0" top="0" bottom="0" header="0" footer="0"/>
      <pageSetup orientation="portrait" r:id="rId65"/>
    </customSheetView>
    <customSheetView guid="{672B3D91-11D6-418C-A856-9FF74CE5E6FB}" scale="130" showGridLines="0" state="hidden">
      <selection activeCell="D7" sqref="D7"/>
      <pageMargins left="0" right="0" top="0" bottom="0" header="0" footer="0"/>
      <pageSetup orientation="portrait" r:id="rId66"/>
    </customSheetView>
    <customSheetView guid="{5B4753E1-B7DC-40C2-A28F-B07A6CB075FE}" scale="130" showGridLines="0" state="hidden">
      <selection activeCell="D7" sqref="D7"/>
      <pageMargins left="0" right="0" top="0" bottom="0" header="0" footer="0"/>
      <pageSetup orientation="portrait" r:id="rId67"/>
    </customSheetView>
    <customSheetView guid="{EF2006E2-DE9B-4938-AD6F-8255BE7D529F}" scale="130" showGridLines="0" state="hidden">
      <selection activeCell="D7" sqref="D7"/>
      <pageMargins left="0" right="0" top="0" bottom="0" header="0" footer="0"/>
      <pageSetup orientation="portrait" r:id="rId68"/>
    </customSheetView>
    <customSheetView guid="{0BFB30CE-F6D9-44B3-99BA-62858BF46600}" scale="130" showGridLines="0" state="hidden">
      <selection activeCell="D7" sqref="D7"/>
      <pageMargins left="0" right="0" top="0" bottom="0" header="0" footer="0"/>
      <pageSetup orientation="portrait" r:id="rId69"/>
    </customSheetView>
    <customSheetView guid="{E3977DAC-58A9-43A5-A2CD-037AE84A3934}" scale="130" showGridLines="0" state="hidden">
      <selection activeCell="D7" sqref="D7"/>
      <pageMargins left="0" right="0" top="0" bottom="0" header="0" footer="0"/>
      <pageSetup orientation="portrait" r:id="rId70"/>
    </customSheetView>
    <customSheetView guid="{E18774DE-EF27-4708-91D7-FE2A7EE4C992}" scale="130" showGridLines="0" state="hidden">
      <selection activeCell="D7" sqref="D7"/>
      <pageMargins left="0" right="0" top="0" bottom="0" header="0" footer="0"/>
      <pageSetup orientation="portrait" r:id="rId71"/>
    </customSheetView>
    <customSheetView guid="{F102CDDA-1DB7-4BD5-8A8F-CD5640485596}" scale="130" showGridLines="0" state="hidden">
      <selection activeCell="D7" sqref="D7"/>
      <pageMargins left="0" right="0" top="0" bottom="0" header="0" footer="0"/>
      <pageSetup orientation="portrait" r:id="rId72"/>
    </customSheetView>
    <customSheetView guid="{A3C7F73E-8288-4122-801A-9A426BB0DFB8}" scale="130" showGridLines="0" state="hidden">
      <selection activeCell="D7" sqref="D7"/>
      <pageMargins left="0" right="0" top="0" bottom="0" header="0" footer="0"/>
      <pageSetup orientation="portrait" r:id="rId73"/>
    </customSheetView>
    <customSheetView guid="{C1FEC2CE-0AE0-4F12-8438-BD3D230D3830}" scale="130" showGridLines="0" state="hidden">
      <selection activeCell="D7" sqref="D7"/>
      <pageMargins left="0" right="0" top="0" bottom="0" header="0" footer="0"/>
      <pageSetup orientation="portrait" r:id="rId74"/>
    </customSheetView>
    <customSheetView guid="{576A445C-3D9A-438D-AC68-B679E3D65634}" scale="130" showGridLines="0" state="hidden">
      <selection activeCell="D7" sqref="D7"/>
      <pageMargins left="0" right="0" top="0" bottom="0" header="0" footer="0"/>
      <pageSetup orientation="portrait" r:id="rId75"/>
    </customSheetView>
  </customSheetViews>
  <mergeCells count="1">
    <mergeCell ref="J7:M15"/>
  </mergeCells>
  <conditionalFormatting sqref="G2:G16">
    <cfRule type="expression" dxfId="0" priority="1">
      <formula>$G2=$H2</formula>
    </cfRule>
  </conditionalFormatting>
  <pageMargins left="0.7" right="0.7" top="0.75" bottom="0.75" header="0.3" footer="0.3"/>
  <pageSetup orientation="portrait" r:id="rId7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TAMIZH</dc:creator>
  <cp:keywords/>
  <dc:description/>
  <cp:lastModifiedBy/>
  <cp:revision/>
  <dcterms:created xsi:type="dcterms:W3CDTF">2022-03-05T05:03:48Z</dcterms:created>
  <dcterms:modified xsi:type="dcterms:W3CDTF">2024-09-29T13:25:00Z</dcterms:modified>
  <cp:category/>
  <cp:contentStatus/>
</cp:coreProperties>
</file>